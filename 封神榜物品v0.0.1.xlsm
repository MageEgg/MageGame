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P000!$A$1:$AP$611</definedName>
  </definedNames>
  <calcPr calcId="125725"/>
</workbook>
</file>

<file path=xl/calcChain.xml><?xml version="1.0" encoding="utf-8"?>
<calcChain xmlns="http://schemas.openxmlformats.org/spreadsheetml/2006/main">
  <c r="B109" i="1"/>
  <c r="H109" s="1"/>
  <c r="J109" s="1"/>
  <c r="B108"/>
  <c r="H108" s="1"/>
  <c r="J108" s="1"/>
  <c r="B107"/>
  <c r="H107" s="1"/>
  <c r="J107" s="1"/>
  <c r="B106"/>
  <c r="H106" s="1"/>
  <c r="J106" s="1"/>
  <c r="N184" i="4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K182"/>
  <c r="J182"/>
  <c r="I182"/>
  <c r="H182"/>
  <c r="G182"/>
  <c r="F182"/>
  <c r="E182"/>
  <c r="D182"/>
  <c r="C182"/>
  <c r="B182"/>
  <c r="A182"/>
  <c r="M182" s="1"/>
  <c r="N181"/>
  <c r="L181"/>
  <c r="K181"/>
  <c r="J181"/>
  <c r="I181"/>
  <c r="H181"/>
  <c r="G181"/>
  <c r="F181"/>
  <c r="E181"/>
  <c r="D181"/>
  <c r="C181"/>
  <c r="B181"/>
  <c r="A181"/>
  <c r="M181" s="1"/>
  <c r="L180"/>
  <c r="K180"/>
  <c r="J180"/>
  <c r="N180" s="1"/>
  <c r="I180"/>
  <c r="H180"/>
  <c r="G180"/>
  <c r="F180"/>
  <c r="E180"/>
  <c r="D180"/>
  <c r="C180"/>
  <c r="B180"/>
  <c r="A180"/>
  <c r="M180" s="1"/>
  <c r="L179"/>
  <c r="N179" s="1"/>
  <c r="K179"/>
  <c r="J179"/>
  <c r="I179"/>
  <c r="H179"/>
  <c r="G179"/>
  <c r="F179"/>
  <c r="E179"/>
  <c r="D179"/>
  <c r="C179"/>
  <c r="B179"/>
  <c r="A179"/>
  <c r="M179" s="1"/>
  <c r="N178"/>
  <c r="L178"/>
  <c r="K178"/>
  <c r="J178"/>
  <c r="I178"/>
  <c r="H178"/>
  <c r="G178"/>
  <c r="F178"/>
  <c r="E178"/>
  <c r="D178"/>
  <c r="C178"/>
  <c r="B178"/>
  <c r="A178"/>
  <c r="M178" s="1"/>
  <c r="L177"/>
  <c r="K177"/>
  <c r="J177"/>
  <c r="N177" s="1"/>
  <c r="I177"/>
  <c r="H177"/>
  <c r="G177"/>
  <c r="F177"/>
  <c r="E177"/>
  <c r="D177"/>
  <c r="C177"/>
  <c r="B177"/>
  <c r="A177"/>
  <c r="M177" s="1"/>
  <c r="L176"/>
  <c r="K176"/>
  <c r="J176"/>
  <c r="I176"/>
  <c r="H176"/>
  <c r="G176"/>
  <c r="F176"/>
  <c r="E176"/>
  <c r="D176"/>
  <c r="C176"/>
  <c r="B176"/>
  <c r="A176"/>
  <c r="M176" s="1"/>
  <c r="N175"/>
  <c r="L175"/>
  <c r="K175"/>
  <c r="J175"/>
  <c r="I175"/>
  <c r="H175"/>
  <c r="G175"/>
  <c r="F175"/>
  <c r="E175"/>
  <c r="D175"/>
  <c r="C175"/>
  <c r="B175"/>
  <c r="A175"/>
  <c r="M175" s="1"/>
  <c r="L174"/>
  <c r="K174"/>
  <c r="J174"/>
  <c r="N174" s="1"/>
  <c r="I174"/>
  <c r="H174"/>
  <c r="G174"/>
  <c r="F174"/>
  <c r="E174"/>
  <c r="D174"/>
  <c r="C174"/>
  <c r="B174"/>
  <c r="A174"/>
  <c r="M174" s="1"/>
  <c r="L173"/>
  <c r="N173" s="1"/>
  <c r="K173"/>
  <c r="J173"/>
  <c r="I173"/>
  <c r="H173"/>
  <c r="G173"/>
  <c r="F173"/>
  <c r="E173"/>
  <c r="D173"/>
  <c r="C173"/>
  <c r="B173"/>
  <c r="A173"/>
  <c r="M173" s="1"/>
  <c r="N172"/>
  <c r="L172"/>
  <c r="K172"/>
  <c r="J172"/>
  <c r="I172"/>
  <c r="H172"/>
  <c r="G172"/>
  <c r="F172"/>
  <c r="E172"/>
  <c r="D172"/>
  <c r="C172"/>
  <c r="B172"/>
  <c r="A172"/>
  <c r="M172" s="1"/>
  <c r="L171"/>
  <c r="K171"/>
  <c r="J171"/>
  <c r="N171" s="1"/>
  <c r="I171"/>
  <c r="H171"/>
  <c r="G171"/>
  <c r="F171"/>
  <c r="E171"/>
  <c r="D171"/>
  <c r="C171"/>
  <c r="B171"/>
  <c r="A171"/>
  <c r="M171" s="1"/>
  <c r="L170"/>
  <c r="K170"/>
  <c r="J170"/>
  <c r="I170"/>
  <c r="H170"/>
  <c r="G170"/>
  <c r="F170"/>
  <c r="E170"/>
  <c r="D170"/>
  <c r="C170"/>
  <c r="B170"/>
  <c r="A170"/>
  <c r="M170" s="1"/>
  <c r="N169"/>
  <c r="L169"/>
  <c r="K169"/>
  <c r="J169"/>
  <c r="I169"/>
  <c r="H169"/>
  <c r="G169"/>
  <c r="F169"/>
  <c r="E169"/>
  <c r="D169"/>
  <c r="C169"/>
  <c r="B169"/>
  <c r="A169"/>
  <c r="M169" s="1"/>
  <c r="L168"/>
  <c r="K168"/>
  <c r="J168"/>
  <c r="N168" s="1"/>
  <c r="I168"/>
  <c r="H168"/>
  <c r="G168"/>
  <c r="F168"/>
  <c r="E168"/>
  <c r="D168"/>
  <c r="C168"/>
  <c r="B168"/>
  <c r="A168"/>
  <c r="M168" s="1"/>
  <c r="L167"/>
  <c r="N167" s="1"/>
  <c r="K167"/>
  <c r="J167"/>
  <c r="I167"/>
  <c r="H167"/>
  <c r="G167"/>
  <c r="F167"/>
  <c r="E167"/>
  <c r="D167"/>
  <c r="C167"/>
  <c r="B167"/>
  <c r="A167"/>
  <c r="M167" s="1"/>
  <c r="N166"/>
  <c r="L166"/>
  <c r="K166"/>
  <c r="J166"/>
  <c r="I166"/>
  <c r="H166"/>
  <c r="G166"/>
  <c r="F166"/>
  <c r="E166"/>
  <c r="D166"/>
  <c r="C166"/>
  <c r="B166"/>
  <c r="A166"/>
  <c r="M166" s="1"/>
  <c r="L165"/>
  <c r="K165"/>
  <c r="J165"/>
  <c r="N165" s="1"/>
  <c r="I165"/>
  <c r="H165"/>
  <c r="G165"/>
  <c r="F165"/>
  <c r="E165"/>
  <c r="D165"/>
  <c r="C165"/>
  <c r="B165"/>
  <c r="A165"/>
  <c r="M165" s="1"/>
  <c r="L164"/>
  <c r="K164"/>
  <c r="J164"/>
  <c r="I164"/>
  <c r="H164"/>
  <c r="G164"/>
  <c r="F164"/>
  <c r="E164"/>
  <c r="D164"/>
  <c r="C164"/>
  <c r="B164"/>
  <c r="A164"/>
  <c r="M164" s="1"/>
  <c r="N163"/>
  <c r="L163"/>
  <c r="K163"/>
  <c r="J163"/>
  <c r="I163"/>
  <c r="H163"/>
  <c r="G163"/>
  <c r="F163"/>
  <c r="E163"/>
  <c r="D163"/>
  <c r="C163"/>
  <c r="B163"/>
  <c r="A163"/>
  <c r="M163" s="1"/>
  <c r="L162"/>
  <c r="K162"/>
  <c r="J162"/>
  <c r="N162" s="1"/>
  <c r="I162"/>
  <c r="H162"/>
  <c r="G162"/>
  <c r="F162"/>
  <c r="E162"/>
  <c r="D162"/>
  <c r="C162"/>
  <c r="B162"/>
  <c r="A162"/>
  <c r="M162" s="1"/>
  <c r="L161"/>
  <c r="N161" s="1"/>
  <c r="K161"/>
  <c r="J161"/>
  <c r="I161"/>
  <c r="H161"/>
  <c r="G161"/>
  <c r="F161"/>
  <c r="E161"/>
  <c r="D161"/>
  <c r="C161"/>
  <c r="B161"/>
  <c r="A161"/>
  <c r="M161" s="1"/>
  <c r="N160"/>
  <c r="L160"/>
  <c r="K160"/>
  <c r="J160"/>
  <c r="I160"/>
  <c r="H160"/>
  <c r="G160"/>
  <c r="F160"/>
  <c r="E160"/>
  <c r="D160"/>
  <c r="C160"/>
  <c r="B160"/>
  <c r="A160"/>
  <c r="M160" s="1"/>
  <c r="L159"/>
  <c r="K159"/>
  <c r="J159"/>
  <c r="N159" s="1"/>
  <c r="I159"/>
  <c r="H159"/>
  <c r="G159"/>
  <c r="F159"/>
  <c r="E159"/>
  <c r="D159"/>
  <c r="C159"/>
  <c r="B159"/>
  <c r="A159"/>
  <c r="M159" s="1"/>
  <c r="L158"/>
  <c r="K158"/>
  <c r="J158"/>
  <c r="I158"/>
  <c r="H158"/>
  <c r="G158"/>
  <c r="F158"/>
  <c r="E158"/>
  <c r="D158"/>
  <c r="C158"/>
  <c r="B158"/>
  <c r="A158"/>
  <c r="M158" s="1"/>
  <c r="N157"/>
  <c r="L157"/>
  <c r="K157"/>
  <c r="J157"/>
  <c r="I157"/>
  <c r="H157"/>
  <c r="G157"/>
  <c r="F157"/>
  <c r="E157"/>
  <c r="D157"/>
  <c r="C157"/>
  <c r="B157"/>
  <c r="A157"/>
  <c r="M157" s="1"/>
  <c r="L156"/>
  <c r="K156"/>
  <c r="J156"/>
  <c r="N156" s="1"/>
  <c r="I156"/>
  <c r="H156"/>
  <c r="G156"/>
  <c r="F156"/>
  <c r="E156"/>
  <c r="D156"/>
  <c r="C156"/>
  <c r="B156"/>
  <c r="A156"/>
  <c r="M156" s="1"/>
  <c r="L155"/>
  <c r="N155" s="1"/>
  <c r="K155"/>
  <c r="J155"/>
  <c r="I155"/>
  <c r="H155"/>
  <c r="G155"/>
  <c r="F155"/>
  <c r="E155"/>
  <c r="D155"/>
  <c r="C155"/>
  <c r="B155"/>
  <c r="A155"/>
  <c r="M155" s="1"/>
  <c r="N154"/>
  <c r="L154"/>
  <c r="K154"/>
  <c r="J154"/>
  <c r="I154"/>
  <c r="H154"/>
  <c r="G154"/>
  <c r="F154"/>
  <c r="E154"/>
  <c r="D154"/>
  <c r="C154"/>
  <c r="B154"/>
  <c r="A154"/>
  <c r="M154" s="1"/>
  <c r="L153"/>
  <c r="K153"/>
  <c r="J153"/>
  <c r="N153" s="1"/>
  <c r="I153"/>
  <c r="H153"/>
  <c r="G153"/>
  <c r="F153"/>
  <c r="E153"/>
  <c r="D153"/>
  <c r="C153"/>
  <c r="B153"/>
  <c r="A153"/>
  <c r="M153" s="1"/>
  <c r="L152"/>
  <c r="K152"/>
  <c r="J152"/>
  <c r="I152"/>
  <c r="H152"/>
  <c r="G152"/>
  <c r="F152"/>
  <c r="E152"/>
  <c r="D152"/>
  <c r="C152"/>
  <c r="B152"/>
  <c r="A152"/>
  <c r="M152" s="1"/>
  <c r="N151"/>
  <c r="L151"/>
  <c r="K151"/>
  <c r="J151"/>
  <c r="I151"/>
  <c r="H151"/>
  <c r="G151"/>
  <c r="F151"/>
  <c r="E151"/>
  <c r="D151"/>
  <c r="C151"/>
  <c r="B151"/>
  <c r="A151"/>
  <c r="M151" s="1"/>
  <c r="L150"/>
  <c r="K150"/>
  <c r="J150"/>
  <c r="N150" s="1"/>
  <c r="I150"/>
  <c r="H150"/>
  <c r="G150"/>
  <c r="F150"/>
  <c r="E150"/>
  <c r="D150"/>
  <c r="C150"/>
  <c r="B150"/>
  <c r="A150"/>
  <c r="M150" s="1"/>
  <c r="L149"/>
  <c r="N149" s="1"/>
  <c r="K149"/>
  <c r="J149"/>
  <c r="I149"/>
  <c r="H149"/>
  <c r="G149"/>
  <c r="F149"/>
  <c r="E149"/>
  <c r="D149"/>
  <c r="C149"/>
  <c r="B149"/>
  <c r="A149"/>
  <c r="M149" s="1"/>
  <c r="N148"/>
  <c r="L148"/>
  <c r="K148"/>
  <c r="J148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L146"/>
  <c r="K146"/>
  <c r="J146"/>
  <c r="I146"/>
  <c r="H146"/>
  <c r="G146"/>
  <c r="F146"/>
  <c r="E146"/>
  <c r="D146"/>
  <c r="C146"/>
  <c r="B146"/>
  <c r="A146"/>
  <c r="M146" s="1"/>
  <c r="N145"/>
  <c r="L145"/>
  <c r="K145"/>
  <c r="J145"/>
  <c r="I145"/>
  <c r="H145"/>
  <c r="G145"/>
  <c r="F145"/>
  <c r="E145"/>
  <c r="D145"/>
  <c r="C145"/>
  <c r="B145"/>
  <c r="A145"/>
  <c r="M145" s="1"/>
  <c r="L144"/>
  <c r="K144"/>
  <c r="J144"/>
  <c r="N144" s="1"/>
  <c r="I144"/>
  <c r="H144"/>
  <c r="G144"/>
  <c r="F144"/>
  <c r="E144"/>
  <c r="D144"/>
  <c r="C144"/>
  <c r="B144"/>
  <c r="A144"/>
  <c r="M144" s="1"/>
  <c r="L143"/>
  <c r="N143" s="1"/>
  <c r="K143"/>
  <c r="J143"/>
  <c r="I143"/>
  <c r="H143"/>
  <c r="G143"/>
  <c r="F143"/>
  <c r="E143"/>
  <c r="D143"/>
  <c r="C143"/>
  <c r="B143"/>
  <c r="A143"/>
  <c r="M143" s="1"/>
  <c r="N142"/>
  <c r="L142"/>
  <c r="K142"/>
  <c r="J142"/>
  <c r="I142"/>
  <c r="H142"/>
  <c r="G142"/>
  <c r="F142"/>
  <c r="E142"/>
  <c r="D142"/>
  <c r="C142"/>
  <c r="B142"/>
  <c r="A142"/>
  <c r="M142" s="1"/>
  <c r="L141"/>
  <c r="K141"/>
  <c r="J141"/>
  <c r="I141"/>
  <c r="H141"/>
  <c r="G141"/>
  <c r="F141"/>
  <c r="E141"/>
  <c r="D141"/>
  <c r="C141"/>
  <c r="B141"/>
  <c r="A141"/>
  <c r="M141" s="1"/>
  <c r="L140"/>
  <c r="K140"/>
  <c r="J140"/>
  <c r="I140"/>
  <c r="H140"/>
  <c r="G140"/>
  <c r="F140"/>
  <c r="E140"/>
  <c r="D140"/>
  <c r="C140"/>
  <c r="B140"/>
  <c r="A140"/>
  <c r="M140" s="1"/>
  <c r="N139"/>
  <c r="L139"/>
  <c r="K139"/>
  <c r="J139"/>
  <c r="I139"/>
  <c r="H139"/>
  <c r="G139"/>
  <c r="F139"/>
  <c r="E139"/>
  <c r="D139"/>
  <c r="C139"/>
  <c r="B139"/>
  <c r="A139"/>
  <c r="M139" s="1"/>
  <c r="L138"/>
  <c r="K138"/>
  <c r="J138"/>
  <c r="N138" s="1"/>
  <c r="I138"/>
  <c r="H138"/>
  <c r="G138"/>
  <c r="F138"/>
  <c r="E138"/>
  <c r="D138"/>
  <c r="C138"/>
  <c r="B138"/>
  <c r="A138"/>
  <c r="M138" s="1"/>
  <c r="L137"/>
  <c r="N137" s="1"/>
  <c r="K137"/>
  <c r="J137"/>
  <c r="I137"/>
  <c r="H137"/>
  <c r="G137"/>
  <c r="F137"/>
  <c r="E137"/>
  <c r="D137"/>
  <c r="C137"/>
  <c r="B137"/>
  <c r="A137"/>
  <c r="M137" s="1"/>
  <c r="N136"/>
  <c r="L136"/>
  <c r="K136"/>
  <c r="J136"/>
  <c r="I136"/>
  <c r="H136"/>
  <c r="G136"/>
  <c r="F136"/>
  <c r="E136"/>
  <c r="D136"/>
  <c r="C136"/>
  <c r="B136"/>
  <c r="A136"/>
  <c r="M136" s="1"/>
  <c r="L135"/>
  <c r="K135"/>
  <c r="J135"/>
  <c r="I135"/>
  <c r="H135"/>
  <c r="G135"/>
  <c r="F135"/>
  <c r="E135"/>
  <c r="D135"/>
  <c r="C135"/>
  <c r="B135"/>
  <c r="A135"/>
  <c r="M135" s="1"/>
  <c r="L134"/>
  <c r="K134"/>
  <c r="J134"/>
  <c r="I134"/>
  <c r="H134"/>
  <c r="G134"/>
  <c r="F134"/>
  <c r="E134"/>
  <c r="D134"/>
  <c r="C134"/>
  <c r="B134"/>
  <c r="A134"/>
  <c r="M134" s="1"/>
  <c r="N133"/>
  <c r="L133"/>
  <c r="K133"/>
  <c r="J133"/>
  <c r="I133"/>
  <c r="H133"/>
  <c r="G133"/>
  <c r="F133"/>
  <c r="E133"/>
  <c r="D133"/>
  <c r="C133"/>
  <c r="B133"/>
  <c r="A133"/>
  <c r="M133" s="1"/>
  <c r="L132"/>
  <c r="K132"/>
  <c r="J132"/>
  <c r="N132" s="1"/>
  <c r="I132"/>
  <c r="H132"/>
  <c r="G132"/>
  <c r="F132"/>
  <c r="E132"/>
  <c r="D132"/>
  <c r="C132"/>
  <c r="B132"/>
  <c r="A132"/>
  <c r="M132" s="1"/>
  <c r="L131"/>
  <c r="N131" s="1"/>
  <c r="K131"/>
  <c r="J131"/>
  <c r="I131"/>
  <c r="H131"/>
  <c r="G131"/>
  <c r="F131"/>
  <c r="E131"/>
  <c r="D131"/>
  <c r="C131"/>
  <c r="B131"/>
  <c r="A131"/>
  <c r="M131" s="1"/>
  <c r="N130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M129" s="1"/>
  <c r="L128"/>
  <c r="K128"/>
  <c r="J128"/>
  <c r="I128"/>
  <c r="H128"/>
  <c r="G128"/>
  <c r="F128"/>
  <c r="E128"/>
  <c r="D128"/>
  <c r="C128"/>
  <c r="B128"/>
  <c r="A128"/>
  <c r="M128" s="1"/>
  <c r="N127"/>
  <c r="L127"/>
  <c r="K127"/>
  <c r="J127"/>
  <c r="I127"/>
  <c r="H127"/>
  <c r="G127"/>
  <c r="F127"/>
  <c r="E127"/>
  <c r="D127"/>
  <c r="C127"/>
  <c r="B127"/>
  <c r="A127"/>
  <c r="M127" s="1"/>
  <c r="L126"/>
  <c r="K126"/>
  <c r="J126"/>
  <c r="I126"/>
  <c r="H126"/>
  <c r="G126"/>
  <c r="F126"/>
  <c r="E126"/>
  <c r="D126"/>
  <c r="C126"/>
  <c r="B126"/>
  <c r="A126"/>
  <c r="M126" s="1"/>
  <c r="L125"/>
  <c r="N125" s="1"/>
  <c r="K125"/>
  <c r="J125"/>
  <c r="I125"/>
  <c r="H125"/>
  <c r="G125"/>
  <c r="F125"/>
  <c r="E125"/>
  <c r="D125"/>
  <c r="C125"/>
  <c r="B125"/>
  <c r="A125"/>
  <c r="M125" s="1"/>
  <c r="N124"/>
  <c r="L124"/>
  <c r="K124"/>
  <c r="J124"/>
  <c r="I124"/>
  <c r="H124"/>
  <c r="G124"/>
  <c r="F124"/>
  <c r="E124"/>
  <c r="D124"/>
  <c r="C124"/>
  <c r="B124"/>
  <c r="A124"/>
  <c r="M124" s="1"/>
  <c r="L123"/>
  <c r="K123"/>
  <c r="J123"/>
  <c r="N123" s="1"/>
  <c r="I123"/>
  <c r="H123"/>
  <c r="G123"/>
  <c r="F123"/>
  <c r="E123"/>
  <c r="D123"/>
  <c r="C123"/>
  <c r="B123"/>
  <c r="A123"/>
  <c r="M123" s="1"/>
  <c r="L122"/>
  <c r="K122"/>
  <c r="J122"/>
  <c r="I122"/>
  <c r="H122"/>
  <c r="G122"/>
  <c r="F122"/>
  <c r="E122"/>
  <c r="D122"/>
  <c r="C122"/>
  <c r="B122"/>
  <c r="A122"/>
  <c r="M122" s="1"/>
  <c r="N121"/>
  <c r="L121"/>
  <c r="K121"/>
  <c r="J121"/>
  <c r="I121"/>
  <c r="H121"/>
  <c r="G121"/>
  <c r="F121"/>
  <c r="E121"/>
  <c r="D121"/>
  <c r="C121"/>
  <c r="B121"/>
  <c r="A121"/>
  <c r="M121" s="1"/>
  <c r="L120"/>
  <c r="K120"/>
  <c r="J120"/>
  <c r="I120"/>
  <c r="H120"/>
  <c r="G120"/>
  <c r="F120"/>
  <c r="E120"/>
  <c r="D120"/>
  <c r="C120"/>
  <c r="B120"/>
  <c r="A120"/>
  <c r="M120" s="1"/>
  <c r="L119"/>
  <c r="N119" s="1"/>
  <c r="K119"/>
  <c r="J119"/>
  <c r="I119"/>
  <c r="H119"/>
  <c r="G119"/>
  <c r="F119"/>
  <c r="E119"/>
  <c r="D119"/>
  <c r="C119"/>
  <c r="B119"/>
  <c r="A119"/>
  <c r="M119" s="1"/>
  <c r="N118"/>
  <c r="L118"/>
  <c r="K118"/>
  <c r="J118"/>
  <c r="I118"/>
  <c r="H118"/>
  <c r="G118"/>
  <c r="F118"/>
  <c r="E118"/>
  <c r="D118"/>
  <c r="C118"/>
  <c r="B118"/>
  <c r="A118"/>
  <c r="M118" s="1"/>
  <c r="L117"/>
  <c r="K117"/>
  <c r="J117"/>
  <c r="I117"/>
  <c r="H117"/>
  <c r="G117"/>
  <c r="F117"/>
  <c r="E117"/>
  <c r="D117"/>
  <c r="C117"/>
  <c r="B117"/>
  <c r="A117"/>
  <c r="M117" s="1"/>
  <c r="L116"/>
  <c r="K116"/>
  <c r="J116"/>
  <c r="I116"/>
  <c r="H116"/>
  <c r="G116"/>
  <c r="F116"/>
  <c r="E116"/>
  <c r="D116"/>
  <c r="C116"/>
  <c r="B116"/>
  <c r="A116"/>
  <c r="M116" s="1"/>
  <c r="N115"/>
  <c r="L115"/>
  <c r="K115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M114" s="1"/>
  <c r="L113"/>
  <c r="N113" s="1"/>
  <c r="K113"/>
  <c r="J113"/>
  <c r="I113"/>
  <c r="H113"/>
  <c r="G113"/>
  <c r="F113"/>
  <c r="E113"/>
  <c r="D113"/>
  <c r="C113"/>
  <c r="B113"/>
  <c r="A113"/>
  <c r="M113" s="1"/>
  <c r="N112"/>
  <c r="L112"/>
  <c r="K112"/>
  <c r="J112"/>
  <c r="I112"/>
  <c r="H112"/>
  <c r="G112"/>
  <c r="F112"/>
  <c r="E112"/>
  <c r="D112"/>
  <c r="C112"/>
  <c r="B112"/>
  <c r="A112"/>
  <c r="M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M110" s="1"/>
  <c r="N109"/>
  <c r="L109"/>
  <c r="K109"/>
  <c r="J109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M108" s="1"/>
  <c r="L107"/>
  <c r="N107" s="1"/>
  <c r="K107"/>
  <c r="J107"/>
  <c r="I107"/>
  <c r="H107"/>
  <c r="G107"/>
  <c r="F107"/>
  <c r="E107"/>
  <c r="D107"/>
  <c r="C107"/>
  <c r="B107"/>
  <c r="A107"/>
  <c r="M107" s="1"/>
  <c r="N106"/>
  <c r="L106"/>
  <c r="K106"/>
  <c r="J106"/>
  <c r="I106"/>
  <c r="H106"/>
  <c r="G106"/>
  <c r="F106"/>
  <c r="E106"/>
  <c r="D106"/>
  <c r="C106"/>
  <c r="B106"/>
  <c r="A106"/>
  <c r="M106" s="1"/>
  <c r="L105"/>
  <c r="K105"/>
  <c r="J105"/>
  <c r="I105"/>
  <c r="H105"/>
  <c r="G105"/>
  <c r="F105"/>
  <c r="E105"/>
  <c r="D105"/>
  <c r="C105"/>
  <c r="B105"/>
  <c r="A105"/>
  <c r="M105" s="1"/>
  <c r="L104"/>
  <c r="K104"/>
  <c r="J104"/>
  <c r="I104"/>
  <c r="H104"/>
  <c r="G104"/>
  <c r="F104"/>
  <c r="E104"/>
  <c r="D104"/>
  <c r="C104"/>
  <c r="B104"/>
  <c r="A104"/>
  <c r="M104" s="1"/>
  <c r="N103"/>
  <c r="L103"/>
  <c r="K103"/>
  <c r="J103"/>
  <c r="I103"/>
  <c r="H103"/>
  <c r="G103"/>
  <c r="F103"/>
  <c r="E103"/>
  <c r="D103"/>
  <c r="C103"/>
  <c r="B103"/>
  <c r="A103"/>
  <c r="M103" s="1"/>
  <c r="L102"/>
  <c r="K102"/>
  <c r="J102"/>
  <c r="I102"/>
  <c r="H102"/>
  <c r="G102"/>
  <c r="F102"/>
  <c r="E102"/>
  <c r="D102"/>
  <c r="C102"/>
  <c r="B102"/>
  <c r="A102"/>
  <c r="M102" s="1"/>
  <c r="L101"/>
  <c r="N101" s="1"/>
  <c r="K101"/>
  <c r="J101"/>
  <c r="I101"/>
  <c r="H101"/>
  <c r="G101"/>
  <c r="F101"/>
  <c r="E101"/>
  <c r="D101"/>
  <c r="C101"/>
  <c r="B101"/>
  <c r="A101"/>
  <c r="M101" s="1"/>
  <c r="N100"/>
  <c r="L100"/>
  <c r="K100"/>
  <c r="J100"/>
  <c r="I100"/>
  <c r="H100"/>
  <c r="G100"/>
  <c r="F100"/>
  <c r="E100"/>
  <c r="D100"/>
  <c r="C100"/>
  <c r="B100"/>
  <c r="A100"/>
  <c r="M100" s="1"/>
  <c r="L99"/>
  <c r="K99"/>
  <c r="J99"/>
  <c r="N99" s="1"/>
  <c r="I99"/>
  <c r="H99"/>
  <c r="G99"/>
  <c r="F99"/>
  <c r="E99"/>
  <c r="D99"/>
  <c r="C99"/>
  <c r="B99"/>
  <c r="A99"/>
  <c r="M99" s="1"/>
  <c r="L98"/>
  <c r="K98"/>
  <c r="J98"/>
  <c r="I98"/>
  <c r="H98"/>
  <c r="G98"/>
  <c r="F98"/>
  <c r="E98"/>
  <c r="D98"/>
  <c r="C98"/>
  <c r="B98"/>
  <c r="A98"/>
  <c r="M98" s="1"/>
  <c r="N97"/>
  <c r="L97"/>
  <c r="K97"/>
  <c r="J97"/>
  <c r="I97"/>
  <c r="H97"/>
  <c r="G97"/>
  <c r="F97"/>
  <c r="E97"/>
  <c r="D97"/>
  <c r="C97"/>
  <c r="B97"/>
  <c r="A97"/>
  <c r="M97" s="1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09" i="2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V106"/>
  <c r="CR106"/>
  <c r="CQ106"/>
  <c r="CP106"/>
  <c r="CO106"/>
  <c r="CN106"/>
  <c r="B127" i="1"/>
  <c r="I127" s="1"/>
  <c r="B126"/>
  <c r="M126" s="1"/>
  <c r="B125"/>
  <c r="I125" s="1"/>
  <c r="B124"/>
  <c r="M124" s="1"/>
  <c r="B123"/>
  <c r="I123" s="1"/>
  <c r="B122"/>
  <c r="M122" s="1"/>
  <c r="B121"/>
  <c r="I121" s="1"/>
  <c r="B120"/>
  <c r="M120" s="1"/>
  <c r="B119"/>
  <c r="I119" s="1"/>
  <c r="B118"/>
  <c r="M118" s="1"/>
  <c r="B117"/>
  <c r="H117" s="1"/>
  <c r="J117" s="1"/>
  <c r="B116"/>
  <c r="M116" s="1"/>
  <c r="B115"/>
  <c r="I115" s="1"/>
  <c r="B114"/>
  <c r="M114" s="1"/>
  <c r="B113"/>
  <c r="I113" s="1"/>
  <c r="B112"/>
  <c r="M112" s="1"/>
  <c r="B111"/>
  <c r="I111" s="1"/>
  <c r="B110"/>
  <c r="M110" s="1"/>
  <c r="B105"/>
  <c r="B104"/>
  <c r="M104" s="1"/>
  <c r="B103"/>
  <c r="I103" s="1"/>
  <c r="B102"/>
  <c r="M102" s="1"/>
  <c r="B101"/>
  <c r="I101" s="1"/>
  <c r="B100"/>
  <c r="M100" s="1"/>
  <c r="B99"/>
  <c r="B98"/>
  <c r="M98" s="1"/>
  <c r="B97"/>
  <c r="I97" s="1"/>
  <c r="FS127" i="2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 s="1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CU126" s="1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 s="1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CU123" s="1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H120" i="1" l="1"/>
  <c r="J120" s="1"/>
  <c r="M107"/>
  <c r="M109"/>
  <c r="I107"/>
  <c r="K107" s="1"/>
  <c r="I109"/>
  <c r="K109" s="1"/>
  <c r="I126"/>
  <c r="M106"/>
  <c r="M108"/>
  <c r="I106"/>
  <c r="K106" s="1"/>
  <c r="I108"/>
  <c r="K108" s="1"/>
  <c r="H111"/>
  <c r="J111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12" i="1"/>
  <c r="J112" s="1"/>
  <c r="H122"/>
  <c r="J122" s="1"/>
  <c r="H110"/>
  <c r="J110" s="1"/>
  <c r="H116"/>
  <c r="J116" s="1"/>
  <c r="H115"/>
  <c r="J115" s="1"/>
  <c r="H123"/>
  <c r="J123" s="1"/>
  <c r="H103"/>
  <c r="J103" s="1"/>
  <c r="H113"/>
  <c r="J113" s="1"/>
  <c r="I116"/>
  <c r="K116" s="1"/>
  <c r="I114"/>
  <c r="K114" s="1"/>
  <c r="I98"/>
  <c r="K98" s="1"/>
  <c r="K97"/>
  <c r="I99"/>
  <c r="K99" s="1"/>
  <c r="I100"/>
  <c r="K100" s="1"/>
  <c r="H101"/>
  <c r="J101" s="1"/>
  <c r="H118"/>
  <c r="J118" s="1"/>
  <c r="I117"/>
  <c r="K117" s="1"/>
  <c r="K101"/>
  <c r="I118"/>
  <c r="K118" s="1"/>
  <c r="I102"/>
  <c r="K102" s="1"/>
  <c r="H100"/>
  <c r="J100" s="1"/>
  <c r="I120"/>
  <c r="K120" s="1"/>
  <c r="I104"/>
  <c r="K104" s="1"/>
  <c r="I122"/>
  <c r="K122" s="1"/>
  <c r="I110"/>
  <c r="K110" s="1"/>
  <c r="K115"/>
  <c r="I124"/>
  <c r="K124" s="1"/>
  <c r="I112"/>
  <c r="K112" s="1"/>
  <c r="K121"/>
  <c r="K103"/>
  <c r="K119"/>
  <c r="K113"/>
  <c r="K127"/>
  <c r="K125"/>
  <c r="K111"/>
  <c r="K123"/>
  <c r="H99"/>
  <c r="J99" s="1"/>
  <c r="H104"/>
  <c r="J104" s="1"/>
  <c r="H127"/>
  <c r="J127" s="1"/>
  <c r="K126"/>
  <c r="H98"/>
  <c r="J98" s="1"/>
  <c r="H121"/>
  <c r="J121" s="1"/>
  <c r="H126"/>
  <c r="J126" s="1"/>
  <c r="H97"/>
  <c r="J97" s="1"/>
  <c r="H102"/>
  <c r="J102" s="1"/>
  <c r="H125"/>
  <c r="J125" s="1"/>
  <c r="H119"/>
  <c r="J119" s="1"/>
  <c r="H124"/>
  <c r="J124" s="1"/>
  <c r="H105"/>
  <c r="J105" s="1"/>
  <c r="H114"/>
  <c r="J114" s="1"/>
  <c r="M97"/>
  <c r="M99"/>
  <c r="M101"/>
  <c r="M103"/>
  <c r="M105"/>
  <c r="M111"/>
  <c r="M113"/>
  <c r="M115"/>
  <c r="M117"/>
  <c r="M119"/>
  <c r="M121"/>
  <c r="M123"/>
  <c r="M125"/>
  <c r="M127"/>
  <c r="CN116" i="2"/>
  <c r="CO116"/>
  <c r="CP116"/>
  <c r="CQ116"/>
  <c r="CR116"/>
  <c r="CV116"/>
  <c r="DB116"/>
  <c r="CU116" s="1"/>
  <c r="DC116"/>
  <c r="DD116"/>
  <c r="DE116"/>
  <c r="DF116"/>
  <c r="DG116"/>
  <c r="DH116"/>
  <c r="DI116"/>
  <c r="DJ116"/>
  <c r="DK116"/>
  <c r="DL116"/>
  <c r="DM116"/>
  <c r="DN116"/>
  <c r="DO116"/>
  <c r="DP116"/>
  <c r="DQ116"/>
  <c r="DR116"/>
  <c r="DS116"/>
  <c r="DT116"/>
  <c r="DU116"/>
  <c r="DV116"/>
  <c r="DW116"/>
  <c r="DX116"/>
  <c r="DY116"/>
  <c r="DZ116"/>
  <c r="EA116"/>
  <c r="EB116"/>
  <c r="EC116"/>
  <c r="ED116"/>
  <c r="EE116"/>
  <c r="EF116"/>
  <c r="EG116"/>
  <c r="EH116"/>
  <c r="EI116"/>
  <c r="EJ116"/>
  <c r="EK116"/>
  <c r="EL116"/>
  <c r="EM116"/>
  <c r="EN116"/>
  <c r="EO116"/>
  <c r="EP116"/>
  <c r="EQ116"/>
  <c r="ER116"/>
  <c r="ES116"/>
  <c r="ET116"/>
  <c r="EU116"/>
  <c r="EV116"/>
  <c r="EW116"/>
  <c r="EX116"/>
  <c r="EY116"/>
  <c r="EZ116"/>
  <c r="FA116"/>
  <c r="FB116"/>
  <c r="FC116"/>
  <c r="FD116"/>
  <c r="FE116"/>
  <c r="FF116"/>
  <c r="FG116"/>
  <c r="FH116"/>
  <c r="FI116"/>
  <c r="FJ116"/>
  <c r="FK116"/>
  <c r="FL116"/>
  <c r="FM116"/>
  <c r="FN116"/>
  <c r="FO116"/>
  <c r="FP116"/>
  <c r="FQ116"/>
  <c r="FR116"/>
  <c r="FS116"/>
  <c r="CN117"/>
  <c r="CO117"/>
  <c r="CP117"/>
  <c r="CQ117"/>
  <c r="CR117"/>
  <c r="CV117"/>
  <c r="DB117"/>
  <c r="DC117"/>
  <c r="CU117" s="1"/>
  <c r="DD117"/>
  <c r="DE117"/>
  <c r="DF117"/>
  <c r="DG117"/>
  <c r="DH117"/>
  <c r="DI117"/>
  <c r="DJ117"/>
  <c r="DK117"/>
  <c r="DL117"/>
  <c r="DM117"/>
  <c r="DN117"/>
  <c r="DO117"/>
  <c r="DP117"/>
  <c r="DQ117"/>
  <c r="DR117"/>
  <c r="DS117"/>
  <c r="DT117"/>
  <c r="DU117"/>
  <c r="DV117"/>
  <c r="DW117"/>
  <c r="DX117"/>
  <c r="DY117"/>
  <c r="DZ117"/>
  <c r="EA117"/>
  <c r="EB117"/>
  <c r="EC117"/>
  <c r="ED117"/>
  <c r="EE117"/>
  <c r="EF117"/>
  <c r="EG117"/>
  <c r="EH117"/>
  <c r="EI117"/>
  <c r="EJ117"/>
  <c r="EK117"/>
  <c r="EL117"/>
  <c r="EM117"/>
  <c r="EN117"/>
  <c r="EO117"/>
  <c r="EP117"/>
  <c r="EQ117"/>
  <c r="ER117"/>
  <c r="ES117"/>
  <c r="ET117"/>
  <c r="EU117"/>
  <c r="EV117"/>
  <c r="EW117"/>
  <c r="EX117"/>
  <c r="EY117"/>
  <c r="EZ117"/>
  <c r="FA117"/>
  <c r="FB117"/>
  <c r="FC117"/>
  <c r="FD117"/>
  <c r="FE117"/>
  <c r="FF117"/>
  <c r="FG117"/>
  <c r="FH117"/>
  <c r="FI117"/>
  <c r="FJ117"/>
  <c r="FK117"/>
  <c r="FL117"/>
  <c r="FM117"/>
  <c r="FN117"/>
  <c r="FO117"/>
  <c r="FP117"/>
  <c r="FQ117"/>
  <c r="FR117"/>
  <c r="FS117"/>
  <c r="CN118"/>
  <c r="CO118"/>
  <c r="CP118"/>
  <c r="CQ118"/>
  <c r="CR118"/>
  <c r="CV118"/>
  <c r="DB118"/>
  <c r="DC118"/>
  <c r="DD118"/>
  <c r="DE118"/>
  <c r="DF118"/>
  <c r="CU118" s="1"/>
  <c r="DG118"/>
  <c r="DH118"/>
  <c r="DI118"/>
  <c r="DJ118"/>
  <c r="DK118"/>
  <c r="DL118"/>
  <c r="DM118"/>
  <c r="DN118"/>
  <c r="DO118"/>
  <c r="DP118"/>
  <c r="DQ118"/>
  <c r="DR118"/>
  <c r="DS118"/>
  <c r="DT118"/>
  <c r="DU118"/>
  <c r="DV118"/>
  <c r="DW118"/>
  <c r="DX118"/>
  <c r="DY118"/>
  <c r="DZ118"/>
  <c r="EA118"/>
  <c r="EB118"/>
  <c r="EC118"/>
  <c r="ED118"/>
  <c r="EE118"/>
  <c r="EF118"/>
  <c r="EG118"/>
  <c r="EH118"/>
  <c r="EI118"/>
  <c r="EJ118"/>
  <c r="EK118"/>
  <c r="EL118"/>
  <c r="EM118"/>
  <c r="EN118"/>
  <c r="EO118"/>
  <c r="EP118"/>
  <c r="EQ118"/>
  <c r="ER118"/>
  <c r="ES118"/>
  <c r="ET118"/>
  <c r="EU118"/>
  <c r="EV118"/>
  <c r="EW118"/>
  <c r="EX118"/>
  <c r="EY118"/>
  <c r="EZ118"/>
  <c r="FA118"/>
  <c r="FB118"/>
  <c r="FC118"/>
  <c r="FD118"/>
  <c r="FE118"/>
  <c r="FF118"/>
  <c r="FG118"/>
  <c r="FH118"/>
  <c r="FI118"/>
  <c r="FJ118"/>
  <c r="FK118"/>
  <c r="FL118"/>
  <c r="FM118"/>
  <c r="FN118"/>
  <c r="FO118"/>
  <c r="FP118"/>
  <c r="FQ118"/>
  <c r="FR118"/>
  <c r="FS118"/>
  <c r="CN119"/>
  <c r="CO119"/>
  <c r="CP119"/>
  <c r="CQ119"/>
  <c r="CR119"/>
  <c r="CV119"/>
  <c r="DB119"/>
  <c r="CU119" s="1"/>
  <c r="DC119"/>
  <c r="DD119"/>
  <c r="DE119"/>
  <c r="DF119"/>
  <c r="DG119"/>
  <c r="DH119"/>
  <c r="DI119"/>
  <c r="DJ119"/>
  <c r="DK119"/>
  <c r="DL119"/>
  <c r="DM119"/>
  <c r="DN119"/>
  <c r="DO119"/>
  <c r="DP119"/>
  <c r="DQ119"/>
  <c r="DR119"/>
  <c r="DS119"/>
  <c r="DT119"/>
  <c r="DU119"/>
  <c r="DV119"/>
  <c r="DW119"/>
  <c r="DX119"/>
  <c r="DY119"/>
  <c r="DZ119"/>
  <c r="EA119"/>
  <c r="EB119"/>
  <c r="EC119"/>
  <c r="ED119"/>
  <c r="EE119"/>
  <c r="EF119"/>
  <c r="EG119"/>
  <c r="EH119"/>
  <c r="EI119"/>
  <c r="EJ119"/>
  <c r="EK119"/>
  <c r="EL119"/>
  <c r="EM119"/>
  <c r="EN119"/>
  <c r="EO119"/>
  <c r="EP119"/>
  <c r="EQ119"/>
  <c r="ER119"/>
  <c r="ES119"/>
  <c r="ET119"/>
  <c r="EU119"/>
  <c r="EV119"/>
  <c r="EW119"/>
  <c r="EX119"/>
  <c r="EY119"/>
  <c r="EZ119"/>
  <c r="FA119"/>
  <c r="FB119"/>
  <c r="FC119"/>
  <c r="FD119"/>
  <c r="FE119"/>
  <c r="FF119"/>
  <c r="FG119"/>
  <c r="FH119"/>
  <c r="FI119"/>
  <c r="FJ119"/>
  <c r="FK119"/>
  <c r="FL119"/>
  <c r="FM119"/>
  <c r="FN119"/>
  <c r="FO119"/>
  <c r="FP119"/>
  <c r="FQ119"/>
  <c r="FR119"/>
  <c r="FS119"/>
  <c r="CN120"/>
  <c r="CO120"/>
  <c r="CP120"/>
  <c r="CQ120"/>
  <c r="CR120"/>
  <c r="CV120"/>
  <c r="DB120"/>
  <c r="DC120"/>
  <c r="DD120"/>
  <c r="DE120"/>
  <c r="DF120"/>
  <c r="DG120"/>
  <c r="DH120"/>
  <c r="CU120" s="1"/>
  <c r="DI120"/>
  <c r="DJ120"/>
  <c r="DK120"/>
  <c r="DL120"/>
  <c r="DM120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EK120"/>
  <c r="EL120"/>
  <c r="EM120"/>
  <c r="EN120"/>
  <c r="EO120"/>
  <c r="EP120"/>
  <c r="EQ120"/>
  <c r="ER120"/>
  <c r="ES120"/>
  <c r="ET120"/>
  <c r="EU120"/>
  <c r="EV120"/>
  <c r="EW120"/>
  <c r="EX120"/>
  <c r="EY120"/>
  <c r="EZ120"/>
  <c r="FA120"/>
  <c r="FB120"/>
  <c r="FC120"/>
  <c r="FD120"/>
  <c r="FE120"/>
  <c r="FF120"/>
  <c r="FG120"/>
  <c r="FH120"/>
  <c r="FI120"/>
  <c r="FJ120"/>
  <c r="FK120"/>
  <c r="FL120"/>
  <c r="FM120"/>
  <c r="FN120"/>
  <c r="FO120"/>
  <c r="FP120"/>
  <c r="FQ120"/>
  <c r="FR120"/>
  <c r="FS120"/>
  <c r="CN121"/>
  <c r="CO121"/>
  <c r="CP121"/>
  <c r="CQ121"/>
  <c r="CR121"/>
  <c r="CV121"/>
  <c r="DB121"/>
  <c r="DC121"/>
  <c r="CU121" s="1"/>
  <c r="DD121"/>
  <c r="DE121"/>
  <c r="DF121"/>
  <c r="DG121"/>
  <c r="DH121"/>
  <c r="DI121"/>
  <c r="DJ121"/>
  <c r="DK121"/>
  <c r="DL121"/>
  <c r="DM121"/>
  <c r="DN121"/>
  <c r="DO121"/>
  <c r="DP121"/>
  <c r="DQ121"/>
  <c r="DR121"/>
  <c r="DS121"/>
  <c r="DT121"/>
  <c r="DU121"/>
  <c r="DV121"/>
  <c r="DW121"/>
  <c r="DX121"/>
  <c r="DY121"/>
  <c r="DZ121"/>
  <c r="EA121"/>
  <c r="EB121"/>
  <c r="EC121"/>
  <c r="ED121"/>
  <c r="EE121"/>
  <c r="EF121"/>
  <c r="EG121"/>
  <c r="EH121"/>
  <c r="EI121"/>
  <c r="EJ121"/>
  <c r="EK121"/>
  <c r="EL121"/>
  <c r="EM121"/>
  <c r="EN121"/>
  <c r="EO121"/>
  <c r="EP121"/>
  <c r="EQ121"/>
  <c r="ER121"/>
  <c r="ES121"/>
  <c r="ET121"/>
  <c r="EU121"/>
  <c r="EV121"/>
  <c r="EW121"/>
  <c r="EX121"/>
  <c r="EY121"/>
  <c r="EZ121"/>
  <c r="FA121"/>
  <c r="FB121"/>
  <c r="FC121"/>
  <c r="FD121"/>
  <c r="FE121"/>
  <c r="FF121"/>
  <c r="FG121"/>
  <c r="FH121"/>
  <c r="FI121"/>
  <c r="FJ121"/>
  <c r="FK121"/>
  <c r="FL121"/>
  <c r="FM121"/>
  <c r="FN121"/>
  <c r="FO121"/>
  <c r="FP121"/>
  <c r="FQ121"/>
  <c r="FR121"/>
  <c r="FS121"/>
  <c r="CN122"/>
  <c r="CO122"/>
  <c r="CP122"/>
  <c r="CQ122"/>
  <c r="CR122"/>
  <c r="CV122"/>
  <c r="DB122"/>
  <c r="CU122" s="1"/>
  <c r="DC122"/>
  <c r="DD122"/>
  <c r="DE122"/>
  <c r="DF122"/>
  <c r="DG122"/>
  <c r="DH122"/>
  <c r="DI122"/>
  <c r="DJ122"/>
  <c r="DK122"/>
  <c r="DL122"/>
  <c r="DM122"/>
  <c r="DN122"/>
  <c r="DO122"/>
  <c r="DP122"/>
  <c r="DQ122"/>
  <c r="DR122"/>
  <c r="DS122"/>
  <c r="DT122"/>
  <c r="DU122"/>
  <c r="DV122"/>
  <c r="DW122"/>
  <c r="DX122"/>
  <c r="DY122"/>
  <c r="DZ122"/>
  <c r="EA122"/>
  <c r="EB122"/>
  <c r="EC122"/>
  <c r="ED122"/>
  <c r="EE122"/>
  <c r="EF122"/>
  <c r="EG122"/>
  <c r="EH122"/>
  <c r="EI122"/>
  <c r="EJ122"/>
  <c r="EK122"/>
  <c r="EL122"/>
  <c r="EM122"/>
  <c r="EN122"/>
  <c r="EO122"/>
  <c r="EP122"/>
  <c r="EQ122"/>
  <c r="ER122"/>
  <c r="ES122"/>
  <c r="ET122"/>
  <c r="EU122"/>
  <c r="EV122"/>
  <c r="EW122"/>
  <c r="EX122"/>
  <c r="EY122"/>
  <c r="EZ122"/>
  <c r="FA122"/>
  <c r="FB122"/>
  <c r="FC122"/>
  <c r="FD122"/>
  <c r="FE122"/>
  <c r="FF122"/>
  <c r="FG122"/>
  <c r="FH122"/>
  <c r="FI122"/>
  <c r="FJ122"/>
  <c r="FK122"/>
  <c r="FL122"/>
  <c r="FM122"/>
  <c r="FN122"/>
  <c r="FO122"/>
  <c r="FP122"/>
  <c r="FQ122"/>
  <c r="FR122"/>
  <c r="FS122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CU115" s="1"/>
  <c r="DC115"/>
  <c r="DB115"/>
  <c r="CV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CU111" s="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CU110" s="1"/>
  <c r="DC110"/>
  <c r="DB110"/>
  <c r="CV110"/>
  <c r="CR110"/>
  <c r="CQ110"/>
  <c r="CP110"/>
  <c r="CO110"/>
  <c r="CN110"/>
  <c r="CN97"/>
  <c r="CO97"/>
  <c r="CP97"/>
  <c r="CQ97"/>
  <c r="CR97"/>
  <c r="CV97"/>
  <c r="DB97"/>
  <c r="CU97" s="1"/>
  <c r="DC97"/>
  <c r="DD97"/>
  <c r="DE97"/>
  <c r="DF97"/>
  <c r="DG97"/>
  <c r="DH97"/>
  <c r="DI97"/>
  <c r="DJ97"/>
  <c r="DK97"/>
  <c r="DL97"/>
  <c r="DM97"/>
  <c r="DN97"/>
  <c r="DO97"/>
  <c r="DP97"/>
  <c r="DQ97"/>
  <c r="DR97"/>
  <c r="DS97"/>
  <c r="DT97"/>
  <c r="DU97"/>
  <c r="DV97"/>
  <c r="DW97"/>
  <c r="DX97"/>
  <c r="DY97"/>
  <c r="DZ97"/>
  <c r="EA97"/>
  <c r="EB97"/>
  <c r="EC97"/>
  <c r="ED97"/>
  <c r="EE97"/>
  <c r="EF97"/>
  <c r="EG97"/>
  <c r="EH97"/>
  <c r="EI97"/>
  <c r="EJ97"/>
  <c r="EK97"/>
  <c r="EL97"/>
  <c r="EM97"/>
  <c r="EN97"/>
  <c r="EO97"/>
  <c r="EP97"/>
  <c r="EQ97"/>
  <c r="ER97"/>
  <c r="ES97"/>
  <c r="ET97"/>
  <c r="EU97"/>
  <c r="EV97"/>
  <c r="EW97"/>
  <c r="EX97"/>
  <c r="EY97"/>
  <c r="EZ97"/>
  <c r="FA97"/>
  <c r="FB97"/>
  <c r="FC97"/>
  <c r="FD97"/>
  <c r="FE97"/>
  <c r="FF97"/>
  <c r="FG97"/>
  <c r="FH97"/>
  <c r="FI97"/>
  <c r="FJ97"/>
  <c r="FK97"/>
  <c r="FL97"/>
  <c r="FM97"/>
  <c r="FN97"/>
  <c r="FO97"/>
  <c r="FP97"/>
  <c r="FQ97"/>
  <c r="FR97"/>
  <c r="FS97"/>
  <c r="CN98"/>
  <c r="CO98"/>
  <c r="CP98"/>
  <c r="CQ98"/>
  <c r="CR98"/>
  <c r="CV98"/>
  <c r="DB98"/>
  <c r="DC98"/>
  <c r="CU98" s="1"/>
  <c r="DD98"/>
  <c r="DE98"/>
  <c r="DF98"/>
  <c r="DG98"/>
  <c r="DH98"/>
  <c r="DI98"/>
  <c r="DJ98"/>
  <c r="DK98"/>
  <c r="DL98"/>
  <c r="DM98"/>
  <c r="DN98"/>
  <c r="DO98"/>
  <c r="DP98"/>
  <c r="DQ98"/>
  <c r="DR98"/>
  <c r="DS98"/>
  <c r="DT98"/>
  <c r="DU98"/>
  <c r="DV98"/>
  <c r="DW98"/>
  <c r="DX98"/>
  <c r="DY98"/>
  <c r="DZ98"/>
  <c r="EA98"/>
  <c r="EB98"/>
  <c r="EC98"/>
  <c r="ED98"/>
  <c r="EE98"/>
  <c r="EF98"/>
  <c r="EG98"/>
  <c r="EH98"/>
  <c r="EI98"/>
  <c r="EJ98"/>
  <c r="EK98"/>
  <c r="EL98"/>
  <c r="EM98"/>
  <c r="EN98"/>
  <c r="EO98"/>
  <c r="EP98"/>
  <c r="EQ98"/>
  <c r="ER98"/>
  <c r="ES98"/>
  <c r="ET98"/>
  <c r="EU98"/>
  <c r="EV98"/>
  <c r="EW98"/>
  <c r="EX98"/>
  <c r="EY98"/>
  <c r="EZ98"/>
  <c r="FA98"/>
  <c r="FB98"/>
  <c r="FC98"/>
  <c r="FD98"/>
  <c r="FE98"/>
  <c r="FF98"/>
  <c r="FG98"/>
  <c r="FH98"/>
  <c r="FI98"/>
  <c r="FJ98"/>
  <c r="FK98"/>
  <c r="FL98"/>
  <c r="FM98"/>
  <c r="FN98"/>
  <c r="FO98"/>
  <c r="FP98"/>
  <c r="FQ98"/>
  <c r="FR98"/>
  <c r="FS98"/>
  <c r="CN99"/>
  <c r="CO99"/>
  <c r="CP99"/>
  <c r="CQ99"/>
  <c r="CR99"/>
  <c r="CV99"/>
  <c r="DB99"/>
  <c r="DC99"/>
  <c r="CU99" s="1"/>
  <c r="DD99"/>
  <c r="DE99"/>
  <c r="DF99"/>
  <c r="DG99"/>
  <c r="DH99"/>
  <c r="DI99"/>
  <c r="DJ99"/>
  <c r="DK99"/>
  <c r="DL99"/>
  <c r="DM99"/>
  <c r="DN99"/>
  <c r="DO99"/>
  <c r="DP99"/>
  <c r="DQ99"/>
  <c r="DR99"/>
  <c r="DS99"/>
  <c r="DT99"/>
  <c r="DU99"/>
  <c r="DV99"/>
  <c r="DW99"/>
  <c r="DX99"/>
  <c r="DY99"/>
  <c r="DZ99"/>
  <c r="EA99"/>
  <c r="EB99"/>
  <c r="EC99"/>
  <c r="ED99"/>
  <c r="EE99"/>
  <c r="EF99"/>
  <c r="EG99"/>
  <c r="EH99"/>
  <c r="EI99"/>
  <c r="EJ99"/>
  <c r="EK99"/>
  <c r="EL99"/>
  <c r="EM99"/>
  <c r="EN99"/>
  <c r="EO99"/>
  <c r="EP99"/>
  <c r="EQ99"/>
  <c r="ER99"/>
  <c r="ES99"/>
  <c r="ET99"/>
  <c r="EU99"/>
  <c r="EV99"/>
  <c r="EW99"/>
  <c r="EX99"/>
  <c r="EY99"/>
  <c r="EZ99"/>
  <c r="FA99"/>
  <c r="FB99"/>
  <c r="FC99"/>
  <c r="FD99"/>
  <c r="FE99"/>
  <c r="FF99"/>
  <c r="FG99"/>
  <c r="FH99"/>
  <c r="FI99"/>
  <c r="FJ99"/>
  <c r="FK99"/>
  <c r="FL99"/>
  <c r="FM99"/>
  <c r="FN99"/>
  <c r="FO99"/>
  <c r="FP99"/>
  <c r="FQ99"/>
  <c r="FR99"/>
  <c r="FS99"/>
  <c r="CN100"/>
  <c r="CO100"/>
  <c r="CP100"/>
  <c r="CQ100"/>
  <c r="CR100"/>
  <c r="CV100"/>
  <c r="DB100"/>
  <c r="DC100"/>
  <c r="DD100"/>
  <c r="DE100"/>
  <c r="CU100" s="1"/>
  <c r="DF100"/>
  <c r="DG100"/>
  <c r="DH100"/>
  <c r="DI100"/>
  <c r="DJ100"/>
  <c r="DK100"/>
  <c r="DL100"/>
  <c r="DM100"/>
  <c r="DN100"/>
  <c r="DO100"/>
  <c r="DP100"/>
  <c r="DQ100"/>
  <c r="DR100"/>
  <c r="DS100"/>
  <c r="DT100"/>
  <c r="DU100"/>
  <c r="DV100"/>
  <c r="DW100"/>
  <c r="DX100"/>
  <c r="DY100"/>
  <c r="DZ100"/>
  <c r="EA100"/>
  <c r="EB100"/>
  <c r="EC100"/>
  <c r="ED100"/>
  <c r="EE100"/>
  <c r="EF100"/>
  <c r="EG100"/>
  <c r="EH100"/>
  <c r="EI100"/>
  <c r="EJ100"/>
  <c r="EK100"/>
  <c r="EL100"/>
  <c r="EM100"/>
  <c r="EN100"/>
  <c r="EO100"/>
  <c r="EP100"/>
  <c r="EQ100"/>
  <c r="ER100"/>
  <c r="ES100"/>
  <c r="ET100"/>
  <c r="EU100"/>
  <c r="EV100"/>
  <c r="EW100"/>
  <c r="EX100"/>
  <c r="EY100"/>
  <c r="EZ100"/>
  <c r="FA100"/>
  <c r="FB100"/>
  <c r="FC100"/>
  <c r="FD100"/>
  <c r="FE100"/>
  <c r="FF100"/>
  <c r="FG100"/>
  <c r="FH100"/>
  <c r="FI100"/>
  <c r="FJ100"/>
  <c r="FK100"/>
  <c r="FL100"/>
  <c r="FM100"/>
  <c r="FN100"/>
  <c r="FO100"/>
  <c r="FP100"/>
  <c r="FQ100"/>
  <c r="FR100"/>
  <c r="FS100"/>
  <c r="CN101"/>
  <c r="CO101"/>
  <c r="CP101"/>
  <c r="CQ101"/>
  <c r="CR101"/>
  <c r="CV101"/>
  <c r="DB101"/>
  <c r="DC101"/>
  <c r="DD101"/>
  <c r="DE101"/>
  <c r="CU101" s="1"/>
  <c r="DF101"/>
  <c r="DG101"/>
  <c r="DH101"/>
  <c r="DI101"/>
  <c r="DJ101"/>
  <c r="DK101"/>
  <c r="DL101"/>
  <c r="DM10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EK101"/>
  <c r="EL101"/>
  <c r="EM101"/>
  <c r="EN101"/>
  <c r="EO101"/>
  <c r="EP101"/>
  <c r="EQ101"/>
  <c r="ER101"/>
  <c r="ES101"/>
  <c r="ET101"/>
  <c r="EU101"/>
  <c r="EV101"/>
  <c r="EW101"/>
  <c r="EX101"/>
  <c r="EY101"/>
  <c r="EZ101"/>
  <c r="FA101"/>
  <c r="FB101"/>
  <c r="FC101"/>
  <c r="FD101"/>
  <c r="FE101"/>
  <c r="FF101"/>
  <c r="FG101"/>
  <c r="FH101"/>
  <c r="FI101"/>
  <c r="FJ101"/>
  <c r="FK101"/>
  <c r="FL101"/>
  <c r="FM101"/>
  <c r="FN101"/>
  <c r="FO101"/>
  <c r="FP101"/>
  <c r="FQ101"/>
  <c r="FR101"/>
  <c r="FS101"/>
  <c r="CN102"/>
  <c r="CO102"/>
  <c r="CP102"/>
  <c r="CQ102"/>
  <c r="CR102"/>
  <c r="CV102"/>
  <c r="DB102"/>
  <c r="DC102"/>
  <c r="DD102"/>
  <c r="DE102"/>
  <c r="DF102"/>
  <c r="DG102"/>
  <c r="CU102" s="1"/>
  <c r="DH102"/>
  <c r="DI102"/>
  <c r="DJ102"/>
  <c r="DK102"/>
  <c r="DL102"/>
  <c r="DM102"/>
  <c r="DN102"/>
  <c r="DO102"/>
  <c r="DP102"/>
  <c r="DQ102"/>
  <c r="DR102"/>
  <c r="DS102"/>
  <c r="DT102"/>
  <c r="DU102"/>
  <c r="DV102"/>
  <c r="DW102"/>
  <c r="DX102"/>
  <c r="DY102"/>
  <c r="DZ102"/>
  <c r="EA102"/>
  <c r="EB102"/>
  <c r="EC102"/>
  <c r="ED102"/>
  <c r="EE102"/>
  <c r="EF102"/>
  <c r="EG102"/>
  <c r="EH102"/>
  <c r="EI102"/>
  <c r="EJ102"/>
  <c r="EK102"/>
  <c r="EL102"/>
  <c r="EM102"/>
  <c r="EN102"/>
  <c r="EO102"/>
  <c r="EP102"/>
  <c r="EQ102"/>
  <c r="ER102"/>
  <c r="ES102"/>
  <c r="ET102"/>
  <c r="EU102"/>
  <c r="EV102"/>
  <c r="EW102"/>
  <c r="EX102"/>
  <c r="EY102"/>
  <c r="EZ102"/>
  <c r="FA102"/>
  <c r="FB102"/>
  <c r="FC102"/>
  <c r="FD102"/>
  <c r="FE102"/>
  <c r="FF102"/>
  <c r="FG102"/>
  <c r="FH102"/>
  <c r="FI102"/>
  <c r="FJ102"/>
  <c r="FK102"/>
  <c r="FL102"/>
  <c r="FM102"/>
  <c r="FN102"/>
  <c r="FO102"/>
  <c r="FP102"/>
  <c r="FQ102"/>
  <c r="FR102"/>
  <c r="FS102"/>
  <c r="CN103"/>
  <c r="CO103"/>
  <c r="CP103"/>
  <c r="CQ103"/>
  <c r="CR103"/>
  <c r="CV103"/>
  <c r="DB103"/>
  <c r="CU103" s="1"/>
  <c r="DC103"/>
  <c r="DD103"/>
  <c r="DE103"/>
  <c r="DF103"/>
  <c r="DG103"/>
  <c r="DH103"/>
  <c r="DI103"/>
  <c r="DJ103"/>
  <c r="DK103"/>
  <c r="DL103"/>
  <c r="DM103"/>
  <c r="DN103"/>
  <c r="DO103"/>
  <c r="DP103"/>
  <c r="DQ103"/>
  <c r="DR103"/>
  <c r="DS103"/>
  <c r="DT103"/>
  <c r="DU103"/>
  <c r="DV103"/>
  <c r="DW103"/>
  <c r="DX103"/>
  <c r="DY103"/>
  <c r="DZ103"/>
  <c r="EA103"/>
  <c r="EB103"/>
  <c r="EC103"/>
  <c r="ED103"/>
  <c r="EE103"/>
  <c r="EF103"/>
  <c r="EG103"/>
  <c r="EH103"/>
  <c r="EI103"/>
  <c r="EJ103"/>
  <c r="EK103"/>
  <c r="EL103"/>
  <c r="EM103"/>
  <c r="EN103"/>
  <c r="EO103"/>
  <c r="EP103"/>
  <c r="EQ103"/>
  <c r="ER103"/>
  <c r="ES103"/>
  <c r="ET103"/>
  <c r="EU103"/>
  <c r="EV103"/>
  <c r="EW103"/>
  <c r="EX103"/>
  <c r="EY103"/>
  <c r="EZ103"/>
  <c r="FA103"/>
  <c r="FB103"/>
  <c r="FC103"/>
  <c r="FD103"/>
  <c r="FE103"/>
  <c r="FF103"/>
  <c r="FG103"/>
  <c r="FH103"/>
  <c r="FI103"/>
  <c r="FJ103"/>
  <c r="FK103"/>
  <c r="FL103"/>
  <c r="FM103"/>
  <c r="FN103"/>
  <c r="FO103"/>
  <c r="FP103"/>
  <c r="FQ103"/>
  <c r="FR103"/>
  <c r="FS103"/>
  <c r="CN104"/>
  <c r="CO104"/>
  <c r="CP104"/>
  <c r="CQ104"/>
  <c r="CR104"/>
  <c r="CV104"/>
  <c r="DB104"/>
  <c r="CU104" s="1"/>
  <c r="DC104"/>
  <c r="DD104"/>
  <c r="DE104"/>
  <c r="DF104"/>
  <c r="DG104"/>
  <c r="DH104"/>
  <c r="DI104"/>
  <c r="DJ104"/>
  <c r="DK104"/>
  <c r="DL104"/>
  <c r="DM104"/>
  <c r="DN104"/>
  <c r="DO104"/>
  <c r="DP104"/>
  <c r="DQ104"/>
  <c r="DR104"/>
  <c r="DS104"/>
  <c r="DT104"/>
  <c r="DU104"/>
  <c r="DV104"/>
  <c r="DW104"/>
  <c r="DX104"/>
  <c r="DY104"/>
  <c r="DZ104"/>
  <c r="EA104"/>
  <c r="EB104"/>
  <c r="EC104"/>
  <c r="ED104"/>
  <c r="EE104"/>
  <c r="EF104"/>
  <c r="EG104"/>
  <c r="EH104"/>
  <c r="EI104"/>
  <c r="EJ104"/>
  <c r="EK104"/>
  <c r="EL104"/>
  <c r="EM104"/>
  <c r="EN104"/>
  <c r="EO104"/>
  <c r="EP104"/>
  <c r="EQ104"/>
  <c r="ER104"/>
  <c r="ES104"/>
  <c r="ET104"/>
  <c r="EU104"/>
  <c r="EV104"/>
  <c r="EW104"/>
  <c r="EX104"/>
  <c r="EY104"/>
  <c r="EZ104"/>
  <c r="FA104"/>
  <c r="FB104"/>
  <c r="FC104"/>
  <c r="FD104"/>
  <c r="FE104"/>
  <c r="FF104"/>
  <c r="FG104"/>
  <c r="FH104"/>
  <c r="FI104"/>
  <c r="FJ104"/>
  <c r="FK104"/>
  <c r="FL104"/>
  <c r="FM104"/>
  <c r="FN104"/>
  <c r="FO104"/>
  <c r="FP104"/>
  <c r="FQ104"/>
  <c r="FR104"/>
  <c r="FS104"/>
  <c r="CN105"/>
  <c r="CO105"/>
  <c r="CP105"/>
  <c r="CQ105"/>
  <c r="CR105"/>
  <c r="CV105"/>
  <c r="I105" i="1" s="1"/>
  <c r="K105" s="1"/>
  <c r="DB105" i="2"/>
  <c r="DC105"/>
  <c r="DD105"/>
  <c r="CU105" s="1"/>
  <c r="DE105"/>
  <c r="DF105"/>
  <c r="DG105"/>
  <c r="DH105"/>
  <c r="DI105"/>
  <c r="DJ105"/>
  <c r="DK105"/>
  <c r="DL105"/>
  <c r="DM105"/>
  <c r="DN105"/>
  <c r="DO105"/>
  <c r="DP105"/>
  <c r="DQ105"/>
  <c r="DR105"/>
  <c r="DS105"/>
  <c r="DT105"/>
  <c r="DU105"/>
  <c r="DV105"/>
  <c r="DW105"/>
  <c r="DX105"/>
  <c r="DY105"/>
  <c r="DZ105"/>
  <c r="EA105"/>
  <c r="EB105"/>
  <c r="EC105"/>
  <c r="ED105"/>
  <c r="EE105"/>
  <c r="EF105"/>
  <c r="EG105"/>
  <c r="EH105"/>
  <c r="EI105"/>
  <c r="EJ105"/>
  <c r="EK105"/>
  <c r="EL105"/>
  <c r="EM105"/>
  <c r="EN105"/>
  <c r="EO105"/>
  <c r="EP105"/>
  <c r="EQ105"/>
  <c r="ER105"/>
  <c r="ES105"/>
  <c r="ET105"/>
  <c r="EU105"/>
  <c r="EV105"/>
  <c r="EW105"/>
  <c r="EX105"/>
  <c r="EY105"/>
  <c r="EZ105"/>
  <c r="FA105"/>
  <c r="FB105"/>
  <c r="FC105"/>
  <c r="FD105"/>
  <c r="FE105"/>
  <c r="FF105"/>
  <c r="FG105"/>
  <c r="FH105"/>
  <c r="FI105"/>
  <c r="FJ105"/>
  <c r="FK105"/>
  <c r="FL105"/>
  <c r="FM105"/>
  <c r="FN105"/>
  <c r="FO105"/>
  <c r="FP105"/>
  <c r="FQ105"/>
  <c r="FR105"/>
  <c r="FS105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 s="1"/>
  <c r="CV96"/>
  <c r="CR96"/>
  <c r="CQ96"/>
  <c r="CP96"/>
  <c r="CO96"/>
  <c r="CN96"/>
  <c r="B96" i="1" l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I72"/>
  <c r="G72" i="4" s="1"/>
  <c r="I71" i="2"/>
  <c r="G71" i="4" s="1"/>
  <c r="I70" i="2"/>
  <c r="I69"/>
  <c r="G69" i="4" s="1"/>
  <c r="I68" i="2"/>
  <c r="G68" i="4" s="1"/>
  <c r="I67" i="2"/>
  <c r="G67" i="4" s="1"/>
  <c r="I66" i="2"/>
  <c r="G66" i="4" s="1"/>
  <c r="I65" i="2"/>
  <c r="G65" i="4" s="1"/>
  <c r="I64" i="2"/>
  <c r="I63"/>
  <c r="G63" i="4" s="1"/>
  <c r="I62" i="2"/>
  <c r="I61"/>
  <c r="I60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I46"/>
  <c r="G46" i="4" s="1"/>
  <c r="I45" i="2"/>
  <c r="G45" i="4" s="1"/>
  <c r="I44" i="2"/>
  <c r="G44" i="4" s="1"/>
  <c r="I43" i="2"/>
  <c r="G43" i="4" s="1"/>
  <c r="I42" i="2"/>
  <c r="I41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I31"/>
  <c r="G31" i="4" s="1"/>
  <c r="I30" i="2"/>
  <c r="I29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I11"/>
  <c r="I12"/>
  <c r="I13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I23"/>
  <c r="I24"/>
  <c r="I25"/>
  <c r="G25" i="4" s="1"/>
  <c r="I26" i="2"/>
  <c r="G26" i="4" s="1"/>
  <c r="I3" i="2"/>
  <c r="G3" i="4" s="1"/>
  <c r="G10"/>
  <c r="G11"/>
  <c r="G12"/>
  <c r="G22"/>
  <c r="G23"/>
  <c r="G24"/>
  <c r="G27"/>
  <c r="G30"/>
  <c r="G32"/>
  <c r="G42"/>
  <c r="G47"/>
  <c r="G52"/>
  <c r="G61"/>
  <c r="G62"/>
  <c r="G64"/>
  <c r="G70"/>
  <c r="G73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L225"/>
  <c r="E225"/>
  <c r="D225"/>
  <c r="C225"/>
  <c r="B225"/>
  <c r="A225"/>
  <c r="L224"/>
  <c r="E224"/>
  <c r="D224"/>
  <c r="C224"/>
  <c r="B224"/>
  <c r="A224"/>
  <c r="L223"/>
  <c r="E223"/>
  <c r="D223"/>
  <c r="C223"/>
  <c r="B223"/>
  <c r="A223"/>
  <c r="L222"/>
  <c r="E222"/>
  <c r="D222"/>
  <c r="C222"/>
  <c r="B222"/>
  <c r="A222"/>
  <c r="L221"/>
  <c r="E221"/>
  <c r="D221"/>
  <c r="C221"/>
  <c r="B221"/>
  <c r="A221"/>
  <c r="L220"/>
  <c r="E220"/>
  <c r="D220"/>
  <c r="C220"/>
  <c r="B220"/>
  <c r="A220"/>
  <c r="L219"/>
  <c r="E219"/>
  <c r="D219"/>
  <c r="C219"/>
  <c r="B219"/>
  <c r="A219"/>
  <c r="L218"/>
  <c r="E218"/>
  <c r="D218"/>
  <c r="C218"/>
  <c r="B218"/>
  <c r="A218"/>
  <c r="L217"/>
  <c r="E217"/>
  <c r="D217"/>
  <c r="C217"/>
  <c r="B217"/>
  <c r="A217"/>
  <c r="L216"/>
  <c r="E216"/>
  <c r="D216"/>
  <c r="C216"/>
  <c r="B216"/>
  <c r="A216"/>
  <c r="L215"/>
  <c r="E215"/>
  <c r="D215"/>
  <c r="C215"/>
  <c r="B215"/>
  <c r="A215"/>
  <c r="L214"/>
  <c r="E214"/>
  <c r="D214"/>
  <c r="C214"/>
  <c r="B214"/>
  <c r="A214"/>
  <c r="L213"/>
  <c r="E213"/>
  <c r="D213"/>
  <c r="C213"/>
  <c r="B213"/>
  <c r="A213"/>
  <c r="L212"/>
  <c r="E212"/>
  <c r="D212"/>
  <c r="C212"/>
  <c r="B212"/>
  <c r="A212"/>
  <c r="L211"/>
  <c r="E211"/>
  <c r="D211"/>
  <c r="C211"/>
  <c r="B211"/>
  <c r="A211"/>
  <c r="L210"/>
  <c r="E210"/>
  <c r="D210"/>
  <c r="C210"/>
  <c r="B210"/>
  <c r="A210"/>
  <c r="L209"/>
  <c r="E209"/>
  <c r="D209"/>
  <c r="C209"/>
  <c r="B209"/>
  <c r="A209"/>
  <c r="L208"/>
  <c r="E208"/>
  <c r="D208"/>
  <c r="C208"/>
  <c r="B208"/>
  <c r="A208"/>
  <c r="L207"/>
  <c r="E207"/>
  <c r="D207"/>
  <c r="C207"/>
  <c r="B207"/>
  <c r="A207"/>
  <c r="L206"/>
  <c r="E206"/>
  <c r="D206"/>
  <c r="C206"/>
  <c r="B206"/>
  <c r="A206"/>
  <c r="L205"/>
  <c r="E205"/>
  <c r="D205"/>
  <c r="C205"/>
  <c r="B205"/>
  <c r="A205"/>
  <c r="L204"/>
  <c r="E204"/>
  <c r="D204"/>
  <c r="C204"/>
  <c r="B204"/>
  <c r="A204"/>
  <c r="L203"/>
  <c r="E203"/>
  <c r="D203"/>
  <c r="C203"/>
  <c r="B203"/>
  <c r="A203"/>
  <c r="L202"/>
  <c r="E202"/>
  <c r="D202"/>
  <c r="C202"/>
  <c r="B202"/>
  <c r="A202"/>
  <c r="L201"/>
  <c r="E201"/>
  <c r="D201"/>
  <c r="C201"/>
  <c r="B201"/>
  <c r="A201"/>
  <c r="L200"/>
  <c r="E200"/>
  <c r="D200"/>
  <c r="C200"/>
  <c r="B200"/>
  <c r="A200"/>
  <c r="L199"/>
  <c r="E199"/>
  <c r="D199"/>
  <c r="C199"/>
  <c r="B199"/>
  <c r="A199"/>
  <c r="L198"/>
  <c r="E198"/>
  <c r="D198"/>
  <c r="C198"/>
  <c r="B198"/>
  <c r="A198"/>
  <c r="L197"/>
  <c r="E197"/>
  <c r="D197"/>
  <c r="C197"/>
  <c r="B197"/>
  <c r="A197"/>
  <c r="L196"/>
  <c r="E196"/>
  <c r="D196"/>
  <c r="C196"/>
  <c r="B196"/>
  <c r="A196"/>
  <c r="L195"/>
  <c r="E195"/>
  <c r="D195"/>
  <c r="C195"/>
  <c r="B195"/>
  <c r="A195"/>
  <c r="L194"/>
  <c r="E194"/>
  <c r="D194"/>
  <c r="C194"/>
  <c r="B194"/>
  <c r="A194"/>
  <c r="L193"/>
  <c r="E193"/>
  <c r="D193"/>
  <c r="C193"/>
  <c r="B193"/>
  <c r="A193"/>
  <c r="L192"/>
  <c r="E192"/>
  <c r="D192"/>
  <c r="C192"/>
  <c r="B192"/>
  <c r="A192"/>
  <c r="L191"/>
  <c r="E191"/>
  <c r="D191"/>
  <c r="C191"/>
  <c r="B191"/>
  <c r="A191"/>
  <c r="L190"/>
  <c r="E190"/>
  <c r="D190"/>
  <c r="C190"/>
  <c r="B190"/>
  <c r="A190"/>
  <c r="L189"/>
  <c r="E189"/>
  <c r="D189"/>
  <c r="C189"/>
  <c r="B189"/>
  <c r="A189"/>
  <c r="L188"/>
  <c r="E188"/>
  <c r="D188"/>
  <c r="C188"/>
  <c r="B188"/>
  <c r="A188"/>
  <c r="L187"/>
  <c r="E187"/>
  <c r="D187"/>
  <c r="C187"/>
  <c r="B187"/>
  <c r="A187"/>
  <c r="L186"/>
  <c r="E186"/>
  <c r="D186"/>
  <c r="C186"/>
  <c r="B186"/>
  <c r="A186"/>
  <c r="L185"/>
  <c r="E185"/>
  <c r="D185"/>
  <c r="C185"/>
  <c r="B185"/>
  <c r="A185"/>
  <c r="L96"/>
  <c r="E96"/>
  <c r="D96"/>
  <c r="C96"/>
  <c r="B96"/>
  <c r="A96"/>
  <c r="L95"/>
  <c r="E95"/>
  <c r="D95"/>
  <c r="C95"/>
  <c r="B95"/>
  <c r="A95"/>
  <c r="L94"/>
  <c r="E94"/>
  <c r="D94"/>
  <c r="C94"/>
  <c r="B94"/>
  <c r="A94"/>
  <c r="L93"/>
  <c r="E93"/>
  <c r="D93"/>
  <c r="C93"/>
  <c r="B93"/>
  <c r="A93"/>
  <c r="L92"/>
  <c r="E92"/>
  <c r="D92"/>
  <c r="C92"/>
  <c r="B92"/>
  <c r="A92"/>
  <c r="L91"/>
  <c r="E91"/>
  <c r="D91"/>
  <c r="C91"/>
  <c r="B91"/>
  <c r="A91"/>
  <c r="L90"/>
  <c r="E90"/>
  <c r="D90"/>
  <c r="C90"/>
  <c r="B90"/>
  <c r="A90"/>
  <c r="L89"/>
  <c r="E89"/>
  <c r="D89"/>
  <c r="C89"/>
  <c r="B89"/>
  <c r="A89"/>
  <c r="L88"/>
  <c r="E88"/>
  <c r="D88"/>
  <c r="C88"/>
  <c r="B88"/>
  <c r="A88"/>
  <c r="L87"/>
  <c r="E87"/>
  <c r="D87"/>
  <c r="C87"/>
  <c r="B87"/>
  <c r="A87"/>
  <c r="L86"/>
  <c r="E86"/>
  <c r="D86"/>
  <c r="C86"/>
  <c r="B86"/>
  <c r="A86"/>
  <c r="L85"/>
  <c r="E85"/>
  <c r="D85"/>
  <c r="C85"/>
  <c r="B85"/>
  <c r="A85"/>
  <c r="L84"/>
  <c r="E84"/>
  <c r="D84"/>
  <c r="C84"/>
  <c r="B84"/>
  <c r="A84"/>
  <c r="L83"/>
  <c r="E83"/>
  <c r="D83"/>
  <c r="C83"/>
  <c r="B83"/>
  <c r="A83"/>
  <c r="L82"/>
  <c r="E82"/>
  <c r="D82"/>
  <c r="C82"/>
  <c r="B82"/>
  <c r="A82"/>
  <c r="L81"/>
  <c r="E81"/>
  <c r="D81"/>
  <c r="C81"/>
  <c r="B81"/>
  <c r="A81"/>
  <c r="L80"/>
  <c r="E80"/>
  <c r="D80"/>
  <c r="C80"/>
  <c r="B80"/>
  <c r="A80"/>
  <c r="L79"/>
  <c r="E79"/>
  <c r="D79"/>
  <c r="C79"/>
  <c r="B79"/>
  <c r="A79"/>
  <c r="L78"/>
  <c r="E78"/>
  <c r="D78"/>
  <c r="C78"/>
  <c r="B78"/>
  <c r="A78"/>
  <c r="E77"/>
  <c r="D77"/>
  <c r="C77"/>
  <c r="B77"/>
  <c r="A77"/>
  <c r="E76"/>
  <c r="D76"/>
  <c r="C76"/>
  <c r="B76"/>
  <c r="A76"/>
  <c r="E75"/>
  <c r="D75"/>
  <c r="C75"/>
  <c r="B75"/>
  <c r="A75"/>
  <c r="E74"/>
  <c r="D74"/>
  <c r="C74"/>
  <c r="B74"/>
  <c r="A74"/>
  <c r="E73"/>
  <c r="D73"/>
  <c r="C73"/>
  <c r="B73"/>
  <c r="A73"/>
  <c r="E72"/>
  <c r="D72"/>
  <c r="C72"/>
  <c r="B72"/>
  <c r="A72"/>
  <c r="E71"/>
  <c r="D71"/>
  <c r="C71"/>
  <c r="B71"/>
  <c r="A71"/>
  <c r="E70"/>
  <c r="D70"/>
  <c r="C70"/>
  <c r="B70"/>
  <c r="A70"/>
  <c r="E69"/>
  <c r="D69"/>
  <c r="C69"/>
  <c r="B69"/>
  <c r="A69"/>
  <c r="E68"/>
  <c r="D68"/>
  <c r="C68"/>
  <c r="B68"/>
  <c r="A68"/>
  <c r="E67"/>
  <c r="D67"/>
  <c r="C67"/>
  <c r="B67"/>
  <c r="A67"/>
  <c r="E66"/>
  <c r="D66"/>
  <c r="C66"/>
  <c r="B66"/>
  <c r="A66"/>
  <c r="E65"/>
  <c r="D65"/>
  <c r="C65"/>
  <c r="B65"/>
  <c r="A65"/>
  <c r="E64"/>
  <c r="D64"/>
  <c r="C64"/>
  <c r="B64"/>
  <c r="A64"/>
  <c r="E63"/>
  <c r="D63"/>
  <c r="C63"/>
  <c r="B63"/>
  <c r="A63"/>
  <c r="E62"/>
  <c r="D62"/>
  <c r="C62"/>
  <c r="B62"/>
  <c r="A62"/>
  <c r="E61"/>
  <c r="D61"/>
  <c r="C61"/>
  <c r="B61"/>
  <c r="A61"/>
  <c r="E60"/>
  <c r="D60"/>
  <c r="C60"/>
  <c r="B60"/>
  <c r="A60"/>
  <c r="E59"/>
  <c r="D59"/>
  <c r="C59"/>
  <c r="B59"/>
  <c r="A59"/>
  <c r="E58"/>
  <c r="D58"/>
  <c r="C58"/>
  <c r="B58"/>
  <c r="A58"/>
  <c r="E57"/>
  <c r="D57"/>
  <c r="C57"/>
  <c r="B57"/>
  <c r="A57"/>
  <c r="E56"/>
  <c r="D56"/>
  <c r="C56"/>
  <c r="B56"/>
  <c r="A56"/>
  <c r="E55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E4"/>
  <c r="D4"/>
  <c r="C4"/>
  <c r="B4"/>
  <c r="A4"/>
  <c r="B91" i="1"/>
  <c r="B92"/>
  <c r="FS92" i="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B95" i="1"/>
  <c r="B94"/>
  <c r="FS95" i="2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B93" i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B90" i="1"/>
  <c r="B89"/>
  <c r="B88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Q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H88" i="1" l="1"/>
  <c r="J88" s="1"/>
  <c r="I88"/>
  <c r="H96"/>
  <c r="J96" s="1"/>
  <c r="I96"/>
  <c r="K96" s="1"/>
  <c r="M86"/>
  <c r="M85"/>
  <c r="M84"/>
  <c r="M83"/>
  <c r="M93"/>
  <c r="I93"/>
  <c r="M82"/>
  <c r="M81"/>
  <c r="M95"/>
  <c r="I95"/>
  <c r="K95" s="1"/>
  <c r="M80"/>
  <c r="M94"/>
  <c r="I94"/>
  <c r="M79"/>
  <c r="M91"/>
  <c r="I91"/>
  <c r="H78"/>
  <c r="J78" s="1"/>
  <c r="H90"/>
  <c r="J90" s="1"/>
  <c r="I90"/>
  <c r="M92"/>
  <c r="I92"/>
  <c r="H89"/>
  <c r="J89" s="1"/>
  <c r="I89"/>
  <c r="H91"/>
  <c r="J91" s="1"/>
  <c r="H79"/>
  <c r="J79" s="1"/>
  <c r="M87"/>
  <c r="H92"/>
  <c r="J92" s="1"/>
  <c r="H80"/>
  <c r="J80" s="1"/>
  <c r="M88"/>
  <c r="H93"/>
  <c r="J93" s="1"/>
  <c r="H81"/>
  <c r="J81" s="1"/>
  <c r="M89"/>
  <c r="H94"/>
  <c r="J94" s="1"/>
  <c r="H82"/>
  <c r="J82" s="1"/>
  <c r="M90"/>
  <c r="M78"/>
  <c r="H95"/>
  <c r="J95" s="1"/>
  <c r="H83"/>
  <c r="J83" s="1"/>
  <c r="H84"/>
  <c r="J84" s="1"/>
  <c r="H85"/>
  <c r="J85" s="1"/>
  <c r="H86"/>
  <c r="J86" s="1"/>
  <c r="H87"/>
  <c r="J87" s="1"/>
  <c r="M96"/>
  <c r="M30" i="4"/>
  <c r="M42"/>
  <c r="M38"/>
  <c r="M62"/>
  <c r="M74"/>
  <c r="M79"/>
  <c r="M82"/>
  <c r="M85"/>
  <c r="M88"/>
  <c r="M91"/>
  <c r="M94"/>
  <c r="M196"/>
  <c r="M208"/>
  <c r="M50"/>
  <c r="M54"/>
  <c r="M66"/>
  <c r="M220"/>
  <c r="M14"/>
  <c r="M26"/>
  <c r="M6"/>
  <c r="M18"/>
  <c r="M78"/>
  <c r="M81"/>
  <c r="M84"/>
  <c r="M87"/>
  <c r="M4"/>
  <c r="M16"/>
  <c r="M28"/>
  <c r="M40"/>
  <c r="M52"/>
  <c r="M64"/>
  <c r="M76"/>
  <c r="M12"/>
  <c r="M24"/>
  <c r="M36"/>
  <c r="M48"/>
  <c r="M60"/>
  <c r="M72"/>
  <c r="M19"/>
  <c r="M31"/>
  <c r="M5"/>
  <c r="M17"/>
  <c r="M29"/>
  <c r="M41"/>
  <c r="M53"/>
  <c r="M65"/>
  <c r="M77"/>
  <c r="M10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15"/>
  <c r="M27"/>
  <c r="M39"/>
  <c r="M51"/>
  <c r="M63"/>
  <c r="M75"/>
  <c r="M44"/>
  <c r="M56"/>
  <c r="M68"/>
  <c r="M22"/>
  <c r="M8"/>
  <c r="M20"/>
  <c r="M32"/>
  <c r="M13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11"/>
  <c r="M23"/>
  <c r="M35"/>
  <c r="M47"/>
  <c r="M59"/>
  <c r="M71"/>
  <c r="M9"/>
  <c r="M21"/>
  <c r="M33"/>
  <c r="M45"/>
  <c r="M57"/>
  <c r="M69"/>
  <c r="M187"/>
  <c r="M190"/>
  <c r="M193"/>
  <c r="M199"/>
  <c r="M202"/>
  <c r="M205"/>
  <c r="M211"/>
  <c r="M214"/>
  <c r="M217"/>
  <c r="M223"/>
  <c r="M7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95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1" i="2"/>
  <c r="CU94"/>
  <c r="CU93"/>
  <c r="CU92"/>
  <c r="K93" i="1"/>
  <c r="CU88" i="2"/>
  <c r="CU90"/>
  <c r="CU89"/>
  <c r="AB84" i="3"/>
  <c r="AB78"/>
  <c r="AB85"/>
  <c r="AB79"/>
  <c r="AB87"/>
  <c r="AB77"/>
  <c r="AB83"/>
  <c r="AB81"/>
  <c r="AB82"/>
  <c r="AB86"/>
  <c r="AB80"/>
  <c r="K88" i="1" l="1"/>
  <c r="K91"/>
  <c r="K90"/>
  <c r="K89"/>
  <c r="K94"/>
  <c r="K92"/>
  <c r="A3" i="4"/>
  <c r="B3"/>
  <c r="C3"/>
  <c r="D3"/>
  <c r="E3"/>
  <c r="A46" i="3"/>
  <c r="B46"/>
  <c r="C46"/>
  <c r="D46"/>
  <c r="E46"/>
  <c r="F46"/>
  <c r="T46" s="1"/>
  <c r="Y46" s="1"/>
  <c r="G46"/>
  <c r="U46" s="1"/>
  <c r="Z46" s="1"/>
  <c r="H46"/>
  <c r="V46" s="1"/>
  <c r="AA46" s="1"/>
  <c r="I46"/>
  <c r="J46"/>
  <c r="K46"/>
  <c r="L46"/>
  <c r="M46"/>
  <c r="N46"/>
  <c r="Q46"/>
  <c r="R46"/>
  <c r="W46" s="1"/>
  <c r="S46"/>
  <c r="X46" s="1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D50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Q50"/>
  <c r="R50"/>
  <c r="W50" s="1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R58"/>
  <c r="W58" s="1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Q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58" i="1" l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M3" i="4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D10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Q10"/>
  <c r="R10"/>
  <c r="W10" s="1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R25"/>
  <c r="W25" s="1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R31"/>
  <c r="W31" s="1"/>
  <c r="A32"/>
  <c r="B32"/>
  <c r="C32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Q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Q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Q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H65" i="1" l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H29"/>
  <c r="M29"/>
  <c r="H41"/>
  <c r="M41"/>
  <c r="H53"/>
  <c r="M53"/>
  <c r="M10"/>
  <c r="H10"/>
  <c r="H28"/>
  <c r="M28"/>
  <c r="H40"/>
  <c r="J40" s="1"/>
  <c r="M40"/>
  <c r="H52"/>
  <c r="M52"/>
  <c r="M9"/>
  <c r="H9"/>
  <c r="H27"/>
  <c r="M27"/>
  <c r="H39"/>
  <c r="M39"/>
  <c r="H51"/>
  <c r="J51" s="1"/>
  <c r="M51"/>
  <c r="M8"/>
  <c r="H8"/>
  <c r="M26"/>
  <c r="H26"/>
  <c r="J26" s="1"/>
  <c r="M38"/>
  <c r="H38"/>
  <c r="M50"/>
  <c r="H50"/>
  <c r="J50" s="1"/>
  <c r="M7"/>
  <c r="H7"/>
  <c r="M19"/>
  <c r="H19"/>
  <c r="J19" s="1"/>
  <c r="M25"/>
  <c r="H25"/>
  <c r="J25" s="1"/>
  <c r="M37"/>
  <c r="H37"/>
  <c r="J37" s="1"/>
  <c r="M49"/>
  <c r="H49"/>
  <c r="J49" s="1"/>
  <c r="H6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M3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11"/>
  <c r="J41"/>
  <c r="J53"/>
  <c r="J10"/>
  <c r="J52"/>
  <c r="J9"/>
  <c r="J27"/>
  <c r="J8"/>
  <c r="J38"/>
  <c r="J6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7" i="1"/>
  <c r="J39"/>
  <c r="J28"/>
  <c r="J29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E199" i="8" l="1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28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DB129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DB130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DB131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DB13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DB133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DB134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DB135"/>
  <c r="DC135"/>
  <c r="DD135"/>
  <c r="DE135"/>
  <c r="DF135"/>
  <c r="DG135"/>
  <c r="DH135"/>
  <c r="DI135"/>
  <c r="DJ135"/>
  <c r="DK135"/>
  <c r="DL135"/>
  <c r="DM135"/>
  <c r="DN135"/>
  <c r="DO135"/>
  <c r="DP135"/>
  <c r="DQ135"/>
  <c r="DR135"/>
  <c r="DS135"/>
  <c r="DT135"/>
  <c r="DU135"/>
  <c r="DV135"/>
  <c r="DW135"/>
  <c r="DX135"/>
  <c r="DY135"/>
  <c r="DZ135"/>
  <c r="EA135"/>
  <c r="EB135"/>
  <c r="EC135"/>
  <c r="ED135"/>
  <c r="EE135"/>
  <c r="EF135"/>
  <c r="EG135"/>
  <c r="EH135"/>
  <c r="EI135"/>
  <c r="EJ135"/>
  <c r="EK135"/>
  <c r="EL135"/>
  <c r="EM135"/>
  <c r="EN135"/>
  <c r="EO135"/>
  <c r="EP135"/>
  <c r="EQ135"/>
  <c r="ER135"/>
  <c r="ES135"/>
  <c r="ET135"/>
  <c r="EU135"/>
  <c r="EV135"/>
  <c r="EW135"/>
  <c r="EX135"/>
  <c r="EY135"/>
  <c r="EZ135"/>
  <c r="FA135"/>
  <c r="FB135"/>
  <c r="FC135"/>
  <c r="FD135"/>
  <c r="FE135"/>
  <c r="FF135"/>
  <c r="FG135"/>
  <c r="FH135"/>
  <c r="FI135"/>
  <c r="FJ135"/>
  <c r="FK135"/>
  <c r="FL135"/>
  <c r="FM135"/>
  <c r="FN135"/>
  <c r="FO135"/>
  <c r="FP135"/>
  <c r="FQ135"/>
  <c r="FR135"/>
  <c r="FS135"/>
  <c r="DB136"/>
  <c r="DC136"/>
  <c r="DD136"/>
  <c r="DE136"/>
  <c r="DF136"/>
  <c r="DG136"/>
  <c r="DH136"/>
  <c r="DI136"/>
  <c r="DJ136"/>
  <c r="DK136"/>
  <c r="DL136"/>
  <c r="DM136"/>
  <c r="DN136"/>
  <c r="DO136"/>
  <c r="DP136"/>
  <c r="DQ136"/>
  <c r="DR136"/>
  <c r="DS136"/>
  <c r="DT136"/>
  <c r="DU136"/>
  <c r="DV136"/>
  <c r="DW136"/>
  <c r="DX136"/>
  <c r="DY136"/>
  <c r="DZ136"/>
  <c r="EA136"/>
  <c r="EB136"/>
  <c r="EC136"/>
  <c r="ED136"/>
  <c r="EE136"/>
  <c r="EF136"/>
  <c r="EG136"/>
  <c r="EH136"/>
  <c r="EI136"/>
  <c r="EJ136"/>
  <c r="EK136"/>
  <c r="EL136"/>
  <c r="EM136"/>
  <c r="EN136"/>
  <c r="EO136"/>
  <c r="EP136"/>
  <c r="EQ136"/>
  <c r="ER136"/>
  <c r="ES136"/>
  <c r="ET136"/>
  <c r="EU136"/>
  <c r="EV136"/>
  <c r="EW136"/>
  <c r="EX136"/>
  <c r="EY136"/>
  <c r="EZ136"/>
  <c r="FA136"/>
  <c r="FB136"/>
  <c r="FC136"/>
  <c r="FD136"/>
  <c r="FE136"/>
  <c r="FF136"/>
  <c r="FG136"/>
  <c r="FH136"/>
  <c r="FI136"/>
  <c r="FJ136"/>
  <c r="FK136"/>
  <c r="FL136"/>
  <c r="FM136"/>
  <c r="FN136"/>
  <c r="FO136"/>
  <c r="FP136"/>
  <c r="FQ136"/>
  <c r="FR136"/>
  <c r="FS136"/>
  <c r="DB137"/>
  <c r="DC137"/>
  <c r="DD137"/>
  <c r="DE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EK137"/>
  <c r="EL137"/>
  <c r="EM137"/>
  <c r="EN137"/>
  <c r="EO137"/>
  <c r="EP137"/>
  <c r="EQ137"/>
  <c r="ER137"/>
  <c r="ES137"/>
  <c r="ET137"/>
  <c r="EU137"/>
  <c r="EV137"/>
  <c r="EW137"/>
  <c r="EX137"/>
  <c r="EY137"/>
  <c r="EZ137"/>
  <c r="FA137"/>
  <c r="FB137"/>
  <c r="FC137"/>
  <c r="FD137"/>
  <c r="FE137"/>
  <c r="FF137"/>
  <c r="FG137"/>
  <c r="FH137"/>
  <c r="FI137"/>
  <c r="FJ137"/>
  <c r="FK137"/>
  <c r="FL137"/>
  <c r="FM137"/>
  <c r="FN137"/>
  <c r="FO137"/>
  <c r="FP137"/>
  <c r="FQ137"/>
  <c r="FR137"/>
  <c r="FS137"/>
  <c r="DB138"/>
  <c r="DC138"/>
  <c r="DD138"/>
  <c r="DE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EK138"/>
  <c r="EL138"/>
  <c r="EM138"/>
  <c r="EN138"/>
  <c r="EO138"/>
  <c r="EP138"/>
  <c r="EQ138"/>
  <c r="ER138"/>
  <c r="ES138"/>
  <c r="ET138"/>
  <c r="EU138"/>
  <c r="EV138"/>
  <c r="EW138"/>
  <c r="EX138"/>
  <c r="EY138"/>
  <c r="EZ138"/>
  <c r="FA138"/>
  <c r="FB138"/>
  <c r="FC138"/>
  <c r="FD138"/>
  <c r="FE138"/>
  <c r="FF138"/>
  <c r="FG138"/>
  <c r="FH138"/>
  <c r="FI138"/>
  <c r="FJ138"/>
  <c r="FK138"/>
  <c r="FL138"/>
  <c r="FM138"/>
  <c r="FN138"/>
  <c r="FO138"/>
  <c r="FP138"/>
  <c r="FQ138"/>
  <c r="FR138"/>
  <c r="FS138"/>
  <c r="DB139"/>
  <c r="DC139"/>
  <c r="DD139"/>
  <c r="DE139"/>
  <c r="DF139"/>
  <c r="DG139"/>
  <c r="DH139"/>
  <c r="DI139"/>
  <c r="DJ139"/>
  <c r="DK139"/>
  <c r="DL139"/>
  <c r="DM139"/>
  <c r="DN139"/>
  <c r="DO139"/>
  <c r="DP139"/>
  <c r="DQ139"/>
  <c r="DR139"/>
  <c r="DS139"/>
  <c r="DT139"/>
  <c r="DU139"/>
  <c r="DV139"/>
  <c r="DW139"/>
  <c r="DX139"/>
  <c r="DY139"/>
  <c r="DZ139"/>
  <c r="EA139"/>
  <c r="EB139"/>
  <c r="EC139"/>
  <c r="ED139"/>
  <c r="EE139"/>
  <c r="EF139"/>
  <c r="EG139"/>
  <c r="EH139"/>
  <c r="EI139"/>
  <c r="EJ139"/>
  <c r="EK139"/>
  <c r="EL139"/>
  <c r="EM139"/>
  <c r="EN139"/>
  <c r="EO139"/>
  <c r="EP139"/>
  <c r="EQ139"/>
  <c r="ER139"/>
  <c r="ES139"/>
  <c r="ET139"/>
  <c r="EU139"/>
  <c r="EV139"/>
  <c r="EW139"/>
  <c r="EX139"/>
  <c r="EY139"/>
  <c r="EZ139"/>
  <c r="FA139"/>
  <c r="FB139"/>
  <c r="FC139"/>
  <c r="FD139"/>
  <c r="FE139"/>
  <c r="FF139"/>
  <c r="FG139"/>
  <c r="FH139"/>
  <c r="FI139"/>
  <c r="FJ139"/>
  <c r="FK139"/>
  <c r="FL139"/>
  <c r="FM139"/>
  <c r="FN139"/>
  <c r="FO139"/>
  <c r="FP139"/>
  <c r="FQ139"/>
  <c r="FR139"/>
  <c r="FS139"/>
  <c r="DB140"/>
  <c r="DC140"/>
  <c r="DD140"/>
  <c r="DE140"/>
  <c r="DF140"/>
  <c r="DG140"/>
  <c r="DH140"/>
  <c r="DI140"/>
  <c r="DJ140"/>
  <c r="DK140"/>
  <c r="DL140"/>
  <c r="DM140"/>
  <c r="DN140"/>
  <c r="DO140"/>
  <c r="DP140"/>
  <c r="DQ140"/>
  <c r="DR140"/>
  <c r="DS140"/>
  <c r="DT140"/>
  <c r="DU140"/>
  <c r="DV140"/>
  <c r="DW140"/>
  <c r="DX140"/>
  <c r="DY140"/>
  <c r="DZ140"/>
  <c r="EA140"/>
  <c r="EB140"/>
  <c r="EC140"/>
  <c r="ED140"/>
  <c r="EE140"/>
  <c r="EF140"/>
  <c r="EG140"/>
  <c r="EH140"/>
  <c r="EI140"/>
  <c r="EJ140"/>
  <c r="EK140"/>
  <c r="EL140"/>
  <c r="EM140"/>
  <c r="EN140"/>
  <c r="EO140"/>
  <c r="EP140"/>
  <c r="EQ140"/>
  <c r="ER140"/>
  <c r="ES140"/>
  <c r="ET140"/>
  <c r="EU140"/>
  <c r="EV140"/>
  <c r="EW140"/>
  <c r="EX140"/>
  <c r="EY140"/>
  <c r="EZ140"/>
  <c r="FA140"/>
  <c r="FB140"/>
  <c r="FC140"/>
  <c r="FD140"/>
  <c r="FE140"/>
  <c r="FF140"/>
  <c r="FG140"/>
  <c r="FH140"/>
  <c r="FI140"/>
  <c r="FJ140"/>
  <c r="FK140"/>
  <c r="FL140"/>
  <c r="FM140"/>
  <c r="FN140"/>
  <c r="FO140"/>
  <c r="FP140"/>
  <c r="FQ140"/>
  <c r="FR140"/>
  <c r="FS140"/>
  <c r="DB141"/>
  <c r="DC141"/>
  <c r="DD141"/>
  <c r="DE141"/>
  <c r="DF141"/>
  <c r="DG141"/>
  <c r="DH141"/>
  <c r="DI141"/>
  <c r="DJ141"/>
  <c r="DK141"/>
  <c r="DL141"/>
  <c r="DM141"/>
  <c r="DN141"/>
  <c r="DO141"/>
  <c r="DP141"/>
  <c r="DQ141"/>
  <c r="DR141"/>
  <c r="DS141"/>
  <c r="DT141"/>
  <c r="DU141"/>
  <c r="DV141"/>
  <c r="DW141"/>
  <c r="DX141"/>
  <c r="DY141"/>
  <c r="DZ141"/>
  <c r="EA141"/>
  <c r="EB141"/>
  <c r="EC141"/>
  <c r="ED141"/>
  <c r="EE141"/>
  <c r="EF141"/>
  <c r="EG141"/>
  <c r="EH141"/>
  <c r="EI141"/>
  <c r="EJ141"/>
  <c r="EK141"/>
  <c r="EL141"/>
  <c r="EM141"/>
  <c r="EN141"/>
  <c r="EO141"/>
  <c r="EP141"/>
  <c r="EQ141"/>
  <c r="ER141"/>
  <c r="ES141"/>
  <c r="ET141"/>
  <c r="EU141"/>
  <c r="EV141"/>
  <c r="EW141"/>
  <c r="EX141"/>
  <c r="EY141"/>
  <c r="EZ141"/>
  <c r="FA141"/>
  <c r="FB141"/>
  <c r="FC141"/>
  <c r="FD141"/>
  <c r="FE141"/>
  <c r="FF141"/>
  <c r="FG141"/>
  <c r="FH141"/>
  <c r="FI141"/>
  <c r="FJ141"/>
  <c r="FK141"/>
  <c r="FL141"/>
  <c r="FM141"/>
  <c r="FN141"/>
  <c r="FO141"/>
  <c r="FP141"/>
  <c r="FQ141"/>
  <c r="FR141"/>
  <c r="FS141"/>
  <c r="DB142"/>
  <c r="DC142"/>
  <c r="DD142"/>
  <c r="DE142"/>
  <c r="DF142"/>
  <c r="DG142"/>
  <c r="DH142"/>
  <c r="DI142"/>
  <c r="DJ142"/>
  <c r="DK142"/>
  <c r="DL142"/>
  <c r="DM142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EK142"/>
  <c r="EL142"/>
  <c r="EM142"/>
  <c r="EN142"/>
  <c r="EO142"/>
  <c r="EP142"/>
  <c r="EQ142"/>
  <c r="ER142"/>
  <c r="ES142"/>
  <c r="ET142"/>
  <c r="EU142"/>
  <c r="EV142"/>
  <c r="EW142"/>
  <c r="EX142"/>
  <c r="EY142"/>
  <c r="EZ142"/>
  <c r="FA142"/>
  <c r="FB142"/>
  <c r="FC142"/>
  <c r="FD142"/>
  <c r="FE142"/>
  <c r="FF142"/>
  <c r="FG142"/>
  <c r="FH142"/>
  <c r="FI142"/>
  <c r="FJ142"/>
  <c r="FK142"/>
  <c r="FL142"/>
  <c r="FM142"/>
  <c r="FN142"/>
  <c r="FO142"/>
  <c r="FP142"/>
  <c r="FQ142"/>
  <c r="FR142"/>
  <c r="FS142"/>
  <c r="DB143"/>
  <c r="DC143"/>
  <c r="DD143"/>
  <c r="DE143"/>
  <c r="DF143"/>
  <c r="DG143"/>
  <c r="DH143"/>
  <c r="DI143"/>
  <c r="DJ143"/>
  <c r="DK143"/>
  <c r="DL143"/>
  <c r="DM143"/>
  <c r="DN143"/>
  <c r="DO143"/>
  <c r="DP143"/>
  <c r="DQ143"/>
  <c r="DR143"/>
  <c r="DS143"/>
  <c r="DT143"/>
  <c r="DU143"/>
  <c r="DV143"/>
  <c r="DW143"/>
  <c r="DX143"/>
  <c r="DY143"/>
  <c r="DZ143"/>
  <c r="EA143"/>
  <c r="EB143"/>
  <c r="EC143"/>
  <c r="ED143"/>
  <c r="EE143"/>
  <c r="EF143"/>
  <c r="EG143"/>
  <c r="EH143"/>
  <c r="EI143"/>
  <c r="EJ143"/>
  <c r="EK143"/>
  <c r="EL143"/>
  <c r="EM143"/>
  <c r="EN143"/>
  <c r="EO143"/>
  <c r="EP143"/>
  <c r="EQ143"/>
  <c r="ER143"/>
  <c r="ES143"/>
  <c r="ET143"/>
  <c r="EU143"/>
  <c r="EV143"/>
  <c r="EW143"/>
  <c r="EX143"/>
  <c r="EY143"/>
  <c r="EZ143"/>
  <c r="FA143"/>
  <c r="FB143"/>
  <c r="FC143"/>
  <c r="FD143"/>
  <c r="FE143"/>
  <c r="FF143"/>
  <c r="FG143"/>
  <c r="FH143"/>
  <c r="FI143"/>
  <c r="FJ143"/>
  <c r="FK143"/>
  <c r="FL143"/>
  <c r="FM143"/>
  <c r="FN143"/>
  <c r="FO143"/>
  <c r="FP143"/>
  <c r="FQ143"/>
  <c r="FR143"/>
  <c r="FS143"/>
  <c r="DB144"/>
  <c r="DC144"/>
  <c r="DD144"/>
  <c r="DE144"/>
  <c r="DF144"/>
  <c r="DG144"/>
  <c r="DH144"/>
  <c r="DI144"/>
  <c r="DJ144"/>
  <c r="DK144"/>
  <c r="DL144"/>
  <c r="DM144"/>
  <c r="DN144"/>
  <c r="DO144"/>
  <c r="DP144"/>
  <c r="DQ144"/>
  <c r="DR144"/>
  <c r="DS144"/>
  <c r="DT144"/>
  <c r="DU144"/>
  <c r="DV144"/>
  <c r="DW144"/>
  <c r="DX144"/>
  <c r="DY144"/>
  <c r="DZ144"/>
  <c r="EA144"/>
  <c r="EB144"/>
  <c r="EC144"/>
  <c r="ED144"/>
  <c r="EE144"/>
  <c r="EF144"/>
  <c r="EG144"/>
  <c r="EH144"/>
  <c r="EI144"/>
  <c r="EJ144"/>
  <c r="EK144"/>
  <c r="EL144"/>
  <c r="EM144"/>
  <c r="EN144"/>
  <c r="EO144"/>
  <c r="EP144"/>
  <c r="EQ144"/>
  <c r="ER144"/>
  <c r="ES144"/>
  <c r="ET144"/>
  <c r="EU144"/>
  <c r="EV144"/>
  <c r="EW144"/>
  <c r="EX144"/>
  <c r="EY144"/>
  <c r="EZ144"/>
  <c r="FA144"/>
  <c r="FB144"/>
  <c r="FC144"/>
  <c r="FD144"/>
  <c r="FE144"/>
  <c r="FF144"/>
  <c r="FG144"/>
  <c r="FH144"/>
  <c r="FI144"/>
  <c r="FJ144"/>
  <c r="FK144"/>
  <c r="FL144"/>
  <c r="FM144"/>
  <c r="FN144"/>
  <c r="FO144"/>
  <c r="FP144"/>
  <c r="FQ144"/>
  <c r="FR144"/>
  <c r="FS144"/>
  <c r="DB145"/>
  <c r="DC145"/>
  <c r="DD145"/>
  <c r="DE145"/>
  <c r="DF145"/>
  <c r="DG145"/>
  <c r="DH145"/>
  <c r="DI145"/>
  <c r="DJ145"/>
  <c r="DK145"/>
  <c r="DL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EK145"/>
  <c r="EL145"/>
  <c r="EM145"/>
  <c r="EN145"/>
  <c r="EO145"/>
  <c r="EP145"/>
  <c r="EQ145"/>
  <c r="ER145"/>
  <c r="ES145"/>
  <c r="ET145"/>
  <c r="EU145"/>
  <c r="EV145"/>
  <c r="EW145"/>
  <c r="EX145"/>
  <c r="EY145"/>
  <c r="EZ145"/>
  <c r="FA145"/>
  <c r="FB145"/>
  <c r="FC145"/>
  <c r="FD145"/>
  <c r="FE145"/>
  <c r="FF145"/>
  <c r="FG145"/>
  <c r="FH145"/>
  <c r="FI145"/>
  <c r="FJ145"/>
  <c r="FK145"/>
  <c r="FL145"/>
  <c r="FM145"/>
  <c r="FN145"/>
  <c r="FO145"/>
  <c r="FP145"/>
  <c r="FQ145"/>
  <c r="FR145"/>
  <c r="FS145"/>
  <c r="DB146"/>
  <c r="DC146"/>
  <c r="DD146"/>
  <c r="DE146"/>
  <c r="DF146"/>
  <c r="DG146"/>
  <c r="DH146"/>
  <c r="DI146"/>
  <c r="DJ146"/>
  <c r="DK146"/>
  <c r="DL146"/>
  <c r="DM146"/>
  <c r="DN146"/>
  <c r="DO146"/>
  <c r="DP146"/>
  <c r="DQ146"/>
  <c r="DR146"/>
  <c r="DS146"/>
  <c r="DT146"/>
  <c r="DU146"/>
  <c r="DV146"/>
  <c r="DW146"/>
  <c r="DX146"/>
  <c r="DY146"/>
  <c r="DZ146"/>
  <c r="EA146"/>
  <c r="EB146"/>
  <c r="EC146"/>
  <c r="ED146"/>
  <c r="EE146"/>
  <c r="EF146"/>
  <c r="EG146"/>
  <c r="EH146"/>
  <c r="EI146"/>
  <c r="EJ146"/>
  <c r="EK146"/>
  <c r="EL146"/>
  <c r="EM146"/>
  <c r="EN146"/>
  <c r="EO146"/>
  <c r="EP146"/>
  <c r="EQ146"/>
  <c r="ER146"/>
  <c r="ES146"/>
  <c r="ET146"/>
  <c r="EU146"/>
  <c r="EV146"/>
  <c r="EW146"/>
  <c r="EX146"/>
  <c r="EY146"/>
  <c r="EZ146"/>
  <c r="FA146"/>
  <c r="FB146"/>
  <c r="FC146"/>
  <c r="FD146"/>
  <c r="FE146"/>
  <c r="FF146"/>
  <c r="FG146"/>
  <c r="FH146"/>
  <c r="FI146"/>
  <c r="FJ146"/>
  <c r="FK146"/>
  <c r="FL146"/>
  <c r="FM146"/>
  <c r="FN146"/>
  <c r="FO146"/>
  <c r="FP146"/>
  <c r="FQ146"/>
  <c r="FR146"/>
  <c r="FS146"/>
  <c r="DB147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DB148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DB149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DB150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DB151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DB15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DB153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DB154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DB155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DB156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DB157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DB158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171"/>
  <c r="CU147"/>
  <c r="CU135"/>
  <c r="CU129"/>
  <c r="CU189"/>
  <c r="CU183"/>
  <c r="CU177"/>
  <c r="CU165"/>
  <c r="CU159"/>
  <c r="CU153"/>
  <c r="CU141"/>
  <c r="CU83"/>
  <c r="CU188"/>
  <c r="CU182"/>
  <c r="CU176"/>
  <c r="CU170"/>
  <c r="CU164"/>
  <c r="CU158"/>
  <c r="CU152"/>
  <c r="CU146"/>
  <c r="CU140"/>
  <c r="CU134"/>
  <c r="CU128"/>
  <c r="CU82"/>
  <c r="CU187"/>
  <c r="CU181"/>
  <c r="CU175"/>
  <c r="CU169"/>
  <c r="CU163"/>
  <c r="CU157"/>
  <c r="CU151"/>
  <c r="CU145"/>
  <c r="CU139"/>
  <c r="CU133"/>
  <c r="CU192"/>
  <c r="CU186"/>
  <c r="CU180"/>
  <c r="CU174"/>
  <c r="CU168"/>
  <c r="CU162"/>
  <c r="CU156"/>
  <c r="CU150"/>
  <c r="CU144"/>
  <c r="CU138"/>
  <c r="CU132"/>
  <c r="CU191"/>
  <c r="CU185"/>
  <c r="CU179"/>
  <c r="CU173"/>
  <c r="CU167"/>
  <c r="CU161"/>
  <c r="CU155"/>
  <c r="CU149"/>
  <c r="CU143"/>
  <c r="CU137"/>
  <c r="CU131"/>
  <c r="CU85"/>
  <c r="CU79"/>
  <c r="CU3"/>
  <c r="CU190"/>
  <c r="CU184"/>
  <c r="CU178"/>
  <c r="CU172"/>
  <c r="CU166"/>
  <c r="CU160"/>
  <c r="CU154"/>
  <c r="CU148"/>
  <c r="CU142"/>
  <c r="CU136"/>
  <c r="CU130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Q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Q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178" i="2"/>
  <c r="CO178"/>
  <c r="CP178"/>
  <c r="CQ178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178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Q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Q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Q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Q235"/>
  <c r="A236"/>
  <c r="B236"/>
  <c r="C236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Q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175" i="2"/>
  <c r="CO175"/>
  <c r="CP175"/>
  <c r="CQ175"/>
  <c r="CN176"/>
  <c r="CO176"/>
  <c r="CP176"/>
  <c r="CQ176"/>
  <c r="CN177"/>
  <c r="CO177"/>
  <c r="CP177"/>
  <c r="CQ177"/>
  <c r="CR177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CR175" l="1"/>
  <c r="CR176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58" i="2"/>
  <c r="CO158"/>
  <c r="CP158"/>
  <c r="CQ158"/>
  <c r="CN159"/>
  <c r="CO159"/>
  <c r="CP159"/>
  <c r="CQ159"/>
  <c r="CN160"/>
  <c r="CO160"/>
  <c r="CP160"/>
  <c r="CQ160"/>
  <c r="CN161"/>
  <c r="CO161"/>
  <c r="CP161"/>
  <c r="CQ161"/>
  <c r="CR161"/>
  <c r="CN162"/>
  <c r="CO162"/>
  <c r="CP162"/>
  <c r="CQ162"/>
  <c r="CN163"/>
  <c r="CO163"/>
  <c r="CP163"/>
  <c r="CQ163"/>
  <c r="CN164"/>
  <c r="CO164"/>
  <c r="CP164"/>
  <c r="CQ164"/>
  <c r="CR164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Q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Q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Q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57" i="2"/>
  <c r="CQ157"/>
  <c r="CP157"/>
  <c r="CO157"/>
  <c r="CN157"/>
  <c r="CR163" l="1"/>
  <c r="CR158"/>
  <c r="CR160"/>
  <c r="CR162"/>
  <c r="CR159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D192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Q192"/>
  <c r="R192"/>
  <c r="W192" s="1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Q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CV79" i="2" s="1"/>
  <c r="P6" i="3"/>
  <c r="P10"/>
  <c r="P7"/>
  <c r="P16"/>
  <c r="P8"/>
  <c r="P3"/>
  <c r="P14"/>
  <c r="P72"/>
  <c r="P57"/>
  <c r="P73"/>
  <c r="P64"/>
  <c r="CV82" i="2"/>
  <c r="P75" i="3"/>
  <c r="P66"/>
  <c r="P69"/>
  <c r="P76"/>
  <c r="P67"/>
  <c r="P62"/>
  <c r="CV63" i="2" s="1"/>
  <c r="I63" i="1" s="1"/>
  <c r="P74" i="3"/>
  <c r="P58"/>
  <c r="P65"/>
  <c r="P59"/>
  <c r="P63"/>
  <c r="P70"/>
  <c r="P68"/>
  <c r="P71"/>
  <c r="P61"/>
  <c r="CV80" i="2"/>
  <c r="P52" i="3"/>
  <c r="P29"/>
  <c r="P44"/>
  <c r="P39"/>
  <c r="P98"/>
  <c r="P91"/>
  <c r="P23"/>
  <c r="P26"/>
  <c r="P36"/>
  <c r="P45"/>
  <c r="P95"/>
  <c r="P21"/>
  <c r="P97"/>
  <c r="P27"/>
  <c r="P18"/>
  <c r="P30"/>
  <c r="CV56" i="2" s="1"/>
  <c r="I56" i="1" s="1"/>
  <c r="P89" i="3"/>
  <c r="P92"/>
  <c r="P22"/>
  <c r="P41"/>
  <c r="P88"/>
  <c r="P96"/>
  <c r="P33"/>
  <c r="P24"/>
  <c r="P43"/>
  <c r="P90"/>
  <c r="P31"/>
  <c r="P20"/>
  <c r="P32"/>
  <c r="P35"/>
  <c r="CV61" i="2" s="1"/>
  <c r="I61" i="1" s="1"/>
  <c r="P38" i="3"/>
  <c r="P25"/>
  <c r="P34"/>
  <c r="P37"/>
  <c r="P93"/>
  <c r="P19"/>
  <c r="P94"/>
  <c r="P28"/>
  <c r="CV54" i="2" s="1"/>
  <c r="I54" i="1" s="1"/>
  <c r="P42" i="3"/>
  <c r="P40"/>
  <c r="CV41" i="2" s="1"/>
  <c r="I41" i="1" s="1"/>
  <c r="AB154" i="3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I82" i="1" l="1"/>
  <c r="K82" s="1"/>
  <c r="I79"/>
  <c r="K79" s="1"/>
  <c r="I80"/>
  <c r="K80" s="1"/>
  <c r="CV75" i="2"/>
  <c r="I75" i="1" s="1"/>
  <c r="CV87" i="2"/>
  <c r="CV66"/>
  <c r="I66" i="1" s="1"/>
  <c r="CV64" i="2"/>
  <c r="I64" i="1" s="1"/>
  <c r="CV72" i="2"/>
  <c r="I72" i="1" s="1"/>
  <c r="CV68" i="2"/>
  <c r="I68" i="1" s="1"/>
  <c r="CV85" i="2"/>
  <c r="CV83"/>
  <c r="CV73"/>
  <c r="I73" i="1" s="1"/>
  <c r="CV78" i="2"/>
  <c r="CV74"/>
  <c r="I74" i="1" s="1"/>
  <c r="CV65" i="2"/>
  <c r="I65" i="1" s="1"/>
  <c r="CV76" i="2"/>
  <c r="I76" i="1" s="1"/>
  <c r="CV71" i="2"/>
  <c r="I71" i="1" s="1"/>
  <c r="CV67" i="2"/>
  <c r="I67" i="1" s="1"/>
  <c r="CV69" i="2"/>
  <c r="I69" i="1" s="1"/>
  <c r="CV81" i="2"/>
  <c r="CV86"/>
  <c r="CV70"/>
  <c r="I70" i="1" s="1"/>
  <c r="CV84" i="2"/>
  <c r="CV77"/>
  <c r="I77" i="1" s="1"/>
  <c r="CV57" i="2"/>
  <c r="I57" i="1" s="1"/>
  <c r="CV59" i="2"/>
  <c r="I59" i="1" s="1"/>
  <c r="CV60" i="2"/>
  <c r="I60" i="1" s="1"/>
  <c r="CV62" i="2"/>
  <c r="I62" i="1" s="1"/>
  <c r="K41"/>
  <c r="CV58" i="2"/>
  <c r="I58" i="1" s="1"/>
  <c r="CV55" i="2"/>
  <c r="I55" i="1" s="1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44" i="2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CR213"/>
  <c r="CQ213"/>
  <c r="CP213"/>
  <c r="CO213"/>
  <c r="CN213"/>
  <c r="CR212"/>
  <c r="CQ212"/>
  <c r="CP212"/>
  <c r="CO212"/>
  <c r="CN212"/>
  <c r="CR211"/>
  <c r="CQ211"/>
  <c r="CP211"/>
  <c r="CO211"/>
  <c r="CN211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202"/>
  <c r="CQ202"/>
  <c r="CP202"/>
  <c r="CO202"/>
  <c r="CN202"/>
  <c r="CR201"/>
  <c r="CQ201"/>
  <c r="CP201"/>
  <c r="CO201"/>
  <c r="CN201"/>
  <c r="CR200"/>
  <c r="CQ200"/>
  <c r="CP200"/>
  <c r="CO200"/>
  <c r="CN200"/>
  <c r="CU199"/>
  <c r="CR199"/>
  <c r="CQ199"/>
  <c r="CP199"/>
  <c r="CO199"/>
  <c r="CN199"/>
  <c r="CR198"/>
  <c r="CQ198"/>
  <c r="CP198"/>
  <c r="CO198"/>
  <c r="CN198"/>
  <c r="CR197"/>
  <c r="CQ197"/>
  <c r="CP197"/>
  <c r="CO197"/>
  <c r="CN197"/>
  <c r="CR196"/>
  <c r="CQ196"/>
  <c r="CP196"/>
  <c r="CO196"/>
  <c r="CN196"/>
  <c r="CR195"/>
  <c r="CQ195"/>
  <c r="CP195"/>
  <c r="CO195"/>
  <c r="CN195"/>
  <c r="CR194"/>
  <c r="CQ194"/>
  <c r="CP194"/>
  <c r="CO194"/>
  <c r="CN194"/>
  <c r="CR193"/>
  <c r="CQ193"/>
  <c r="CP193"/>
  <c r="CO193"/>
  <c r="CN193"/>
  <c r="CR156"/>
  <c r="CQ156"/>
  <c r="CP156"/>
  <c r="CO156"/>
  <c r="CN156"/>
  <c r="CR155"/>
  <c r="CQ155"/>
  <c r="CP155"/>
  <c r="CO155"/>
  <c r="CN155"/>
  <c r="CR154"/>
  <c r="CQ154"/>
  <c r="CP154"/>
  <c r="CO154"/>
  <c r="CN154"/>
  <c r="CR153"/>
  <c r="CQ153"/>
  <c r="CP153"/>
  <c r="CO153"/>
  <c r="CN153"/>
  <c r="CR152"/>
  <c r="CQ152"/>
  <c r="CP152"/>
  <c r="CO152"/>
  <c r="CN152"/>
  <c r="CR151"/>
  <c r="CQ151"/>
  <c r="CP151"/>
  <c r="CO151"/>
  <c r="CN151"/>
  <c r="CR150"/>
  <c r="CQ150"/>
  <c r="CP150"/>
  <c r="CO150"/>
  <c r="CN150"/>
  <c r="CR149"/>
  <c r="CQ149"/>
  <c r="CP149"/>
  <c r="CO149"/>
  <c r="CN149"/>
  <c r="CR148"/>
  <c r="CQ148"/>
  <c r="CP148"/>
  <c r="CO148"/>
  <c r="CN148"/>
  <c r="CR147"/>
  <c r="CQ147"/>
  <c r="CP147"/>
  <c r="CO147"/>
  <c r="CN147"/>
  <c r="CR146"/>
  <c r="CQ146"/>
  <c r="CP146"/>
  <c r="CO146"/>
  <c r="CN146"/>
  <c r="CR145"/>
  <c r="CQ145"/>
  <c r="CP145"/>
  <c r="CO145"/>
  <c r="CN145"/>
  <c r="CR144"/>
  <c r="CQ144"/>
  <c r="CP144"/>
  <c r="CO144"/>
  <c r="CN144"/>
  <c r="CR143"/>
  <c r="CQ143"/>
  <c r="CP143"/>
  <c r="CO143"/>
  <c r="CN143"/>
  <c r="CR142"/>
  <c r="CQ142"/>
  <c r="CP142"/>
  <c r="CO142"/>
  <c r="CN142"/>
  <c r="CR141"/>
  <c r="CQ141"/>
  <c r="CP141"/>
  <c r="CO141"/>
  <c r="CN141"/>
  <c r="CR140"/>
  <c r="CQ140"/>
  <c r="CP140"/>
  <c r="CO140"/>
  <c r="CN140"/>
  <c r="CR139"/>
  <c r="CQ139"/>
  <c r="CP139"/>
  <c r="CO139"/>
  <c r="CN139"/>
  <c r="CR138"/>
  <c r="CQ138"/>
  <c r="CP138"/>
  <c r="CO138"/>
  <c r="CN138"/>
  <c r="CR137"/>
  <c r="CQ137"/>
  <c r="CP137"/>
  <c r="CO137"/>
  <c r="CN137"/>
  <c r="CR136"/>
  <c r="CQ136"/>
  <c r="CP136"/>
  <c r="CO136"/>
  <c r="CN136"/>
  <c r="CR135"/>
  <c r="CQ135"/>
  <c r="CP135"/>
  <c r="CO135"/>
  <c r="CN135"/>
  <c r="CR134"/>
  <c r="CQ134"/>
  <c r="CP134"/>
  <c r="CO134"/>
  <c r="CN134"/>
  <c r="CR133"/>
  <c r="CQ133"/>
  <c r="CP133"/>
  <c r="CO133"/>
  <c r="CN133"/>
  <c r="CR132"/>
  <c r="CQ132"/>
  <c r="CP132"/>
  <c r="CO132"/>
  <c r="CN132"/>
  <c r="CR131"/>
  <c r="CQ131"/>
  <c r="CP131"/>
  <c r="CO131"/>
  <c r="CN131"/>
  <c r="CR130"/>
  <c r="CQ130"/>
  <c r="CP130"/>
  <c r="CO130"/>
  <c r="CN130"/>
  <c r="CR129"/>
  <c r="CQ129"/>
  <c r="CP129"/>
  <c r="CO129"/>
  <c r="CN129"/>
  <c r="CR128"/>
  <c r="CQ128"/>
  <c r="CP128"/>
  <c r="CO128"/>
  <c r="CN128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31" i="2"/>
  <c r="CU239"/>
  <c r="CU240"/>
  <c r="CV42"/>
  <c r="I42" i="1" s="1"/>
  <c r="CV53" i="2"/>
  <c r="CV40"/>
  <c r="I40" i="1" s="1"/>
  <c r="CV24" i="2"/>
  <c r="CV10"/>
  <c r="CV30"/>
  <c r="CV48"/>
  <c r="I48" i="1" s="1"/>
  <c r="CV28" i="2"/>
  <c r="I28" i="1" s="1"/>
  <c r="CV9" i="2"/>
  <c r="CV51"/>
  <c r="CV29"/>
  <c r="CV38"/>
  <c r="I38" i="1" s="1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195" i="2"/>
  <c r="CU196"/>
  <c r="CU197"/>
  <c r="CU198"/>
  <c r="CU215"/>
  <c r="CU203"/>
  <c r="CU211"/>
  <c r="CU213"/>
  <c r="CU214"/>
  <c r="CU207"/>
  <c r="CU208"/>
  <c r="CU219"/>
  <c r="CU227"/>
  <c r="CU229"/>
  <c r="CU230"/>
  <c r="CU223"/>
  <c r="CU224"/>
  <c r="CU235"/>
  <c r="CU243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193" i="2"/>
  <c r="CU194"/>
  <c r="CU204"/>
  <c r="CU209"/>
  <c r="CU210"/>
  <c r="CU220"/>
  <c r="CU225"/>
  <c r="CU226"/>
  <c r="CU236"/>
  <c r="CU241"/>
  <c r="CU242"/>
  <c r="G59" i="5"/>
  <c r="M59" s="1"/>
  <c r="CB59" s="1"/>
  <c r="CR3" i="2"/>
  <c r="CU201"/>
  <c r="CU202"/>
  <c r="CU212"/>
  <c r="CU217"/>
  <c r="CU218"/>
  <c r="CU228"/>
  <c r="CU233"/>
  <c r="CU234"/>
  <c r="CU244"/>
  <c r="CU200"/>
  <c r="CU205"/>
  <c r="CU206"/>
  <c r="CU216"/>
  <c r="CU221"/>
  <c r="CU222"/>
  <c r="CU232"/>
  <c r="CU237"/>
  <c r="CU238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CV49" i="2"/>
  <c r="I49" i="1" s="1"/>
  <c r="CV50" i="2"/>
  <c r="CV46"/>
  <c r="CV52"/>
  <c r="CV39"/>
  <c r="CV45"/>
  <c r="CV37"/>
  <c r="CV47"/>
  <c r="CV43"/>
  <c r="I43" i="1" s="1"/>
  <c r="CV44" i="2"/>
  <c r="CV31"/>
  <c r="CV27"/>
  <c r="CV32"/>
  <c r="CV20"/>
  <c r="CV26"/>
  <c r="CV36"/>
  <c r="CV35"/>
  <c r="CV21"/>
  <c r="CV25"/>
  <c r="CV34"/>
  <c r="CV33"/>
  <c r="CV22"/>
  <c r="CV23"/>
  <c r="CV19"/>
  <c r="CV7"/>
  <c r="CV8"/>
  <c r="CV17"/>
  <c r="CV15"/>
  <c r="CV18"/>
  <c r="CV16"/>
  <c r="CV14"/>
  <c r="CV12"/>
  <c r="CV11"/>
  <c r="CV13"/>
  <c r="CV4"/>
  <c r="CV6"/>
  <c r="CV5"/>
  <c r="CV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<sst xmlns="http://schemas.openxmlformats.org/spreadsheetml/2006/main" count="3780" uniqueCount="928">
  <si>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</si>
  <si>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</si>
  <si>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</si>
  <si>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</si>
  <si>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</si>
  <si>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</si>
  <si>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</si>
  <si>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</si>
  <si>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</si>
  <si>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</si>
  <si>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</si>
  <si>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</si>
  <si>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</si>
  <si>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</si>
  <si>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</si>
  <si>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</si>
  <si>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</si>
  <si>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</si>
  <si>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</si>
  <si>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</si>
  <si>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</si>
  <si>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</si>
  <si>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</si>
  <si>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</si>
  <si>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</si>
  <si>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</si>
  <si>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</si>
  <si>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</si>
  <si>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</si>
  <si>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</si>
  <si>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</si>
  <si>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</si>
  <si>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</si>
  <si>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</si>
  <si>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</si>
  <si>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</si>
  <si>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</si>
  <si>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</si>
  <si>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</si>
  <si>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</si>
  <si>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</si>
  <si>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</si>
  <si>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</si>
  <si>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</si>
  <si>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</si>
  <si>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</si>
  <si>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</si>
  <si>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</si>
  <si>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</si>
  <si>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</si>
  <si>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</si>
  <si>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</si>
  <si>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</si>
  <si>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</si>
  <si>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</si>
  <si>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</si>
  <si>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</si>
  <si>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</si>
  <si>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</si>
  <si>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</si>
  <si>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</si>
  <si>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</si>
  <si>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</si>
  <si>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</si>
  <si>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</si>
  <si>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</si>
  <si>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</si>
  <si>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</si>
  <si>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</si>
  <si>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</si>
  <si>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</si>
  <si>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</si>
  <si>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</si>
  <si>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</si>
  <si>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</si>
  <si>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</si>
  <si>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</si>
  <si>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</si>
  <si>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</si>
  <si>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</si>
  <si>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</si>
  <si>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</si>
  <si>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</si>
  <si>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</si>
  <si>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</si>
  <si>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</si>
  <si>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</si>
  <si>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</si>
  <si>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</si>
  <si>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</si>
  <si>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</si>
  <si>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</si>
  <si>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</si>
  <si>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</si>
  <si>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</si>
  <si>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</si>
  <si>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</si>
  <si>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</si>
  <si>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</si>
  <si>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</si>
  <si>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</si>
  <si>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</si>
  <si>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</si>
  <si>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</si>
  <si>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</si>
  <si>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</si>
  <si>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</si>
  <si>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</si>
  <si>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</si>
  <si>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</si>
  <si>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</si>
  <si>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</si>
  <si>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</si>
  <si>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</si>
  <si>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</si>
  <si>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</si>
  <si>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</si>
  <si>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</si>
  <si>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</si>
  <si>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</si>
  <si>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</si>
  <si>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</si>
  <si>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</si>
  <si>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</si>
  <si>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</si>
  <si>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</si>
  <si>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</si>
  <si>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</si>
  <si>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</si>
  <si>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</si>
  <si>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</si>
  <si>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</si>
  <si>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</si>
  <si>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</si>
  <si>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</si>
  <si>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</si>
  <si>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</si>
  <si>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</si>
  <si>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</si>
  <si>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</si>
  <si>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</si>
  <si>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</si>
  <si>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</si>
  <si>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</si>
  <si>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</si>
  <si>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</si>
  <si>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</si>
  <si>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</si>
  <si>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</si>
  <si>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</si>
  <si>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</si>
  <si>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</si>
  <si>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</si>
  <si>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</si>
  <si>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</si>
  <si>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</si>
  <si>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</si>
  <si>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</si>
  <si>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</si>
  <si>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</si>
  <si>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</si>
  <si>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</si>
  <si>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</si>
  <si>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</si>
  <si>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</si>
  <si>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</si>
  <si>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</si>
  <si>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</si>
  <si>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</si>
  <si>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</si>
  <si>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</si>
  <si>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</si>
  <si>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</si>
  <si>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</si>
  <si>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</si>
  <si>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</si>
  <si>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</si>
  <si>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</si>
  <si>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</si>
  <si>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</si>
  <si>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</si>
  <si>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</si>
  <si>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</si>
  <si>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</si>
  <si>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</si>
  <si>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</si>
  <si>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</si>
  <si>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</si>
  <si>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</si>
  <si>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</si>
  <si>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</si>
  <si>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</si>
  <si>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</si>
  <si>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</si>
  <si>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</si>
  <si>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</si>
  <si>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</si>
  <si>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</si>
  <si>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</si>
  <si>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</si>
  <si>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</si>
  <si>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</si>
  <si>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</si>
  <si>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</si>
  <si>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</si>
  <si>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</si>
  <si>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</si>
  <si>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</si>
  <si>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</si>
  <si>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</si>
  <si>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</si>
  <si>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</si>
  <si>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</si>
  <si>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</si>
  <si>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</si>
  <si>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</si>
  <si>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</si>
  <si>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</si>
  <si>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</si>
  <si>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</si>
  <si>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</si>
  <si>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</si>
  <si>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</si>
  <si>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</si>
  <si>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</si>
  <si>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</si>
  <si>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</si>
  <si>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</si>
  <si>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</si>
  <si>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</si>
  <si>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</si>
  <si>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</si>
  <si>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</si>
  <si>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</si>
  <si>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</si>
  <si>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</si>
  <si>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</si>
  <si>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</si>
  <si>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</si>
  <si>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</si>
  <si>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</si>
  <si>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</si>
  <si>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</si>
  <si>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</si>
  <si>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</si>
  <si>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</si>
  <si>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</si>
  <si>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</si>
  <si>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</si>
  <si>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</si>
  <si>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</si>
  <si>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</si>
  <si>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</si>
  <si>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</si>
  <si>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</si>
  <si>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</si>
  <si>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</si>
  <si>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</si>
  <si>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</si>
  <si>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</si>
  <si>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</si>
  <si>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</si>
  <si>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</si>
  <si>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</si>
  <si>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</si>
  <si>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</si>
  <si>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</si>
  <si>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</si>
  <si>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</si>
  <si>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</si>
  <si>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</si>
  <si>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</si>
  <si>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</si>
  <si>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</si>
  <si>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</si>
  <si>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</si>
  <si>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</si>
  <si>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</si>
  <si>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</si>
  <si>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</si>
  <si>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</si>
  <si>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</si>
  <si>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</si>
  <si>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</si>
  <si>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</si>
  <si>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</si>
  <si>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</si>
  <si>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</si>
  <si>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</si>
  <si>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</si>
  <si>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</si>
  <si>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</si>
  <si>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</si>
  <si>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</si>
  <si>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</si>
  <si>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</si>
  <si>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</si>
  <si>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</si>
  <si>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</si>
  <si>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</si>
  <si>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</si>
  <si>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</si>
  <si>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</si>
  <si>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</si>
  <si>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</si>
  <si>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</si>
  <si>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</si>
  <si>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</si>
  <si>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</si>
  <si>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</si>
  <si>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</si>
  <si>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</si>
  <si>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</si>
  <si>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</si>
  <si>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</si>
  <si>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</si>
  <si>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</si>
  <si>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</si>
  <si>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</si>
  <si>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</si>
  <si>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</si>
  <si>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</si>
  <si>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</si>
  <si>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</si>
  <si>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</si>
  <si>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</si>
  <si>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</si>
  <si>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</si>
  <si>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</si>
  <si>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</si>
  <si>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</si>
  <si>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</si>
  <si>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</si>
  <si>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</si>
  <si>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</si>
  <si>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</si>
  <si>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</si>
  <si>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</si>
  <si>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</si>
  <si>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</si>
  <si>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</si>
  <si>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</si>
  <si>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</si>
  <si>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</si>
  <si>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</si>
  <si>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</si>
  <si>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</si>
  <si>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</si>
  <si>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</si>
  <si>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</si>
  <si>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</si>
  <si>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</si>
  <si>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</si>
  <si>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</si>
  <si>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</si>
  <si>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</si>
  <si>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</si>
  <si>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</si>
  <si>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</si>
  <si>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</si>
  <si>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</si>
  <si>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</si>
  <si>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</si>
  <si>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</si>
  <si>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</si>
  <si>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</si>
  <si>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</si>
  <si>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</si>
  <si>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</si>
  <si>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</si>
  <si>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</si>
  <si>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</si>
  <si>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</si>
  <si>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</si>
  <si>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</si>
  <si>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</si>
  <si>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</si>
  <si>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</si>
  <si>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</si>
  <si>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</si>
  <si>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</si>
  <si>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</si>
  <si>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</si>
  <si>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</si>
  <si>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</si>
  <si>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</si>
  <si>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</si>
  <si>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</si>
  <si>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</si>
  <si>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</si>
  <si>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</si>
  <si>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</si>
  <si>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</si>
  <si>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</si>
  <si>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</si>
  <si>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</si>
  <si>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</si>
  <si>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</si>
  <si>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</si>
  <si>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</si>
  <si>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</si>
  <si>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</si>
  <si>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</si>
  <si>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</si>
  <si>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</si>
  <si>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</si>
  <si>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</si>
  <si>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</si>
  <si>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</si>
  <si>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</si>
  <si>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</si>
  <si>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</si>
  <si>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</si>
  <si>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</si>
  <si>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</si>
  <si>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</si>
  <si>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</si>
  <si>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</si>
  <si>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</si>
  <si>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</si>
  <si>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</si>
  <si>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</si>
  <si>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</si>
  <si>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</si>
  <si>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</si>
  <si>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</si>
  <si>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</si>
  <si>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</si>
  <si>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</si>
  <si>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</si>
  <si>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</si>
  <si>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</si>
  <si>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</si>
  <si>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</si>
  <si>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</si>
  <si>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</si>
  <si>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</si>
  <si>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</si>
  <si>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</si>
  <si>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</si>
  <si>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</si>
  <si>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</si>
  <si>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</si>
  <si>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</si>
  <si>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</si>
  <si>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</si>
  <si>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</si>
  <si>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</si>
  <si>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</si>
  <si>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</si>
  <si>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</si>
  <si>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</si>
  <si>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</si>
  <si>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</si>
  <si>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</si>
  <si>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</si>
  <si>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</si>
  <si>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</si>
  <si>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</si>
  <si>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</si>
  <si>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</si>
  <si>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</si>
  <si>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</si>
  <si>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</si>
  <si>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</si>
  <si>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</si>
  <si>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</si>
  <si>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</si>
  <si>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</si>
  <si>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</si>
  <si>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</si>
  <si>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</si>
  <si>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</si>
  <si>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</si>
  <si>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</si>
  <si>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</si>
  <si>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</si>
  <si>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</si>
  <si>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</si>
  <si>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</si>
  <si>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</si>
  <si>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</si>
  <si>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</si>
  <si>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</si>
  <si>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</si>
  <si>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</si>
  <si>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</si>
  <si>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</si>
  <si>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</si>
  <si>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</si>
  <si>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</si>
  <si>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</si>
  <si>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</si>
  <si>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</si>
  <si>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</si>
  <si>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</si>
  <si>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</si>
  <si>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</si>
  <si>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</si>
  <si>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</si>
  <si>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</si>
  <si>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</si>
  <si>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</si>
  <si>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</si>
  <si>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</si>
  <si>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</si>
  <si>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</si>
  <si>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</si>
  <si>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</si>
  <si>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</si>
  <si>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</si>
  <si>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</si>
  <si>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</si>
  <si>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</si>
  <si>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</si>
  <si>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</si>
  <si>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</si>
  <si>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</si>
  <si>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</si>
  <si>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</si>
  <si>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</si>
  <si>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</si>
  <si>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</si>
  <si>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</si>
  <si>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</si>
  <si>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</si>
  <si>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</si>
  <si>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</si>
  <si>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</si>
  <si>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</si>
  <si>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</si>
  <si>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</si>
  <si>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</si>
  <si>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</si>
  <si>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</si>
  <si>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</si>
  <si>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</si>
  <si>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</si>
  <si>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</si>
  <si>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</si>
  <si>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</si>
  <si>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</si>
  <si>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</si>
  <si>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</si>
  <si>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</si>
  <si>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</si>
  <si>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</si>
  <si>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</si>
  <si>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</si>
  <si>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</si>
  <si>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</si>
  <si>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</si>
  <si>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</si>
  <si>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</si>
  <si>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</si>
  <si>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</si>
  <si>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</si>
  <si>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</si>
  <si>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</si>
  <si>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</si>
  <si>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</si>
  <si>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</si>
  <si>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</si>
  <si>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</si>
  <si>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</si>
  <si>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</si>
  <si>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</si>
  <si>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</si>
  <si>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</si>
  <si>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</si>
  <si>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</si>
  <si>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</si>
  <si>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</si>
  <si>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</si>
  <si>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</si>
  <si>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</si>
  <si>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</si>
  <si>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</si>
  <si>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</si>
  <si>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</si>
  <si>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</si>
  <si>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</si>
  <si>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</si>
  <si>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</si>
  <si>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</si>
  <si>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</si>
  <si>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</si>
  <si>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</si>
  <si>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</si>
  <si>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</si>
  <si>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</si>
  <si>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</si>
  <si>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</si>
  <si>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</si>
  <si>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</si>
  <si>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</si>
  <si>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</si>
  <si>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</si>
  <si>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</si>
  <si>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</si>
  <si>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</si>
  <si>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</si>
  <si>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</si>
  <si>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</si>
  <si>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</si>
  <si>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</si>
  <si>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</si>
  <si>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</si>
  <si>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</si>
  <si>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</si>
  <si>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</si>
  <si>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</si>
  <si>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</si>
  <si>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</si>
  <si>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</si>
  <si>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</si>
  <si>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</si>
  <si>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</si>
  <si>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</si>
  <si>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</si>
  <si>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</si>
  <si>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</si>
  <si>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</si>
  <si>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</si>
  <si>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</si>
  <si>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</si>
  <si>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</si>
  <si>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</si>
  <si>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</si>
  <si>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</si>
  <si>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</si>
  <si>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</si>
  <si>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</si>
  <si>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</si>
  <si>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</si>
  <si>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</si>
  <si>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</si>
  <si>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</si>
  <si>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</si>
  <si>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</si>
  <si>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</si>
  <si>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</si>
  <si>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</si>
  <si>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</si>
  <si>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</si>
  <si>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</si>
  <si>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</si>
  <si>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</si>
  <si>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</si>
  <si>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</si>
  <si>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</si>
  <si>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</si>
  <si>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</si>
  <si>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</si>
  <si>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</si>
  <si>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</si>
  <si>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</si>
  <si>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</si>
  <si>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</si>
  <si>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</si>
  <si>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</si>
  <si>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</si>
  <si>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</si>
  <si>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</si>
  <si>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</si>
  <si>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</si>
  <si>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</si>
  <si>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</si>
  <si>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</si>
  <si>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</si>
  <si>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</si>
  <si>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</si>
  <si>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</si>
  <si>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</si>
  <si>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</si>
  <si>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</si>
  <si>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</si>
  <si>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</si>
  <si>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</si>
  <si>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</si>
  <si>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</si>
  <si>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</si>
  <si>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</si>
  <si>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</si>
  <si>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</si>
  <si>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</si>
  <si>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</si>
  <si>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</si>
  <si>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</si>
  <si>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</si>
  <si>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</si>
  <si>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</si>
  <si>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</si>
  <si>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</si>
  <si>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</si>
  <si>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</si>
  <si>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</si>
  <si>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</si>
  <si>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</si>
  <si>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</si>
  <si>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</si>
  <si>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</si>
  <si>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</si>
  <si>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</si>
  <si>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</si>
  <si>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</si>
  <si>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</si>
  <si>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</si>
  <si>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</si>
  <si>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</si>
  <si>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</si>
  <si>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</si>
  <si>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</si>
  <si>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</si>
  <si>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</si>
  <si>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</si>
  <si>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</si>
  <si>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</si>
  <si>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</si>
  <si>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</si>
  <si>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</si>
  <si>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</si>
  <si>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</si>
  <si>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</si>
  <si>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</si>
  <si>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</si>
  <si>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</si>
  <si>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</si>
  <si>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</si>
  <si>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</si>
  <si>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</si>
  <si>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</si>
  <si>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</si>
  <si>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</si>
  <si>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</si>
  <si>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</si>
  <si>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</si>
  <si>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</si>
  <si>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</si>
  <si>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</si>
  <si>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</si>
  <si>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</si>
  <si>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</si>
  <si>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</si>
  <si>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</si>
  <si>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</si>
  <si>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</si>
  <si>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</si>
  <si>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</si>
  <si>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</si>
  <si>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</si>
  <si>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</si>
  <si>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</si>
  <si>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</si>
  <si>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</si>
  <si>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</si>
  <si>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</si>
  <si>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</si>
  <si>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</si>
  <si>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</si>
  <si>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</si>
  <si>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</si>
  <si>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</si>
  <si>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</si>
  <si>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</si>
  <si>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</si>
  <si>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</si>
  <si>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</si>
  <si>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</si>
  <si>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</si>
  <si>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</si>
  <si>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</si>
  <si>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</si>
  <si>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</si>
  <si>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</si>
  <si>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</si>
  <si>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</si>
  <si>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</si>
  <si>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</si>
  <si>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</si>
  <si>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</si>
  <si>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</si>
  <si>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</si>
  <si>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</si>
  <si>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</si>
  <si>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</si>
  <si>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</si>
  <si>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</si>
  <si>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</si>
  <si>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</si>
  <si>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</si>
  <si>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</si>
  <si>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</si>
  <si>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</si>
  <si>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</si>
  <si>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</si>
  <si>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</si>
  <si>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</si>
  <si>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</si>
  <si>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</si>
  <si>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</si>
  <si>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</si>
  <si>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</si>
  <si>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</si>
  <si>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</si>
  <si>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</si>
  <si>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</si>
  <si>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</si>
  <si>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</si>
  <si>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</si>
  <si>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</si>
  <si>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</si>
  <si>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</si>
  <si>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</si>
  <si>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</si>
  <si>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</si>
  <si>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</si>
  <si>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</si>
  <si>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</si>
  <si>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</si>
  <si>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</si>
  <si>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</si>
  <si>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</si>
  <si>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</si>
  <si>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</si>
  <si>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CS01</t>
    <phoneticPr fontId="15" type="noConversion"/>
  </si>
  <si>
    <t>低阶技能书</t>
    <phoneticPr fontId="15" type="noConversion"/>
  </si>
  <si>
    <t>随机技能</t>
    <phoneticPr fontId="15" type="noConversion"/>
  </si>
  <si>
    <t>CS02</t>
  </si>
  <si>
    <t>CS03</t>
  </si>
  <si>
    <t>中阶技能书</t>
    <phoneticPr fontId="15" type="noConversion"/>
  </si>
  <si>
    <t>高阶技能书</t>
    <phoneticPr fontId="15" type="noConversion"/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</si>
  <si>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</si>
  <si>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</si>
  <si>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</si>
  <si>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</si>
  <si>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</si>
  <si>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</si>
  <si>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</si>
  <si>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</si>
  <si>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</si>
  <si>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</si>
  <si>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</si>
  <si>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</si>
  <si>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神阶技能书</t>
    <phoneticPr fontId="15" type="noConversion"/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</si>
  <si>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</si>
  <si>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</si>
  <si>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</si>
  <si>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</si>
  <si>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</si>
  <si>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</si>
  <si>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</si>
  <si>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</si>
  <si>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</si>
  <si>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</si>
  <si>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</si>
  <si>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</si>
  <si>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</si>
  <si>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</si>
  <si>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</si>
  <si>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</si>
  <si>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</si>
  <si>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</si>
  <si>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</si>
  <si>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</si>
  <si>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</si>
  <si>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</si>
  <si>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</si>
  <si>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</si>
  <si>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</si>
  <si>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</si>
  <si>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</si>
  <si>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</si>
  <si>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</si>
  <si>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</si>
  <si>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</si>
  <si>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</si>
  <si>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</si>
  <si>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</si>
  <si>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</si>
  <si>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</si>
  <si>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</si>
  <si>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</si>
  <si>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</si>
  <si>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</si>
  <si>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</si>
  <si>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</si>
  <si>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抽技能DC</t>
    <phoneticPr fontId="15" type="noConversion"/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</si>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</sst>
</file>

<file path=xl/styles.xml><?xml version="1.0" encoding="utf-8"?>
<styleSheet xmlns="http://schemas.openxmlformats.org/spreadsheetml/2006/main">
  <fonts count="20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13"/>
  <sheetViews>
    <sheetView tabSelected="1" zoomScaleNormal="100" workbookViewId="0">
      <pane xSplit="8" ySplit="2" topLeftCell="V90" activePane="bottomRight" state="frozen"/>
      <selection pane="topRight"/>
      <selection pane="bottomLeft"/>
      <selection pane="bottomRight" activeCell="X103" sqref="X103:X109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127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|cffffcc00属性：|r|n攻击+1000|n攻速+13%|n</v>
      </c>
      <c r="J3" s="56" t="str">
        <f t="shared" ref="J3" si="0">H3</f>
        <v>武器lv1</v>
      </c>
      <c r="K3" s="56" t="str">
        <f t="shared" ref="K3" si="1">I3</f>
        <v>|cffffcc00属性：|r|n攻击+1000|n攻速+13%|n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|cffffcc00属性：|r|n攻击+2000|n攻速+13%|n</v>
      </c>
      <c r="J4" s="56" t="str">
        <f t="shared" ref="J4:J7" si="2">H4</f>
        <v>武器lv2</v>
      </c>
      <c r="K4" s="56" t="str">
        <f t="shared" ref="K4:K7" si="3">I4</f>
        <v>|cffffcc00属性：|r|n攻击+2000|n攻速+13%|n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|cffffcc00属性：|r|n攻击+3000|n攻速+13%|n</v>
      </c>
      <c r="J5" s="56" t="str">
        <f t="shared" si="2"/>
        <v>武器lv3</v>
      </c>
      <c r="K5" s="56" t="str">
        <f t="shared" si="3"/>
        <v>|cffffcc00属性：|r|n攻击+3000|n攻速+13%|n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|cffffcc00属性：|r|n攻击+4000|n攻速+13%|n</v>
      </c>
      <c r="J6" s="56" t="str">
        <f t="shared" si="2"/>
        <v>武器lv4</v>
      </c>
      <c r="K6" s="56" t="str">
        <f t="shared" si="3"/>
        <v>|cffffcc00属性：|r|n攻击+4000|n攻速+13%|n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|cffffcc00属性：|r|n攻击+5000|n攻速+13%|n</v>
      </c>
      <c r="J7" s="56" t="str">
        <f t="shared" si="2"/>
        <v>武器lv5</v>
      </c>
      <c r="K7" s="56" t="str">
        <f t="shared" si="3"/>
        <v>|cffffcc00属性：|r|n攻击+5000|n攻速+13%|n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|cffffcc00属性：|r|n攻击+6400|n攻速+26%|n暴击+3%|n</v>
      </c>
      <c r="J8" s="56" t="str">
        <f t="shared" ref="J8:J18" si="4">H8</f>
        <v>武器lv6</v>
      </c>
      <c r="K8" s="56" t="str">
        <f t="shared" ref="K8:K18" si="5">I8</f>
        <v>|cffffcc00属性：|r|n攻击+6400|n攻速+26%|n暴击+3%|n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|cffffcc00属性：|r|n攻击+7800|n攻速+26%|n暴击+3%|n</v>
      </c>
      <c r="J9" s="56" t="str">
        <f t="shared" si="4"/>
        <v>武器lv7</v>
      </c>
      <c r="K9" s="56" t="str">
        <f t="shared" si="5"/>
        <v>|cffffcc00属性：|r|n攻击+7800|n攻速+26%|n暴击+3%|n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|cffffcc00属性：|r|n攻击+9200|n攻速+26%|n暴击+3%|n</v>
      </c>
      <c r="J10" s="56" t="str">
        <f t="shared" si="4"/>
        <v>武器lv8</v>
      </c>
      <c r="K10" s="56" t="str">
        <f t="shared" si="5"/>
        <v>|cffffcc00属性：|r|n攻击+9200|n攻速+26%|n暴击+3%|n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|cffffcc00属性：|r|n攻击+10600|n攻速+26%|n暴击+3%|n</v>
      </c>
      <c r="J11" s="56" t="str">
        <f t="shared" si="4"/>
        <v>武器lv9</v>
      </c>
      <c r="K11" s="56" t="str">
        <f t="shared" si="5"/>
        <v>|cffffcc00属性：|r|n攻击+10600|n攻速+26%|n暴击+3%|n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|cffffcc00属性：|r|n攻击+12000|n攻速+26%|n暴击+3%|n</v>
      </c>
      <c r="J12" s="56" t="str">
        <f t="shared" si="4"/>
        <v>武器lv10</v>
      </c>
      <c r="K12" s="56" t="str">
        <f t="shared" si="5"/>
        <v>|cffffcc00属性：|r|n攻击+12000|n攻速+26%|n暴击+3%|n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|cffffcc00属性：|r|n攻击+14200|n攻速+40%|n暴击+6%|n</v>
      </c>
      <c r="J13" s="56" t="str">
        <f t="shared" si="4"/>
        <v>武器lv11</v>
      </c>
      <c r="K13" s="56" t="str">
        <f t="shared" si="5"/>
        <v>|cffffcc00属性：|r|n攻击+14200|n攻速+40%|n暴击+6%|n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|cffffcc00属性：|r|n攻击+16400|n攻速+40%|n暴击+6%|n</v>
      </c>
      <c r="J14" s="56" t="str">
        <f t="shared" si="4"/>
        <v>武器lv12</v>
      </c>
      <c r="K14" s="56" t="str">
        <f t="shared" si="5"/>
        <v>|cffffcc00属性：|r|n攻击+16400|n攻速+40%|n暴击+6%|n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|cffffcc00属性：|r|n攻击+18600|n攻速+40%|n暴击+6%|n</v>
      </c>
      <c r="J15" s="56" t="str">
        <f t="shared" si="4"/>
        <v>武器lv13</v>
      </c>
      <c r="K15" s="56" t="str">
        <f t="shared" si="5"/>
        <v>|cffffcc00属性：|r|n攻击+18600|n攻速+40%|n暴击+6%|n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|cffffcc00属性：|r|n攻击+20800|n攻速+40%|n暴击+6%|n</v>
      </c>
      <c r="J16" s="56" t="str">
        <f t="shared" si="4"/>
        <v>武器lv14</v>
      </c>
      <c r="K16" s="56" t="str">
        <f t="shared" si="5"/>
        <v>|cffffcc00属性：|r|n攻击+20800|n攻速+40%|n暴击+6%|n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|cffffcc00属性：|r|n攻击+23000|n攻速+40%|n暴击+6%|n</v>
      </c>
      <c r="J17" s="56" t="str">
        <f t="shared" si="4"/>
        <v>武器lv15</v>
      </c>
      <c r="K17" s="56" t="str">
        <f t="shared" si="5"/>
        <v>|cffffcc00属性：|r|n攻击+23000|n攻速+40%|n暴击+6%|n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|cffffcc00属性：|r|n攻击+27400|n攻速+53%|n暴击+9%|n</v>
      </c>
      <c r="J18" s="56" t="str">
        <f t="shared" si="4"/>
        <v>武器lv16</v>
      </c>
      <c r="K18" s="56" t="str">
        <f t="shared" si="5"/>
        <v>|cffffcc00属性：|r|n攻击+27400|n攻速+53%|n暴击+9%|n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|cffffcc00属性：|r|n攻击+31800|n攻速+53%|n暴击+9%|n</v>
      </c>
      <c r="J19" s="56" t="str">
        <f t="shared" ref="J19:J35" si="6">H19</f>
        <v>武器lv17</v>
      </c>
      <c r="K19" s="56" t="str">
        <f t="shared" ref="K19:K35" si="7">I19</f>
        <v>|cffffcc00属性：|r|n攻击+31800|n攻速+53%|n暴击+9%|n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|cffffcc00属性：|r|n攻击+36200|n攻速+53%|n暴击+9%|n</v>
      </c>
      <c r="J20" s="56" t="str">
        <f t="shared" si="6"/>
        <v>武器lv18</v>
      </c>
      <c r="K20" s="56" t="str">
        <f t="shared" si="7"/>
        <v>|cffffcc00属性：|r|n攻击+36200|n攻速+53%|n暴击+9%|n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|cffffcc00属性：|r|n攻击+40600|n攻速+53%|n暴击+9%|n</v>
      </c>
      <c r="J21" s="56" t="str">
        <f t="shared" si="6"/>
        <v>武器lv19</v>
      </c>
      <c r="K21" s="56" t="str">
        <f t="shared" si="7"/>
        <v>|cffffcc00属性：|r|n攻击+40600|n攻速+53%|n暴击+9%|n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|cffffcc00属性：|r|n攻击+45000|n攻速+53%|n暴击+9%|n</v>
      </c>
      <c r="J22" s="56" t="str">
        <f t="shared" si="6"/>
        <v>武器lv20</v>
      </c>
      <c r="K22" s="56" t="str">
        <f t="shared" si="7"/>
        <v>|cffffcc00属性：|r|n攻击+45000|n攻速+53%|n暴击+9%|n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|cffffcc00属性：|r|n攻击+56000|n攻速+66%|n暴击+12%|n</v>
      </c>
      <c r="J23" s="56" t="str">
        <f t="shared" si="6"/>
        <v>武器lv21</v>
      </c>
      <c r="K23" s="56" t="str">
        <f t="shared" si="7"/>
        <v>|cffffcc00属性：|r|n攻击+56000|n攻速+66%|n暴击+12%|n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|cffffcc00属性：|r|n攻击+67000|n攻速+66%|n暴击+12%|n</v>
      </c>
      <c r="J24" s="56" t="str">
        <f t="shared" si="6"/>
        <v>武器lv22</v>
      </c>
      <c r="K24" s="56" t="str">
        <f t="shared" si="7"/>
        <v>|cffffcc00属性：|r|n攻击+67000|n攻速+66%|n暴击+12%|n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|cffffcc00属性：|r|n攻击+78000|n攻速+66%|n暴击+12%|n</v>
      </c>
      <c r="J25" s="56" t="str">
        <f t="shared" si="6"/>
        <v>武器lv23</v>
      </c>
      <c r="K25" s="56" t="str">
        <f t="shared" si="7"/>
        <v>|cffffcc00属性：|r|n攻击+78000|n攻速+66%|n暴击+12%|n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|cffffcc00属性：|r|n攻击+89000|n攻速+66%|n暴击+12%|n</v>
      </c>
      <c r="J26" s="56" t="str">
        <f t="shared" si="6"/>
        <v>武器lv24</v>
      </c>
      <c r="K26" s="56" t="str">
        <f t="shared" si="7"/>
        <v>|cffffcc00属性：|r|n攻击+89000|n攻速+66%|n暴击+12%|n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|cffffcc00属性：|r|n攻击+100000|n攻速+66%|n暴击+12%|n</v>
      </c>
      <c r="J27" s="56" t="str">
        <f t="shared" si="6"/>
        <v>武器lv25</v>
      </c>
      <c r="K27" s="56" t="str">
        <f t="shared" si="7"/>
        <v>|cffffcc00属性：|r|n攻击+100000|n攻速+66%|n暴击+12%|n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|cffffcc00属性：|r|n法强+1000|n冷却缩减+3%|n</v>
      </c>
      <c r="J28" s="56" t="str">
        <f t="shared" si="6"/>
        <v>法杖lv1</v>
      </c>
      <c r="K28" s="56" t="str">
        <f t="shared" si="7"/>
        <v>|cffffcc00属性：|r|n法强+1000|n冷却缩减+3%|n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|cffffcc00属性：|r|n法强+2000|n冷却缩减+3%|n</v>
      </c>
      <c r="J29" s="56" t="str">
        <f t="shared" si="6"/>
        <v>法杖lv2</v>
      </c>
      <c r="K29" s="56" t="str">
        <f t="shared" si="7"/>
        <v>|cffffcc00属性：|r|n法强+2000|n冷却缩减+3%|n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|cffffcc00属性：|r|n法强+3000|n冷却缩减+3%|n</v>
      </c>
      <c r="J30" s="56" t="str">
        <f t="shared" si="6"/>
        <v>法杖lv3</v>
      </c>
      <c r="K30" s="56" t="str">
        <f t="shared" si="7"/>
        <v>|cffffcc00属性：|r|n法强+3000|n冷却缩减+3%|n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|cffffcc00属性：|r|n法强+4000|n冷却缩减+3%|n</v>
      </c>
      <c r="J31" s="56" t="str">
        <f t="shared" si="6"/>
        <v>法杖lv4</v>
      </c>
      <c r="K31" s="56" t="str">
        <f t="shared" si="7"/>
        <v>|cffffcc00属性：|r|n法强+4000|n冷却缩减+3%|n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|cffffcc00属性：|r|n法强+5000|n冷却缩减+3%|n</v>
      </c>
      <c r="J32" s="56" t="str">
        <f t="shared" si="6"/>
        <v>法杖lv5</v>
      </c>
      <c r="K32" s="56" t="str">
        <f t="shared" si="7"/>
        <v>|cffffcc00属性：|r|n法强+5000|n冷却缩减+3%|n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|cffffcc00属性：|r|n法强+6400|n伤害加成+3%|n冷却缩减+6%|n</v>
      </c>
      <c r="J33" s="56" t="str">
        <f t="shared" si="6"/>
        <v>法杖lv6</v>
      </c>
      <c r="K33" s="56" t="str">
        <f t="shared" si="7"/>
        <v>|cffffcc00属性：|r|n法强+6400|n伤害加成+3%|n冷却缩减+6%|n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|cffffcc00属性：|r|n法强+7800|n伤害加成+3%|n冷却缩减+6%|n</v>
      </c>
      <c r="J34" s="56" t="str">
        <f t="shared" si="6"/>
        <v>法杖lv7</v>
      </c>
      <c r="K34" s="56" t="str">
        <f t="shared" si="7"/>
        <v>|cffffcc00属性：|r|n法强+7800|n伤害加成+3%|n冷却缩减+6%|n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|cffffcc00属性：|r|n法强+9200|n伤害加成+3%|n冷却缩减+6%|n</v>
      </c>
      <c r="J35" s="56" t="str">
        <f t="shared" si="6"/>
        <v>法杖lv8</v>
      </c>
      <c r="K35" s="56" t="str">
        <f t="shared" si="7"/>
        <v>|cffffcc00属性：|r|n法强+9200|n伤害加成+3%|n冷却缩减+6%|n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|cffffcc00属性：|r|n法强+10600|n伤害加成+3%|n冷却缩减+6%|n</v>
      </c>
      <c r="J36" s="56" t="str">
        <f t="shared" ref="J36:J53" si="8">H36</f>
        <v>法杖lv9</v>
      </c>
      <c r="K36" s="56" t="str">
        <f t="shared" ref="K36:K53" si="9">I36</f>
        <v>|cffffcc00属性：|r|n法强+10600|n伤害加成+3%|n冷却缩减+6%|n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|cffffcc00属性：|r|n法强+12000|n伤害加成+3%|n冷却缩减+6%|n</v>
      </c>
      <c r="J37" s="56" t="str">
        <f t="shared" si="8"/>
        <v>法杖lv10</v>
      </c>
      <c r="K37" s="56" t="str">
        <f t="shared" si="9"/>
        <v>|cffffcc00属性：|r|n法强+12000|n伤害加成+3%|n冷却缩减+6%|n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|cffffcc00属性：|r|n法强+14200|n伤害加成+6%|n冷却缩减+9%|n</v>
      </c>
      <c r="J38" s="56" t="str">
        <f t="shared" si="8"/>
        <v>法杖lv11</v>
      </c>
      <c r="K38" s="56" t="str">
        <f t="shared" si="9"/>
        <v>|cffffcc00属性：|r|n法强+14200|n伤害加成+6%|n冷却缩减+9%|n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|cffffcc00属性：|r|n法强+16400|n伤害加成+6%|n冷却缩减+9%|n</v>
      </c>
      <c r="J39" s="56" t="str">
        <f t="shared" si="8"/>
        <v>法杖lv12</v>
      </c>
      <c r="K39" s="56" t="str">
        <f t="shared" si="9"/>
        <v>|cffffcc00属性：|r|n法强+16400|n伤害加成+6%|n冷却缩减+9%|n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|cffffcc00属性：|r|n法强+18600|n伤害加成+6%|n冷却缩减+9%|n</v>
      </c>
      <c r="J40" s="56" t="str">
        <f t="shared" si="8"/>
        <v>法杖lv13</v>
      </c>
      <c r="K40" s="56" t="str">
        <f t="shared" si="9"/>
        <v>|cffffcc00属性：|r|n法强+18600|n伤害加成+6%|n冷却缩减+9%|n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|cffffcc00属性：|r|n法强+20800|n伤害加成+6%|n冷却缩减+9%|n</v>
      </c>
      <c r="J41" s="56" t="str">
        <f t="shared" si="8"/>
        <v>法杖lv14</v>
      </c>
      <c r="K41" s="56" t="str">
        <f t="shared" si="9"/>
        <v>|cffffcc00属性：|r|n法强+20800|n伤害加成+6%|n冷却缩减+9%|n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|cffffcc00属性：|r|n法强+23000|n伤害加成+6%|n冷却缩减+9%|n</v>
      </c>
      <c r="J42" s="56" t="str">
        <f t="shared" si="8"/>
        <v>法杖lv15</v>
      </c>
      <c r="K42" s="56" t="str">
        <f t="shared" si="9"/>
        <v>|cffffcc00属性：|r|n法强+23000|n伤害加成+6%|n冷却缩减+9%|n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|cffffcc00属性：|r|n法强+27400|n伤害加成+9%|n冷却缩减+12%|n</v>
      </c>
      <c r="J43" s="56" t="str">
        <f t="shared" si="8"/>
        <v>法杖lv16</v>
      </c>
      <c r="K43" s="56" t="str">
        <f t="shared" si="9"/>
        <v>|cffffcc00属性：|r|n法强+27400|n伤害加成+9%|n冷却缩减+12%|n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|cffffcc00属性：|r|n法强+31800|n伤害加成+9%|n冷却缩减+12%|n</v>
      </c>
      <c r="J44" s="56" t="str">
        <f t="shared" si="8"/>
        <v>法杖lv17</v>
      </c>
      <c r="K44" s="56" t="str">
        <f t="shared" si="9"/>
        <v>|cffffcc00属性：|r|n法强+31800|n伤害加成+9%|n冷却缩减+12%|n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|cffffcc00属性：|r|n法强+36200|n伤害加成+9%|n冷却缩减+12%|n</v>
      </c>
      <c r="J45" s="56" t="str">
        <f t="shared" si="8"/>
        <v>法杖lv18</v>
      </c>
      <c r="K45" s="56" t="str">
        <f t="shared" si="9"/>
        <v>|cffffcc00属性：|r|n法强+36200|n伤害加成+9%|n冷却缩减+12%|n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|cffffcc00属性：|r|n法强+40600|n伤害加成+9%|n冷却缩减+12%|n</v>
      </c>
      <c r="J46" s="56" t="str">
        <f t="shared" si="8"/>
        <v>法杖lv19</v>
      </c>
      <c r="K46" s="56" t="str">
        <f t="shared" si="9"/>
        <v>|cffffcc00属性：|r|n法强+40600|n伤害加成+9%|n冷却缩减+12%|n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|cffffcc00属性：|r|n法强+45000|n伤害加成+9%|n冷却缩减+12%|n</v>
      </c>
      <c r="J47" s="56" t="str">
        <f t="shared" si="8"/>
        <v>法杖lv20</v>
      </c>
      <c r="K47" s="56" t="str">
        <f t="shared" si="9"/>
        <v>|cffffcc00属性：|r|n法强+45000|n伤害加成+9%|n冷却缩减+12%|n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|cffffcc00属性：|r|n法强+56000|n伤害加成+12%|n冷却缩减+15%|n</v>
      </c>
      <c r="J48" s="56" t="str">
        <f t="shared" si="8"/>
        <v>法杖lv21</v>
      </c>
      <c r="K48" s="56" t="str">
        <f t="shared" si="9"/>
        <v>|cffffcc00属性：|r|n法强+56000|n伤害加成+12%|n冷却缩减+15%|n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|cffffcc00属性：|r|n法强+67000|n伤害加成+12%|n冷却缩减+15%|n</v>
      </c>
      <c r="J49" s="56" t="str">
        <f t="shared" si="8"/>
        <v>法杖lv22</v>
      </c>
      <c r="K49" s="56" t="str">
        <f t="shared" si="9"/>
        <v>|cffffcc00属性：|r|n法强+67000|n伤害加成+12%|n冷却缩减+15%|n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|cffffcc00属性：|r|n法强+78000|n伤害加成+12%|n冷却缩减+15%|n</v>
      </c>
      <c r="J50" s="56" t="str">
        <f t="shared" si="8"/>
        <v>法杖lv23</v>
      </c>
      <c r="K50" s="56" t="str">
        <f t="shared" si="9"/>
        <v>|cffffcc00属性：|r|n法强+78000|n伤害加成+12%|n冷却缩减+15%|n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|cffffcc00属性：|r|n法强+89000|n伤害加成+12%|n冷却缩减+15%|n</v>
      </c>
      <c r="J51" s="56" t="str">
        <f t="shared" si="8"/>
        <v>法杖lv24</v>
      </c>
      <c r="K51" s="56" t="str">
        <f t="shared" si="9"/>
        <v>|cffffcc00属性：|r|n法强+89000|n伤害加成+12%|n冷却缩减+15%|n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|cffffcc00属性：|r|n法强+100000|n伤害加成+12%|n冷却缩减+15%|n</v>
      </c>
      <c r="J52" s="56" t="str">
        <f t="shared" si="8"/>
        <v>法杖lv25</v>
      </c>
      <c r="K52" s="56" t="str">
        <f t="shared" si="9"/>
        <v>|cffffcc00属性：|r|n法强+100000|n伤害加成+12%|n冷却缩减+15%|n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</v>
      </c>
      <c r="J53" s="56" t="str">
        <f t="shared" si="8"/>
        <v>护甲lv1</v>
      </c>
      <c r="K53" s="56" t="str">
        <f t="shared" si="9"/>
        <v>|cffffcc00属性：|r|n护甲+1|n生命值+2000|n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|cffffcc00属性：|r|n护甲+2|n生命值+4000|n</v>
      </c>
      <c r="J54" s="56" t="str">
        <f t="shared" ref="J54:J58" si="10">H54</f>
        <v>护甲lv2</v>
      </c>
      <c r="K54" s="56" t="str">
        <f t="shared" ref="K54:K58" si="11">I54</f>
        <v>|cffffcc00属性：|r|n护甲+2|n生命值+4000|n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|cffffcc00属性：|r|n护甲+3|n生命值+6000|n</v>
      </c>
      <c r="J55" s="56" t="str">
        <f t="shared" si="10"/>
        <v>护甲lv3</v>
      </c>
      <c r="K55" s="56" t="str">
        <f t="shared" si="11"/>
        <v>|cffffcc00属性：|r|n护甲+3|n生命值+6000|n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|cffffcc00属性：|r|n护甲+4|n生命值+8000|n</v>
      </c>
      <c r="J56" s="56" t="str">
        <f t="shared" si="10"/>
        <v>护甲lv4</v>
      </c>
      <c r="K56" s="56" t="str">
        <f t="shared" si="11"/>
        <v>|cffffcc00属性：|r|n护甲+4|n生命值+8000|n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|cffffcc00属性：|r|n护甲+5|n生命值+10000|n</v>
      </c>
      <c r="J57" s="56" t="str">
        <f t="shared" si="10"/>
        <v>护甲lv5</v>
      </c>
      <c r="K57" s="56" t="str">
        <f t="shared" si="11"/>
        <v>|cffffcc00属性：|r|n护甲+5|n生命值+10000|n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|cffffcc00属性：|r|n护甲+7|n生命值+12800|n伤害减免+3%|n</v>
      </c>
      <c r="J58" s="56" t="str">
        <f t="shared" si="10"/>
        <v>护甲lv6</v>
      </c>
      <c r="K58" s="56" t="str">
        <f t="shared" si="11"/>
        <v>|cffffcc00属性：|r|n护甲+7|n生命值+12800|n伤害减免+3%|n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|cffffcc00属性：|r|n护甲+9|n生命值+15600|n伤害减免+3%|n</v>
      </c>
      <c r="J59" s="56" t="str">
        <f t="shared" ref="J59:J62" si="12">H59</f>
        <v>护甲lv7</v>
      </c>
      <c r="K59" s="56" t="str">
        <f t="shared" ref="K59:K62" si="13">I59</f>
        <v>|cffffcc00属性：|r|n护甲+9|n生命值+15600|n伤害减免+3%|n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|cffffcc00属性：|r|n护甲+11|n生命值+18400|n伤害减免+3%|n</v>
      </c>
      <c r="J60" s="56" t="str">
        <f t="shared" si="12"/>
        <v>护甲lv8</v>
      </c>
      <c r="K60" s="56" t="str">
        <f t="shared" si="13"/>
        <v>|cffffcc00属性：|r|n护甲+11|n生命值+18400|n伤害减免+3%|n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|cffffcc00属性：|r|n护甲+13|n生命值+21200|n伤害减免+3%|n</v>
      </c>
      <c r="J61" s="56" t="str">
        <f t="shared" si="12"/>
        <v>护甲lv9</v>
      </c>
      <c r="K61" s="56" t="str">
        <f t="shared" si="13"/>
        <v>|cffffcc00属性：|r|n护甲+13|n生命值+21200|n伤害减免+3%|n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|cffffcc00属性：|r|n护甲+15|n生命值+24000|n伤害减免+3%|n</v>
      </c>
      <c r="J62" s="56" t="str">
        <f t="shared" si="12"/>
        <v>护甲lv10</v>
      </c>
      <c r="K62" s="56" t="str">
        <f t="shared" si="13"/>
        <v>|cffffcc00属性：|r|n护甲+15|n生命值+24000|n伤害减免+3%|n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|cffffcc00属性：|r|n护甲+18|n生命值+28400|n伤害减免+6%|n</v>
      </c>
      <c r="J63" s="56" t="str">
        <f t="shared" ref="J63:J77" si="14">H63</f>
        <v>护甲lv11</v>
      </c>
      <c r="K63" s="56" t="str">
        <f t="shared" ref="K63:K77" si="15">I63</f>
        <v>|cffffcc00属性：|r|n护甲+18|n生命值+28400|n伤害减免+6%|n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|cffffcc00属性：|r|n护甲+21|n生命值+32800|n伤害减免+6%|n</v>
      </c>
      <c r="J64" s="56" t="str">
        <f t="shared" si="14"/>
        <v>护甲lv12</v>
      </c>
      <c r="K64" s="56" t="str">
        <f t="shared" si="15"/>
        <v>|cffffcc00属性：|r|n护甲+21|n生命值+32800|n伤害减免+6%|n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|cffffcc00属性：|r|n护甲+24|n生命值+37200|n伤害减免+6%|n</v>
      </c>
      <c r="J65" s="56" t="str">
        <f t="shared" si="14"/>
        <v>护甲lv13</v>
      </c>
      <c r="K65" s="56" t="str">
        <f t="shared" si="15"/>
        <v>|cffffcc00属性：|r|n护甲+24|n生命值+37200|n伤害减免+6%|n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|cffffcc00属性：|r|n护甲+27|n生命值+41600|n伤害减免+6%|n</v>
      </c>
      <c r="J66" s="56" t="str">
        <f t="shared" si="14"/>
        <v>护甲lv14</v>
      </c>
      <c r="K66" s="56" t="str">
        <f t="shared" si="15"/>
        <v>|cffffcc00属性：|r|n护甲+27|n生命值+41600|n伤害减免+6%|n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|cffffcc00属性：|r|n护甲+30|n生命值+46000|n伤害减免+6%|n</v>
      </c>
      <c r="J67" s="56" t="str">
        <f t="shared" si="14"/>
        <v>护甲lv15</v>
      </c>
      <c r="K67" s="56" t="str">
        <f t="shared" si="15"/>
        <v>|cffffcc00属性：|r|n护甲+30|n生命值+46000|n伤害减免+6%|n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|cffffcc00属性：|r|n护甲+34|n生命值+54800|n伤害减免+9%|n</v>
      </c>
      <c r="J68" s="56" t="str">
        <f t="shared" si="14"/>
        <v>护甲lv16</v>
      </c>
      <c r="K68" s="56" t="str">
        <f t="shared" si="15"/>
        <v>|cffffcc00属性：|r|n护甲+34|n生命值+54800|n伤害减免+9%|n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|cffffcc00属性：|r|n护甲+38|n生命值+63600|n伤害减免+9%|n</v>
      </c>
      <c r="J69" s="56" t="str">
        <f t="shared" si="14"/>
        <v>护甲lv17</v>
      </c>
      <c r="K69" s="56" t="str">
        <f t="shared" si="15"/>
        <v>|cffffcc00属性：|r|n护甲+38|n生命值+63600|n伤害减免+9%|n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|cffffcc00属性：|r|n护甲+42|n生命值+72400|n伤害减免+9%|n</v>
      </c>
      <c r="J70" s="56" t="str">
        <f t="shared" si="14"/>
        <v>护甲lv18</v>
      </c>
      <c r="K70" s="56" t="str">
        <f t="shared" si="15"/>
        <v>|cffffcc00属性：|r|n护甲+42|n生命值+72400|n伤害减免+9%|n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|cffffcc00属性：|r|n护甲+46|n生命值+81200|n伤害减免+9%|n</v>
      </c>
      <c r="J71" s="56" t="str">
        <f t="shared" si="14"/>
        <v>护甲lv19</v>
      </c>
      <c r="K71" s="56" t="str">
        <f t="shared" si="15"/>
        <v>|cffffcc00属性：|r|n护甲+46|n生命值+81200|n伤害减免+9%|n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|cffffcc00属性：|r|n护甲+50|n生命值+90000|n伤害减免+9%|n</v>
      </c>
      <c r="J72" s="56" t="str">
        <f t="shared" si="14"/>
        <v>护甲lv20</v>
      </c>
      <c r="K72" s="56" t="str">
        <f t="shared" si="15"/>
        <v>|cffffcc00属性：|r|n护甲+50|n生命值+90000|n伤害减免+9%|n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|cffffcc00属性：|r|n护甲+55|n生命值+112000|n伤害减免+12%|n</v>
      </c>
      <c r="J73" s="56" t="str">
        <f t="shared" si="14"/>
        <v>护甲lv21</v>
      </c>
      <c r="K73" s="56" t="str">
        <f t="shared" si="15"/>
        <v>|cffffcc00属性：|r|n护甲+55|n生命值+112000|n伤害减免+12%|n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|cffffcc00属性：|r|n护甲+60|n生命值+134000|n伤害减免+12%|n</v>
      </c>
      <c r="J74" s="56" t="str">
        <f t="shared" si="14"/>
        <v>护甲lv22</v>
      </c>
      <c r="K74" s="56" t="str">
        <f t="shared" si="15"/>
        <v>|cffffcc00属性：|r|n护甲+60|n生命值+134000|n伤害减免+12%|n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|cffffcc00属性：|r|n护甲+65|n生命值+156000|n伤害减免+12%|n</v>
      </c>
      <c r="J75" s="56" t="str">
        <f t="shared" si="14"/>
        <v>护甲lv23</v>
      </c>
      <c r="K75" s="56" t="str">
        <f t="shared" si="15"/>
        <v>|cffffcc00属性：|r|n护甲+65|n生命值+156000|n伤害减免+12%|n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|cffffcc00属性：|r|n护甲+70|n生命值+178000|n伤害减免+12%|n</v>
      </c>
      <c r="J76" s="56" t="str">
        <f t="shared" si="14"/>
        <v>护甲lv24</v>
      </c>
      <c r="K76" s="56" t="str">
        <f t="shared" si="15"/>
        <v>|cffffcc00属性：|r|n护甲+70|n生命值+178000|n伤害减免+12%|n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|cffffcc00属性：|r|n护甲+75|n生命值+200000|n伤害减免+12%|n</v>
      </c>
      <c r="J77" s="56" t="str">
        <f t="shared" si="14"/>
        <v>护甲lv25</v>
      </c>
      <c r="K77" s="56" t="str">
        <f t="shared" si="15"/>
        <v>|cffffcc00属性：|r|n护甲+75|n生命值+200000|n伤害减免+12%|n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835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835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835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835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835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7" si="20">H83</f>
        <v>地级道果</v>
      </c>
      <c r="K83" s="56" t="str">
        <f t="shared" ref="K83:K87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835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835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835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835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835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低阶技能书</v>
      </c>
      <c r="I88" s="63" t="str">
        <f>VLOOKUP(B88,装备!B:CV,99,FALSE)</f>
        <v>随机技能</v>
      </c>
      <c r="J88" s="56" t="str">
        <f t="shared" ref="J88:J92" si="22">H88</f>
        <v>低阶技能书</v>
      </c>
      <c r="K88" s="56" t="str">
        <f t="shared" ref="K88:K92" si="23">I88</f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843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中阶技能书</v>
      </c>
      <c r="I89" s="63" t="str">
        <f>VLOOKUP(B89,装备!B:CV,99,FALSE)</f>
        <v>随机技能</v>
      </c>
      <c r="J89" s="56" t="str">
        <f t="shared" si="22"/>
        <v>中阶技能书</v>
      </c>
      <c r="K89" s="56" t="str">
        <f t="shared" si="23"/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843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高阶技能书</v>
      </c>
      <c r="I90" s="63" t="str">
        <f>VLOOKUP(B90,装备!B:CV,99,FALSE)</f>
        <v>随机技能</v>
      </c>
      <c r="J90" s="56" t="str">
        <f t="shared" si="22"/>
        <v>高阶技能书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843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神阶技能书</v>
      </c>
      <c r="I91" s="63" t="str">
        <f>VLOOKUP(B91,装备!B:CV,99,FALSE)</f>
        <v>随机技能</v>
      </c>
      <c r="J91" s="56" t="str">
        <f t="shared" ref="J91" si="24">H91</f>
        <v>神阶技能书</v>
      </c>
      <c r="K91" s="56" t="str">
        <f t="shared" ref="K91" si="25">I91</f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843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CF01</v>
      </c>
      <c r="C92" s="63" t="s">
        <v>36</v>
      </c>
      <c r="D92" s="63" t="s">
        <v>76</v>
      </c>
      <c r="E92" s="66"/>
      <c r="F92" s="63"/>
      <c r="G92" s="63"/>
      <c r="H92" s="63" t="str">
        <f>VLOOKUP(LEFT(RIGHT(B92,5),4),装备!B:CU,2,FALSE)</f>
        <v>随机法宝</v>
      </c>
      <c r="I92" s="63" t="str">
        <f>VLOOKUP(B92,装备!B:CV,99,FALSE)</f>
        <v>随机法宝</v>
      </c>
      <c r="J92" s="56" t="str">
        <f t="shared" si="22"/>
        <v>随机法宝</v>
      </c>
      <c r="K92" s="56" t="str">
        <f t="shared" si="23"/>
        <v>随机法宝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836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835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>
        <v>1</v>
      </c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>
      <c r="A93" s="62"/>
      <c r="B93" s="63" t="str">
        <f>装备!B93</f>
        <v>IP01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时渊碎片</v>
      </c>
      <c r="I93" s="63" t="str">
        <f>VLOOKUP(B93,装备!B:CV,99,FALSE)</f>
        <v>进入时渊副本消耗时渊碎片</v>
      </c>
      <c r="J93" s="56" t="str">
        <f t="shared" ref="J93" si="26">H93</f>
        <v>时渊碎片</v>
      </c>
      <c r="K93" s="56" t="str">
        <f t="shared" ref="K93" si="27">I93</f>
        <v>进入时渊副本消耗时渊碎片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836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835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IP02</v>
      </c>
      <c r="C94" s="63" t="s">
        <v>36</v>
      </c>
      <c r="D94" s="63" t="s">
        <v>76</v>
      </c>
      <c r="E94" s="66"/>
      <c r="F94" s="63"/>
      <c r="G94" s="63"/>
      <c r="H94" s="63" t="str">
        <f>VLOOKUP(LEFT(RIGHT(B94,5),4),装备!B:CU,2,FALSE)</f>
        <v>补天石</v>
      </c>
      <c r="I94" s="63" t="str">
        <f>VLOOKUP(B94,装备!B:CV,99,FALSE)</f>
        <v>消耗补天石，可重铸指定法宝</v>
      </c>
      <c r="J94" s="56" t="str">
        <f t="shared" ref="J94:J96" si="28">H94</f>
        <v>补天石</v>
      </c>
      <c r="K94" s="56" t="str">
        <f t="shared" ref="K94:K96" si="29">I94</f>
        <v>消耗补天石，可重铸指定法宝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836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835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>
        <v>1</v>
      </c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IP03</v>
      </c>
      <c r="C95" s="63" t="s">
        <v>36</v>
      </c>
      <c r="D95" s="63" t="s">
        <v>76</v>
      </c>
      <c r="E95" s="66"/>
      <c r="F95" s="63"/>
      <c r="G95" s="63"/>
      <c r="H95" s="63" t="str">
        <f>VLOOKUP(LEFT(RIGHT(B95,5),4),装备!B:CU,2,FALSE)</f>
        <v>鸿蒙结晶</v>
      </c>
      <c r="I95" s="63" t="str">
        <f>VLOOKUP(B95,装备!B:CV,99,FALSE)</f>
        <v>消耗鸿蒙结晶，可将指定法宝锻造为高一品阶的随机法宝。</v>
      </c>
      <c r="J95" s="56" t="str">
        <f t="shared" si="28"/>
        <v>鸿蒙结晶</v>
      </c>
      <c r="K95" s="56" t="str">
        <f t="shared" si="29"/>
        <v>消耗鸿蒙结晶，可将指定法宝锻造为高一品阶的随机法宝。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836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835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>
        <v>1</v>
      </c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IT01</v>
      </c>
      <c r="C96" s="63" t="s">
        <v>36</v>
      </c>
      <c r="D96" s="63" t="s">
        <v>76</v>
      </c>
      <c r="E96" s="66"/>
      <c r="F96" s="63"/>
      <c r="G96" s="63"/>
      <c r="H96" s="63" t="str">
        <f>VLOOKUP(LEFT(RIGHT(B96,5),4),装备!B:CU,2,FALSE)</f>
        <v>境界挑战1</v>
      </c>
      <c r="I96" s="63" t="str">
        <f>VLOOKUP(B96,装备!B:CV,99,FALSE)</f>
        <v>境界挑战1</v>
      </c>
      <c r="J96" s="56" t="str">
        <f t="shared" si="28"/>
        <v>境界挑战1</v>
      </c>
      <c r="K96" s="56" t="str">
        <f t="shared" si="29"/>
        <v>境界挑战1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836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835</v>
      </c>
      <c r="X96" s="63">
        <v>1000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>
        <v>1</v>
      </c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IT02</v>
      </c>
      <c r="C97" s="63" t="s">
        <v>36</v>
      </c>
      <c r="D97" s="63" t="s">
        <v>76</v>
      </c>
      <c r="E97" s="66"/>
      <c r="F97" s="63"/>
      <c r="G97" s="63"/>
      <c r="H97" s="63" t="str">
        <f>VLOOKUP(LEFT(RIGHT(B97,5),4),装备!B:CU,2,FALSE)</f>
        <v>境界挑战2</v>
      </c>
      <c r="I97" s="63" t="str">
        <f>VLOOKUP(B97,装备!B:CV,99,FALSE)</f>
        <v>境界挑战2</v>
      </c>
      <c r="J97" s="56" t="str">
        <f t="shared" ref="J97:J127" si="30">H97</f>
        <v>境界挑战2</v>
      </c>
      <c r="K97" s="56" t="str">
        <f t="shared" ref="K97:K127" si="31">I97</f>
        <v>境界挑战2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836</v>
      </c>
      <c r="P97" s="63">
        <v>1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835</v>
      </c>
      <c r="X97" s="63">
        <v>2000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>
        <v>1</v>
      </c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IT03</v>
      </c>
      <c r="C98" s="63" t="s">
        <v>36</v>
      </c>
      <c r="D98" s="63" t="s">
        <v>76</v>
      </c>
      <c r="E98" s="66"/>
      <c r="F98" s="63"/>
      <c r="G98" s="63"/>
      <c r="H98" s="63" t="str">
        <f>VLOOKUP(LEFT(RIGHT(B98,5),4),装备!B:CU,2,FALSE)</f>
        <v>境界挑战3</v>
      </c>
      <c r="I98" s="63" t="str">
        <f>VLOOKUP(B98,装备!B:CV,99,FALSE)</f>
        <v>境界挑战3</v>
      </c>
      <c r="J98" s="56" t="str">
        <f t="shared" si="30"/>
        <v>境界挑战3</v>
      </c>
      <c r="K98" s="56" t="str">
        <f t="shared" si="31"/>
        <v>境界挑战3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836</v>
      </c>
      <c r="P98" s="63">
        <v>2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835</v>
      </c>
      <c r="X98" s="63">
        <v>3000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>
        <v>1</v>
      </c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IT04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境界挑战4</v>
      </c>
      <c r="I99" s="63" t="str">
        <f>VLOOKUP(B99,装备!B:CV,99,FALSE)</f>
        <v>境界挑战4</v>
      </c>
      <c r="J99" s="56" t="str">
        <f t="shared" si="30"/>
        <v>境界挑战4</v>
      </c>
      <c r="K99" s="56" t="str">
        <f t="shared" si="31"/>
        <v>境界挑战4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836</v>
      </c>
      <c r="P99" s="63">
        <v>3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835</v>
      </c>
      <c r="X99" s="63">
        <v>4000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>
        <v>1</v>
      </c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装备!B100</f>
        <v>IT05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境界挑战5</v>
      </c>
      <c r="I100" s="63" t="str">
        <f>VLOOKUP(B100,装备!B:CV,99,FALSE)</f>
        <v>境界挑战5</v>
      </c>
      <c r="J100" s="56" t="str">
        <f t="shared" si="30"/>
        <v>境界挑战5</v>
      </c>
      <c r="K100" s="56" t="str">
        <f t="shared" si="31"/>
        <v>境界挑战5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836</v>
      </c>
      <c r="P100" s="63">
        <v>0</v>
      </c>
      <c r="Q100" s="63">
        <v>1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835</v>
      </c>
      <c r="X100" s="63">
        <v>5000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>
        <v>1</v>
      </c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装备!B101</f>
        <v>IT06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境界挑战6</v>
      </c>
      <c r="I101" s="63" t="str">
        <f>VLOOKUP(B101,装备!B:CV,99,FALSE)</f>
        <v>境界挑战6</v>
      </c>
      <c r="J101" s="56" t="str">
        <f t="shared" si="30"/>
        <v>境界挑战6</v>
      </c>
      <c r="K101" s="56" t="str">
        <f t="shared" si="31"/>
        <v>境界挑战6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836</v>
      </c>
      <c r="P101" s="63">
        <v>1</v>
      </c>
      <c r="Q101" s="63">
        <v>1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835</v>
      </c>
      <c r="X101" s="63">
        <v>6000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>
        <v>1</v>
      </c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装备!B102</f>
        <v>IT07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境界挑战7</v>
      </c>
      <c r="I102" s="63" t="str">
        <f>VLOOKUP(B102,装备!B:CV,99,FALSE)</f>
        <v>境界挑战7</v>
      </c>
      <c r="J102" s="56" t="str">
        <f t="shared" si="30"/>
        <v>境界挑战7</v>
      </c>
      <c r="K102" s="56" t="str">
        <f t="shared" si="31"/>
        <v>境界挑战7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836</v>
      </c>
      <c r="P102" s="63">
        <v>2</v>
      </c>
      <c r="Q102" s="63">
        <v>1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835</v>
      </c>
      <c r="X102" s="63">
        <v>7000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>
        <v>1</v>
      </c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装备!B103</f>
        <v>IT08</v>
      </c>
      <c r="C103" s="63" t="s">
        <v>36</v>
      </c>
      <c r="D103" s="63" t="s">
        <v>76</v>
      </c>
      <c r="E103" s="66"/>
      <c r="F103" s="63"/>
      <c r="G103" s="63"/>
      <c r="H103" s="63" t="str">
        <f>VLOOKUP(LEFT(RIGHT(B103,5),4),装备!B:CU,2,FALSE)</f>
        <v>境界挑战8</v>
      </c>
      <c r="I103" s="63" t="str">
        <f>VLOOKUP(B103,装备!B:CV,99,FALSE)</f>
        <v>境界挑战8</v>
      </c>
      <c r="J103" s="56" t="str">
        <f t="shared" si="30"/>
        <v>境界挑战8</v>
      </c>
      <c r="K103" s="56" t="str">
        <f t="shared" si="31"/>
        <v>境界挑战8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836</v>
      </c>
      <c r="P103" s="63">
        <v>3</v>
      </c>
      <c r="Q103" s="63">
        <v>1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835</v>
      </c>
      <c r="X103" s="63">
        <v>8000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>
        <v>1</v>
      </c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IT09</v>
      </c>
      <c r="C104" s="63" t="s">
        <v>36</v>
      </c>
      <c r="D104" s="63" t="s">
        <v>76</v>
      </c>
      <c r="E104" s="66"/>
      <c r="F104" s="63"/>
      <c r="G104" s="63"/>
      <c r="H104" s="63" t="str">
        <f>VLOOKUP(LEFT(RIGHT(B104,5),4),装备!B:CU,2,FALSE)</f>
        <v>境界挑战9</v>
      </c>
      <c r="I104" s="63" t="str">
        <f>VLOOKUP(B104,装备!B:CV,99,FALSE)</f>
        <v>境界挑战9</v>
      </c>
      <c r="J104" s="56" t="str">
        <f t="shared" si="30"/>
        <v>境界挑战9</v>
      </c>
      <c r="K104" s="56" t="str">
        <f t="shared" si="31"/>
        <v>境界挑战9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836</v>
      </c>
      <c r="P104" s="63">
        <v>0</v>
      </c>
      <c r="Q104" s="63">
        <v>2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835</v>
      </c>
      <c r="X104" s="63">
        <v>9000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>
        <v>1</v>
      </c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IT10</v>
      </c>
      <c r="C105" s="63" t="s">
        <v>36</v>
      </c>
      <c r="D105" s="63" t="s">
        <v>76</v>
      </c>
      <c r="E105" s="66"/>
      <c r="F105" s="63"/>
      <c r="G105" s="63"/>
      <c r="H105" s="63" t="str">
        <f>VLOOKUP(LEFT(RIGHT(B105,5),4),装备!B:CU,2,FALSE)</f>
        <v>境界挑战10</v>
      </c>
      <c r="I105" s="63" t="str">
        <f>VLOOKUP(B105,装备!B:CV,99,FALSE)</f>
        <v>境界挑战10</v>
      </c>
      <c r="J105" s="56" t="str">
        <f t="shared" si="30"/>
        <v>境界挑战10</v>
      </c>
      <c r="K105" s="56" t="str">
        <f t="shared" si="31"/>
        <v>境界挑战10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836</v>
      </c>
      <c r="P105" s="63">
        <v>1</v>
      </c>
      <c r="Q105" s="63">
        <v>2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835</v>
      </c>
      <c r="X105" s="63">
        <v>10000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>
        <v>1</v>
      </c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IT11</v>
      </c>
      <c r="C106" s="63" t="s">
        <v>36</v>
      </c>
      <c r="D106" s="63" t="s">
        <v>76</v>
      </c>
      <c r="E106" s="66"/>
      <c r="F106" s="63"/>
      <c r="G106" s="63"/>
      <c r="H106" s="63" t="str">
        <f>VLOOKUP(LEFT(RIGHT(B106,5),4),装备!B:CU,2,FALSE)</f>
        <v>境界挑战11</v>
      </c>
      <c r="I106" s="63" t="str">
        <f>VLOOKUP(B106,装备!B:CV,99,FALSE)</f>
        <v>境界挑战11</v>
      </c>
      <c r="J106" s="56" t="str">
        <f t="shared" ref="J106:J109" si="32">H106</f>
        <v>境界挑战11</v>
      </c>
      <c r="K106" s="56" t="str">
        <f t="shared" ref="K106:K109" si="33">I106</f>
        <v>境界挑战11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836</v>
      </c>
      <c r="P106" s="63">
        <v>2</v>
      </c>
      <c r="Q106" s="63">
        <v>1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835</v>
      </c>
      <c r="X106" s="63">
        <v>11000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>
        <v>1</v>
      </c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IT12</v>
      </c>
      <c r="C107" s="63" t="s">
        <v>36</v>
      </c>
      <c r="D107" s="63" t="s">
        <v>76</v>
      </c>
      <c r="E107" s="66"/>
      <c r="F107" s="63"/>
      <c r="G107" s="63"/>
      <c r="H107" s="63" t="str">
        <f>VLOOKUP(LEFT(RIGHT(B107,5),4),装备!B:CU,2,FALSE)</f>
        <v>境界挑战12</v>
      </c>
      <c r="I107" s="63" t="str">
        <f>VLOOKUP(B107,装备!B:CV,99,FALSE)</f>
        <v>境界挑战12</v>
      </c>
      <c r="J107" s="56" t="str">
        <f t="shared" si="32"/>
        <v>境界挑战12</v>
      </c>
      <c r="K107" s="56" t="str">
        <f t="shared" si="33"/>
        <v>境界挑战12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836</v>
      </c>
      <c r="P107" s="63">
        <v>3</v>
      </c>
      <c r="Q107" s="63">
        <v>1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835</v>
      </c>
      <c r="X107" s="63">
        <v>12000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>
        <v>1</v>
      </c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IT13</v>
      </c>
      <c r="C108" s="63" t="s">
        <v>36</v>
      </c>
      <c r="D108" s="63" t="s">
        <v>76</v>
      </c>
      <c r="E108" s="66"/>
      <c r="F108" s="63"/>
      <c r="G108" s="63"/>
      <c r="H108" s="63" t="str">
        <f>VLOOKUP(LEFT(RIGHT(B108,5),4),装备!B:CU,2,FALSE)</f>
        <v>境界挑战13</v>
      </c>
      <c r="I108" s="63" t="str">
        <f>VLOOKUP(B108,装备!B:CV,99,FALSE)</f>
        <v>境界挑战13</v>
      </c>
      <c r="J108" s="56" t="str">
        <f t="shared" si="32"/>
        <v>境界挑战13</v>
      </c>
      <c r="K108" s="56" t="str">
        <f t="shared" si="33"/>
        <v>境界挑战13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836</v>
      </c>
      <c r="P108" s="63">
        <v>0</v>
      </c>
      <c r="Q108" s="63">
        <v>2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835</v>
      </c>
      <c r="X108" s="63">
        <v>13000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>
        <v>1</v>
      </c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IT14</v>
      </c>
      <c r="C109" s="63" t="s">
        <v>36</v>
      </c>
      <c r="D109" s="63" t="s">
        <v>76</v>
      </c>
      <c r="E109" s="66"/>
      <c r="F109" s="63"/>
      <c r="G109" s="63"/>
      <c r="H109" s="63" t="str">
        <f>VLOOKUP(LEFT(RIGHT(B109,5),4),装备!B:CU,2,FALSE)</f>
        <v>境界挑战14</v>
      </c>
      <c r="I109" s="63" t="str">
        <f>VLOOKUP(B109,装备!B:CV,99,FALSE)</f>
        <v>境界挑战14</v>
      </c>
      <c r="J109" s="56" t="str">
        <f t="shared" si="32"/>
        <v>境界挑战14</v>
      </c>
      <c r="K109" s="56" t="str">
        <f t="shared" si="33"/>
        <v>境界挑战14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836</v>
      </c>
      <c r="P109" s="63">
        <v>1</v>
      </c>
      <c r="Q109" s="63">
        <v>2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835</v>
      </c>
      <c r="X109" s="63">
        <v>14000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>
        <v>1</v>
      </c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IS01</v>
      </c>
      <c r="C110" s="63" t="s">
        <v>36</v>
      </c>
      <c r="D110" s="63" t="s">
        <v>76</v>
      </c>
      <c r="E110" s="66"/>
      <c r="F110" s="63"/>
      <c r="G110" s="63"/>
      <c r="H110" s="63" t="str">
        <f>VLOOKUP(LEFT(RIGHT(B110,5),4),装备!B:CU,2,FALSE)</f>
        <v>抽技能DC</v>
      </c>
      <c r="I110" s="63" t="str">
        <f>VLOOKUP(B110,装备!B:CV,99,FALSE)</f>
        <v>抽技能DC</v>
      </c>
      <c r="J110" s="56" t="str">
        <f t="shared" si="30"/>
        <v>抽技能DC</v>
      </c>
      <c r="K110" s="56" t="str">
        <f t="shared" si="31"/>
        <v>抽技能DC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836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835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>
        <v>1</v>
      </c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IS02</v>
      </c>
      <c r="C111" s="63" t="s">
        <v>36</v>
      </c>
      <c r="D111" s="63" t="s">
        <v>76</v>
      </c>
      <c r="E111" s="66"/>
      <c r="F111" s="63"/>
      <c r="G111" s="63"/>
      <c r="H111" s="63" t="str">
        <f>VLOOKUP(LEFT(RIGHT(B111,5),4),装备!B:CU,2,FALSE)</f>
        <v>抽技能B</v>
      </c>
      <c r="I111" s="63" t="str">
        <f>VLOOKUP(B111,装备!B:CV,99,FALSE)</f>
        <v>抽技能B</v>
      </c>
      <c r="J111" s="56" t="str">
        <f t="shared" si="30"/>
        <v>抽技能B</v>
      </c>
      <c r="K111" s="56" t="str">
        <f t="shared" si="31"/>
        <v>抽技能B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836</v>
      </c>
      <c r="P111" s="63">
        <v>1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835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>
        <v>1</v>
      </c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IS03</v>
      </c>
      <c r="C112" s="63" t="s">
        <v>36</v>
      </c>
      <c r="D112" s="63" t="s">
        <v>76</v>
      </c>
      <c r="E112" s="66"/>
      <c r="F112" s="63"/>
      <c r="G112" s="63"/>
      <c r="H112" s="63" t="str">
        <f>VLOOKUP(LEFT(RIGHT(B112,5),4),装备!B:CU,2,FALSE)</f>
        <v>抽技能A</v>
      </c>
      <c r="I112" s="63" t="str">
        <f>VLOOKUP(B112,装备!B:CV,99,FALSE)</f>
        <v>抽技能A</v>
      </c>
      <c r="J112" s="56" t="str">
        <f t="shared" si="30"/>
        <v>抽技能A</v>
      </c>
      <c r="K112" s="56" t="str">
        <f t="shared" si="31"/>
        <v>抽技能A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836</v>
      </c>
      <c r="P112" s="63">
        <v>2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835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>
        <v>1</v>
      </c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IS04</v>
      </c>
      <c r="C113" s="63" t="s">
        <v>36</v>
      </c>
      <c r="D113" s="63" t="s">
        <v>76</v>
      </c>
      <c r="E113" s="66"/>
      <c r="F113" s="63"/>
      <c r="G113" s="63"/>
      <c r="H113" s="63" t="str">
        <f>VLOOKUP(LEFT(RIGHT(B113,5),4),装备!B:CU,2,FALSE)</f>
        <v>抽技能S</v>
      </c>
      <c r="I113" s="63" t="str">
        <f>VLOOKUP(B113,装备!B:CV,99,FALSE)</f>
        <v>抽技能S</v>
      </c>
      <c r="J113" s="56" t="str">
        <f t="shared" si="30"/>
        <v>抽技能S</v>
      </c>
      <c r="K113" s="56" t="str">
        <f t="shared" si="31"/>
        <v>抽技能S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836</v>
      </c>
      <c r="P113" s="63">
        <v>3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835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>
        <v>1</v>
      </c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IH00</v>
      </c>
      <c r="C114" s="63" t="s">
        <v>36</v>
      </c>
      <c r="D114" s="63" t="s">
        <v>76</v>
      </c>
      <c r="E114" s="66"/>
      <c r="F114" s="63"/>
      <c r="G114" s="63"/>
      <c r="H114" s="63" t="str">
        <f>VLOOKUP(LEFT(RIGHT(B114,5),4),装备!B:CU,2,FALSE)</f>
        <v>觉醒兽魂</v>
      </c>
      <c r="I114" s="63" t="str">
        <f>VLOOKUP(B114,装备!B:CV,99,FALSE)</f>
        <v>觉醒兽魂</v>
      </c>
      <c r="J114" s="56" t="str">
        <f t="shared" si="30"/>
        <v>觉醒兽魂</v>
      </c>
      <c r="K114" s="56" t="str">
        <f t="shared" si="31"/>
        <v>觉醒兽魂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836</v>
      </c>
      <c r="P114" s="63">
        <v>3</v>
      </c>
      <c r="Q114" s="63">
        <v>2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835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>
        <v>1</v>
      </c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IH01</v>
      </c>
      <c r="C115" s="63" t="s">
        <v>36</v>
      </c>
      <c r="D115" s="63" t="s">
        <v>76</v>
      </c>
      <c r="E115" s="66"/>
      <c r="F115" s="63"/>
      <c r="G115" s="63"/>
      <c r="H115" s="63" t="str">
        <f>VLOOKUP(LEFT(RIGHT(B115,5),4),装备!B:CU,2,FALSE)</f>
        <v>兽魂1</v>
      </c>
      <c r="I115" s="63" t="str">
        <f>VLOOKUP(B115,装备!B:CV,99,FALSE)</f>
        <v>觉醒兽魂</v>
      </c>
      <c r="J115" s="56" t="str">
        <f t="shared" si="30"/>
        <v>兽魂1</v>
      </c>
      <c r="K115" s="56" t="str">
        <f t="shared" si="31"/>
        <v>觉醒兽魂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836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835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>
        <v>1</v>
      </c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IH02</v>
      </c>
      <c r="C116" s="63" t="s">
        <v>36</v>
      </c>
      <c r="D116" s="63" t="s">
        <v>76</v>
      </c>
      <c r="E116" s="66"/>
      <c r="F116" s="63"/>
      <c r="G116" s="63"/>
      <c r="H116" s="63" t="str">
        <f>VLOOKUP(LEFT(RIGHT(B116,5),4),装备!B:CU,2,FALSE)</f>
        <v>兽魂2</v>
      </c>
      <c r="I116" s="63" t="str">
        <f>VLOOKUP(B116,装备!B:CV,99,FALSE)</f>
        <v>觉醒兽魂</v>
      </c>
      <c r="J116" s="56" t="str">
        <f t="shared" si="30"/>
        <v>兽魂2</v>
      </c>
      <c r="K116" s="56" t="str">
        <f t="shared" si="31"/>
        <v>觉醒兽魂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836</v>
      </c>
      <c r="P116" s="63">
        <v>1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835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>
        <v>1</v>
      </c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IH03</v>
      </c>
      <c r="C117" s="63" t="s">
        <v>36</v>
      </c>
      <c r="D117" s="63" t="s">
        <v>76</v>
      </c>
      <c r="E117" s="66"/>
      <c r="F117" s="63"/>
      <c r="G117" s="63"/>
      <c r="H117" s="63" t="str">
        <f>VLOOKUP(LEFT(RIGHT(B117,5),4),装备!B:CU,2,FALSE)</f>
        <v>兽魂3</v>
      </c>
      <c r="I117" s="63" t="str">
        <f>VLOOKUP(B117,装备!B:CV,99,FALSE)</f>
        <v>觉醒兽魂</v>
      </c>
      <c r="J117" s="56" t="str">
        <f t="shared" si="30"/>
        <v>兽魂3</v>
      </c>
      <c r="K117" s="56" t="str">
        <f t="shared" si="31"/>
        <v>觉醒兽魂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836</v>
      </c>
      <c r="P117" s="63">
        <v>2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835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>
        <v>1</v>
      </c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IH04</v>
      </c>
      <c r="C118" s="63" t="s">
        <v>36</v>
      </c>
      <c r="D118" s="63" t="s">
        <v>76</v>
      </c>
      <c r="E118" s="66"/>
      <c r="F118" s="63"/>
      <c r="G118" s="63"/>
      <c r="H118" s="63" t="str">
        <f>VLOOKUP(LEFT(RIGHT(B118,5),4),装备!B:CU,2,FALSE)</f>
        <v>兽魂4</v>
      </c>
      <c r="I118" s="63" t="str">
        <f>VLOOKUP(B118,装备!B:CV,99,FALSE)</f>
        <v>觉醒兽魂</v>
      </c>
      <c r="J118" s="56" t="str">
        <f t="shared" si="30"/>
        <v>兽魂4</v>
      </c>
      <c r="K118" s="56" t="str">
        <f t="shared" si="31"/>
        <v>觉醒兽魂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836</v>
      </c>
      <c r="P118" s="63">
        <v>3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835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>
        <v>1</v>
      </c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IH05</v>
      </c>
      <c r="C119" s="63" t="s">
        <v>36</v>
      </c>
      <c r="D119" s="63" t="s">
        <v>76</v>
      </c>
      <c r="E119" s="66"/>
      <c r="F119" s="63"/>
      <c r="G119" s="63"/>
      <c r="H119" s="63" t="str">
        <f>VLOOKUP(LEFT(RIGHT(B119,5),4),装备!B:CU,2,FALSE)</f>
        <v>兽魂5</v>
      </c>
      <c r="I119" s="63" t="str">
        <f>VLOOKUP(B119,装备!B:CV,99,FALSE)</f>
        <v>觉醒兽魂</v>
      </c>
      <c r="J119" s="56" t="str">
        <f t="shared" si="30"/>
        <v>兽魂5</v>
      </c>
      <c r="K119" s="56" t="str">
        <f t="shared" si="31"/>
        <v>觉醒兽魂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836</v>
      </c>
      <c r="P119" s="63">
        <v>0</v>
      </c>
      <c r="Q119" s="63">
        <v>1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835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>
        <v>1</v>
      </c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IH06</v>
      </c>
      <c r="C120" s="63" t="s">
        <v>36</v>
      </c>
      <c r="D120" s="63" t="s">
        <v>76</v>
      </c>
      <c r="E120" s="66"/>
      <c r="F120" s="63"/>
      <c r="G120" s="63"/>
      <c r="H120" s="63" t="str">
        <f>VLOOKUP(LEFT(RIGHT(B120,5),4),装备!B:CU,2,FALSE)</f>
        <v>兽魂6</v>
      </c>
      <c r="I120" s="63" t="str">
        <f>VLOOKUP(B120,装备!B:CV,99,FALSE)</f>
        <v>觉醒兽魂</v>
      </c>
      <c r="J120" s="56" t="str">
        <f t="shared" si="30"/>
        <v>兽魂6</v>
      </c>
      <c r="K120" s="56" t="str">
        <f t="shared" si="31"/>
        <v>觉醒兽魂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836</v>
      </c>
      <c r="P120" s="63">
        <v>1</v>
      </c>
      <c r="Q120" s="63">
        <v>1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835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>
        <v>1</v>
      </c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IH07</v>
      </c>
      <c r="C121" s="63" t="s">
        <v>36</v>
      </c>
      <c r="D121" s="63" t="s">
        <v>76</v>
      </c>
      <c r="E121" s="66"/>
      <c r="F121" s="63"/>
      <c r="G121" s="63"/>
      <c r="H121" s="63" t="str">
        <f>VLOOKUP(LEFT(RIGHT(B121,5),4),装备!B:CU,2,FALSE)</f>
        <v>兽魂7</v>
      </c>
      <c r="I121" s="63" t="str">
        <f>VLOOKUP(B121,装备!B:CV,99,FALSE)</f>
        <v>觉醒兽魂</v>
      </c>
      <c r="J121" s="56" t="str">
        <f t="shared" si="30"/>
        <v>兽魂7</v>
      </c>
      <c r="K121" s="56" t="str">
        <f t="shared" si="31"/>
        <v>觉醒兽魂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836</v>
      </c>
      <c r="P121" s="63">
        <v>2</v>
      </c>
      <c r="Q121" s="63">
        <v>1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835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>
        <v>1</v>
      </c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IH08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兽魂8</v>
      </c>
      <c r="I122" s="63" t="str">
        <f>VLOOKUP(B122,装备!B:CV,99,FALSE)</f>
        <v>觉醒兽魂</v>
      </c>
      <c r="J122" s="56" t="str">
        <f t="shared" si="30"/>
        <v>兽魂8</v>
      </c>
      <c r="K122" s="56" t="str">
        <f t="shared" si="31"/>
        <v>觉醒兽魂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836</v>
      </c>
      <c r="P122" s="63">
        <v>3</v>
      </c>
      <c r="Q122" s="63">
        <v>1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835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IB01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入群礼包</v>
      </c>
      <c r="I123" s="63" t="str">
        <f>VLOOKUP(B123,装备!B:CV,99,FALSE)</f>
        <v>入群礼包</v>
      </c>
      <c r="J123" s="56" t="str">
        <f t="shared" si="30"/>
        <v>入群礼包</v>
      </c>
      <c r="K123" s="56" t="str">
        <f t="shared" si="31"/>
        <v>入群礼包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836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835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IB02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公众号礼包</v>
      </c>
      <c r="I124" s="63" t="str">
        <f>VLOOKUP(B124,装备!B:CV,99,FALSE)</f>
        <v>公众号礼包</v>
      </c>
      <c r="J124" s="56" t="str">
        <f t="shared" si="30"/>
        <v>公众号礼包</v>
      </c>
      <c r="K124" s="56" t="str">
        <f t="shared" si="31"/>
        <v>公众号礼包</v>
      </c>
      <c r="L124" s="63"/>
      <c r="M124" s="65" t="str">
        <f>VLOOKUP(LEFT(RIGHT(B124,5),4),装备!B:CU,20,FALSE)</f>
        <v>ReplaceableTextures\\CommandButtons\\BTNTome.blp</v>
      </c>
      <c r="N124" s="83" t="s">
        <v>77</v>
      </c>
      <c r="O124" s="115" t="s">
        <v>836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835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IB03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好评礼包</v>
      </c>
      <c r="I125" s="63" t="str">
        <f>VLOOKUP(B125,装备!B:CV,99,FALSE)</f>
        <v>好评礼包</v>
      </c>
      <c r="J125" s="56" t="str">
        <f t="shared" si="30"/>
        <v>好评礼包</v>
      </c>
      <c r="K125" s="56" t="str">
        <f t="shared" si="31"/>
        <v>好评礼包</v>
      </c>
      <c r="L125" s="63"/>
      <c r="M125" s="65" t="str">
        <f>VLOOKUP(LEFT(RIGHT(B125,5),4),装备!B:CU,20,FALSE)</f>
        <v>ReplaceableTextures\\CommandButtons\\BTNTome.blp</v>
      </c>
      <c r="N125" s="83" t="s">
        <v>77</v>
      </c>
      <c r="O125" s="115" t="s">
        <v>836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835</v>
      </c>
      <c r="X125" s="63">
        <v>0</v>
      </c>
      <c r="Y125" s="83" t="s">
        <v>77</v>
      </c>
      <c r="Z125" s="63">
        <v>0</v>
      </c>
      <c r="AA125" s="63">
        <v>0</v>
      </c>
      <c r="AB125" s="63">
        <v>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IB04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老铁礼包</v>
      </c>
      <c r="I126" s="63" t="str">
        <f>VLOOKUP(B126,装备!B:CV,99,FALSE)</f>
        <v>老铁礼包</v>
      </c>
      <c r="J126" s="56" t="str">
        <f t="shared" si="30"/>
        <v>老铁礼包</v>
      </c>
      <c r="K126" s="56" t="str">
        <f t="shared" si="31"/>
        <v>老铁礼包</v>
      </c>
      <c r="L126" s="63"/>
      <c r="M126" s="65" t="str">
        <f>VLOOKUP(LEFT(RIGHT(B126,5),4),装备!B:CU,20,FALSE)</f>
        <v>ReplaceableTextures\\CommandButtons\\BTNTome.blp</v>
      </c>
      <c r="N126" s="83" t="s">
        <v>77</v>
      </c>
      <c r="O126" s="115" t="s">
        <v>836</v>
      </c>
      <c r="P126" s="63">
        <v>0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835</v>
      </c>
      <c r="X126" s="63">
        <v>0</v>
      </c>
      <c r="Y126" s="83" t="s">
        <v>77</v>
      </c>
      <c r="Z126" s="63">
        <v>0</v>
      </c>
      <c r="AA126" s="63">
        <v>0</v>
      </c>
      <c r="AB126" s="63">
        <v>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IB05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工会礼包</v>
      </c>
      <c r="I127" s="63" t="str">
        <f>VLOOKUP(B127,装备!B:CV,99,FALSE)</f>
        <v>工会礼包</v>
      </c>
      <c r="J127" s="56" t="str">
        <f t="shared" si="30"/>
        <v>工会礼包</v>
      </c>
      <c r="K127" s="56" t="str">
        <f t="shared" si="31"/>
        <v>工会礼包</v>
      </c>
      <c r="L127" s="63"/>
      <c r="M127" s="65" t="str">
        <f>VLOOKUP(LEFT(RIGHT(B127,5),4),装备!B:CU,20,FALSE)</f>
        <v>ReplaceableTextures\\CommandButtons\\BTNTome.blp</v>
      </c>
      <c r="N127" s="83" t="s">
        <v>77</v>
      </c>
      <c r="O127" s="115" t="s">
        <v>836</v>
      </c>
      <c r="P127" s="63">
        <v>0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835</v>
      </c>
      <c r="X127" s="63">
        <v>0</v>
      </c>
      <c r="Y127" s="83" t="s">
        <v>77</v>
      </c>
      <c r="Z127" s="63">
        <v>0</v>
      </c>
      <c r="AA127" s="63">
        <v>0</v>
      </c>
      <c r="AB127" s="63">
        <v>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/>
      <c r="C128" s="63"/>
      <c r="D128" s="63"/>
      <c r="E128" s="66"/>
      <c r="F128" s="63"/>
      <c r="G128" s="63"/>
      <c r="H128" s="63"/>
      <c r="I128" s="63"/>
      <c r="J128" s="56"/>
      <c r="K128" s="56"/>
      <c r="L128" s="63"/>
      <c r="M128" s="65"/>
      <c r="N128" s="83"/>
      <c r="O128" s="84"/>
      <c r="P128" s="63"/>
      <c r="Q128" s="63"/>
      <c r="R128" s="83"/>
      <c r="S128" s="83"/>
      <c r="T128" s="83"/>
      <c r="U128" s="83"/>
      <c r="V128" s="63"/>
      <c r="W128" s="83"/>
      <c r="X128" s="63"/>
      <c r="Y128" s="8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</row>
    <row r="129" spans="1:42">
      <c r="A129" s="62"/>
      <c r="B129" s="63"/>
      <c r="C129" s="63"/>
      <c r="D129" s="63"/>
      <c r="E129" s="66"/>
      <c r="F129" s="63"/>
      <c r="G129" s="63"/>
      <c r="H129" s="63"/>
      <c r="I129" s="63"/>
      <c r="J129" s="56"/>
      <c r="K129" s="56"/>
      <c r="L129" s="63"/>
      <c r="M129" s="65"/>
      <c r="N129" s="83"/>
      <c r="O129" s="84"/>
      <c r="P129" s="63"/>
      <c r="Q129" s="63"/>
      <c r="R129" s="83"/>
      <c r="S129" s="83"/>
      <c r="T129" s="83"/>
      <c r="U129" s="83"/>
      <c r="V129" s="63"/>
      <c r="W129" s="83"/>
      <c r="X129" s="63"/>
      <c r="Y129" s="8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</row>
    <row r="130" spans="1:42">
      <c r="A130" s="62"/>
      <c r="B130" s="63"/>
      <c r="C130" s="63"/>
      <c r="D130" s="63"/>
      <c r="E130" s="66"/>
      <c r="F130" s="63"/>
      <c r="G130" s="63"/>
      <c r="H130" s="63"/>
      <c r="I130" s="63"/>
      <c r="J130" s="56"/>
      <c r="K130" s="56"/>
      <c r="L130" s="63"/>
      <c r="M130" s="65"/>
      <c r="N130" s="83"/>
      <c r="O130" s="84"/>
      <c r="P130" s="63"/>
      <c r="Q130" s="63"/>
      <c r="R130" s="83"/>
      <c r="S130" s="83"/>
      <c r="T130" s="83"/>
      <c r="U130" s="83"/>
      <c r="V130" s="63"/>
      <c r="W130" s="83"/>
      <c r="X130" s="63"/>
      <c r="Y130" s="8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</row>
    <row r="131" spans="1:42">
      <c r="A131" s="62"/>
      <c r="B131" s="63"/>
      <c r="C131" s="63"/>
      <c r="D131" s="63"/>
      <c r="E131" s="66"/>
      <c r="F131" s="63"/>
      <c r="G131" s="63"/>
      <c r="H131" s="63"/>
      <c r="I131" s="63"/>
      <c r="J131" s="56"/>
      <c r="K131" s="56"/>
      <c r="L131" s="63"/>
      <c r="M131" s="65"/>
      <c r="N131" s="83"/>
      <c r="O131" s="84"/>
      <c r="P131" s="63"/>
      <c r="Q131" s="63"/>
      <c r="R131" s="83"/>
      <c r="S131" s="83"/>
      <c r="T131" s="83"/>
      <c r="U131" s="83"/>
      <c r="V131" s="63"/>
      <c r="W131" s="83"/>
      <c r="X131" s="63"/>
      <c r="Y131" s="8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</row>
    <row r="132" spans="1:42">
      <c r="A132" s="62"/>
      <c r="B132" s="63"/>
      <c r="C132" s="63"/>
      <c r="D132" s="63"/>
      <c r="E132" s="66"/>
      <c r="F132" s="63"/>
      <c r="G132" s="63"/>
      <c r="H132" s="63"/>
      <c r="I132" s="63"/>
      <c r="J132" s="56"/>
      <c r="K132" s="56"/>
      <c r="L132" s="63"/>
      <c r="M132" s="65"/>
      <c r="N132" s="83"/>
      <c r="O132" s="84"/>
      <c r="P132" s="63"/>
      <c r="Q132" s="63"/>
      <c r="R132" s="83"/>
      <c r="S132" s="83"/>
      <c r="T132" s="83"/>
      <c r="U132" s="83"/>
      <c r="V132" s="63"/>
      <c r="W132" s="83"/>
      <c r="X132" s="63"/>
      <c r="Y132" s="8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</row>
    <row r="133" spans="1:42">
      <c r="A133" s="62"/>
      <c r="B133" s="63"/>
      <c r="C133" s="63"/>
      <c r="D133" s="63"/>
      <c r="E133" s="66"/>
      <c r="F133" s="63"/>
      <c r="G133" s="63"/>
      <c r="H133" s="63"/>
      <c r="I133" s="63"/>
      <c r="J133" s="56"/>
      <c r="K133" s="56"/>
      <c r="L133" s="63"/>
      <c r="M133" s="65"/>
      <c r="N133" s="83"/>
      <c r="O133" s="84"/>
      <c r="P133" s="63"/>
      <c r="Q133" s="63"/>
      <c r="R133" s="83"/>
      <c r="S133" s="83"/>
      <c r="T133" s="83"/>
      <c r="U133" s="83"/>
      <c r="V133" s="63"/>
      <c r="W133" s="83"/>
      <c r="X133" s="63"/>
      <c r="Y133" s="8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</row>
    <row r="134" spans="1:42">
      <c r="A134" s="62"/>
      <c r="B134" s="63"/>
      <c r="C134" s="63"/>
      <c r="D134" s="63"/>
      <c r="E134" s="66"/>
      <c r="F134" s="63"/>
      <c r="G134" s="63"/>
      <c r="H134" s="63"/>
      <c r="I134" s="63"/>
      <c r="J134" s="56"/>
      <c r="K134" s="56"/>
      <c r="L134" s="63"/>
      <c r="M134" s="65"/>
      <c r="N134" s="83"/>
      <c r="O134" s="84"/>
      <c r="P134" s="63"/>
      <c r="Q134" s="63"/>
      <c r="R134" s="83"/>
      <c r="S134" s="83"/>
      <c r="T134" s="83"/>
      <c r="U134" s="83"/>
      <c r="V134" s="63"/>
      <c r="W134" s="83"/>
      <c r="X134" s="63"/>
      <c r="Y134" s="8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</row>
    <row r="135" spans="1:42">
      <c r="A135" s="62"/>
      <c r="B135" s="63"/>
      <c r="C135" s="63"/>
      <c r="D135" s="63"/>
      <c r="E135" s="66"/>
      <c r="F135" s="63"/>
      <c r="G135" s="63"/>
      <c r="H135" s="63"/>
      <c r="I135" s="63"/>
      <c r="J135" s="56"/>
      <c r="K135" s="56"/>
      <c r="L135" s="63"/>
      <c r="M135" s="65"/>
      <c r="N135" s="83"/>
      <c r="O135" s="84"/>
      <c r="P135" s="63"/>
      <c r="Q135" s="63"/>
      <c r="R135" s="83"/>
      <c r="S135" s="83"/>
      <c r="T135" s="83"/>
      <c r="U135" s="83"/>
      <c r="V135" s="63"/>
      <c r="W135" s="83"/>
      <c r="X135" s="63"/>
      <c r="Y135" s="8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</row>
    <row r="136" spans="1:42">
      <c r="A136" s="62"/>
      <c r="B136" s="63"/>
      <c r="C136" s="63"/>
      <c r="D136" s="63"/>
      <c r="E136" s="66"/>
      <c r="F136" s="63"/>
      <c r="G136" s="63"/>
      <c r="H136" s="63"/>
      <c r="I136" s="63"/>
      <c r="J136" s="56"/>
      <c r="K136" s="56"/>
      <c r="L136" s="63"/>
      <c r="M136" s="65"/>
      <c r="N136" s="83"/>
      <c r="O136" s="84"/>
      <c r="P136" s="63"/>
      <c r="Q136" s="63"/>
      <c r="R136" s="83"/>
      <c r="S136" s="83"/>
      <c r="T136" s="83"/>
      <c r="U136" s="83"/>
      <c r="V136" s="63"/>
      <c r="W136" s="83"/>
      <c r="X136" s="63"/>
      <c r="Y136" s="8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</row>
    <row r="137" spans="1:42">
      <c r="A137" s="62"/>
      <c r="B137" s="63"/>
      <c r="C137" s="63"/>
      <c r="D137" s="63"/>
      <c r="E137" s="66"/>
      <c r="F137" s="63"/>
      <c r="G137" s="63"/>
      <c r="H137" s="63"/>
      <c r="I137" s="63"/>
      <c r="J137" s="56"/>
      <c r="K137" s="56"/>
      <c r="L137" s="63"/>
      <c r="M137" s="65"/>
      <c r="N137" s="83"/>
      <c r="O137" s="84"/>
      <c r="P137" s="63"/>
      <c r="Q137" s="63"/>
      <c r="R137" s="83"/>
      <c r="S137" s="83"/>
      <c r="T137" s="83"/>
      <c r="U137" s="83"/>
      <c r="V137" s="63"/>
      <c r="W137" s="83"/>
      <c r="X137" s="63"/>
      <c r="Y137" s="8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</row>
    <row r="138" spans="1:42">
      <c r="A138" s="62"/>
      <c r="B138" s="63"/>
      <c r="C138" s="63"/>
      <c r="D138" s="63"/>
      <c r="E138" s="66"/>
      <c r="F138" s="63"/>
      <c r="G138" s="63"/>
      <c r="H138" s="63"/>
      <c r="I138" s="63"/>
      <c r="J138" s="56"/>
      <c r="K138" s="56"/>
      <c r="L138" s="63"/>
      <c r="M138" s="65"/>
      <c r="N138" s="83"/>
      <c r="O138" s="84"/>
      <c r="P138" s="63"/>
      <c r="Q138" s="63"/>
      <c r="R138" s="83"/>
      <c r="S138" s="83"/>
      <c r="T138" s="83"/>
      <c r="U138" s="83"/>
      <c r="V138" s="63"/>
      <c r="W138" s="83"/>
      <c r="X138" s="63"/>
      <c r="Y138" s="8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</row>
    <row r="139" spans="1:42">
      <c r="A139" s="62"/>
      <c r="B139" s="63"/>
      <c r="C139" s="63"/>
      <c r="D139" s="63"/>
      <c r="E139" s="66"/>
      <c r="F139" s="63"/>
      <c r="G139" s="63"/>
      <c r="H139" s="63"/>
      <c r="I139" s="63"/>
      <c r="J139" s="56"/>
      <c r="K139" s="56"/>
      <c r="L139" s="63"/>
      <c r="M139" s="65"/>
      <c r="N139" s="83"/>
      <c r="O139" s="84"/>
      <c r="P139" s="63"/>
      <c r="Q139" s="63"/>
      <c r="R139" s="83"/>
      <c r="S139" s="83"/>
      <c r="T139" s="83"/>
      <c r="U139" s="83"/>
      <c r="V139" s="63"/>
      <c r="W139" s="83"/>
      <c r="X139" s="63"/>
      <c r="Y139" s="8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</row>
    <row r="140" spans="1:42">
      <c r="A140" s="62"/>
      <c r="B140" s="63"/>
      <c r="C140" s="63"/>
      <c r="D140" s="63"/>
      <c r="E140" s="66"/>
      <c r="F140" s="63"/>
      <c r="G140" s="63"/>
      <c r="H140" s="63"/>
      <c r="I140" s="63"/>
      <c r="J140" s="56"/>
      <c r="K140" s="56"/>
      <c r="L140" s="63"/>
      <c r="M140" s="65"/>
      <c r="N140" s="83"/>
      <c r="O140" s="84"/>
      <c r="P140" s="63"/>
      <c r="Q140" s="63"/>
      <c r="R140" s="83"/>
      <c r="S140" s="83"/>
      <c r="T140" s="83"/>
      <c r="U140" s="83"/>
      <c r="V140" s="63"/>
      <c r="W140" s="83"/>
      <c r="X140" s="63"/>
      <c r="Y140" s="8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</row>
    <row r="141" spans="1:42">
      <c r="A141" s="62"/>
      <c r="B141" s="63"/>
      <c r="C141" s="63"/>
      <c r="D141" s="63"/>
      <c r="E141" s="66"/>
      <c r="F141" s="63"/>
      <c r="G141" s="63"/>
      <c r="H141" s="63"/>
      <c r="I141" s="63"/>
      <c r="J141" s="56"/>
      <c r="K141" s="56"/>
      <c r="L141" s="63"/>
      <c r="M141" s="65"/>
      <c r="N141" s="83"/>
      <c r="O141" s="84"/>
      <c r="P141" s="63"/>
      <c r="Q141" s="63"/>
      <c r="R141" s="83"/>
      <c r="S141" s="83"/>
      <c r="T141" s="83"/>
      <c r="U141" s="83"/>
      <c r="V141" s="63"/>
      <c r="W141" s="83"/>
      <c r="X141" s="63"/>
      <c r="Y141" s="8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</row>
    <row r="142" spans="1:42">
      <c r="A142" s="62"/>
      <c r="B142" s="63"/>
      <c r="C142" s="63"/>
      <c r="D142" s="63"/>
      <c r="E142" s="66"/>
      <c r="F142" s="63"/>
      <c r="G142" s="63"/>
      <c r="H142" s="63"/>
      <c r="I142" s="63"/>
      <c r="J142" s="56"/>
      <c r="K142" s="56"/>
      <c r="L142" s="63"/>
      <c r="M142" s="65"/>
      <c r="N142" s="83"/>
      <c r="O142" s="84"/>
      <c r="P142" s="63"/>
      <c r="Q142" s="63"/>
      <c r="R142" s="83"/>
      <c r="S142" s="83"/>
      <c r="T142" s="83"/>
      <c r="U142" s="83"/>
      <c r="V142" s="63"/>
      <c r="W142" s="83"/>
      <c r="X142" s="63"/>
      <c r="Y142" s="8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</row>
    <row r="143" spans="1:42">
      <c r="A143" s="62"/>
      <c r="B143" s="63"/>
      <c r="C143" s="63"/>
      <c r="D143" s="63"/>
      <c r="E143" s="66"/>
      <c r="F143" s="63"/>
      <c r="G143" s="63"/>
      <c r="H143" s="63"/>
      <c r="I143" s="63"/>
      <c r="J143" s="56"/>
      <c r="K143" s="56"/>
      <c r="L143" s="63"/>
      <c r="M143" s="65"/>
      <c r="N143" s="83"/>
      <c r="O143" s="84"/>
      <c r="P143" s="63"/>
      <c r="Q143" s="63"/>
      <c r="R143" s="83"/>
      <c r="S143" s="83"/>
      <c r="T143" s="83"/>
      <c r="U143" s="83"/>
      <c r="V143" s="63"/>
      <c r="W143" s="83"/>
      <c r="X143" s="63"/>
      <c r="Y143" s="8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</row>
    <row r="144" spans="1:42">
      <c r="A144" s="62"/>
      <c r="B144" s="63"/>
      <c r="C144" s="63"/>
      <c r="D144" s="63"/>
      <c r="E144" s="66"/>
      <c r="F144" s="63"/>
      <c r="G144" s="63"/>
      <c r="H144" s="63"/>
      <c r="I144" s="63"/>
      <c r="J144" s="56"/>
      <c r="K144" s="56"/>
      <c r="L144" s="63"/>
      <c r="M144" s="65"/>
      <c r="N144" s="83"/>
      <c r="O144" s="84"/>
      <c r="P144" s="63"/>
      <c r="Q144" s="63"/>
      <c r="R144" s="83"/>
      <c r="S144" s="83"/>
      <c r="T144" s="83"/>
      <c r="U144" s="83"/>
      <c r="V144" s="63"/>
      <c r="W144" s="83"/>
      <c r="X144" s="63"/>
      <c r="Y144" s="8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</row>
    <row r="145" spans="1:42">
      <c r="A145" s="62"/>
      <c r="B145" s="63"/>
      <c r="C145" s="63"/>
      <c r="D145" s="63"/>
      <c r="E145" s="66"/>
      <c r="F145" s="63"/>
      <c r="G145" s="63"/>
      <c r="H145" s="63"/>
      <c r="I145" s="63"/>
      <c r="J145" s="56"/>
      <c r="K145" s="56"/>
      <c r="L145" s="63"/>
      <c r="M145" s="65"/>
      <c r="N145" s="83"/>
      <c r="O145" s="84"/>
      <c r="P145" s="63"/>
      <c r="Q145" s="63"/>
      <c r="R145" s="83"/>
      <c r="S145" s="83"/>
      <c r="T145" s="83"/>
      <c r="U145" s="83"/>
      <c r="V145" s="63"/>
      <c r="W145" s="83"/>
      <c r="X145" s="63"/>
      <c r="Y145" s="8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</row>
    <row r="146" spans="1:42">
      <c r="A146" s="62"/>
      <c r="B146" s="63"/>
      <c r="C146" s="63"/>
      <c r="D146" s="63"/>
      <c r="E146" s="66"/>
      <c r="F146" s="63"/>
      <c r="G146" s="63"/>
      <c r="H146" s="63"/>
      <c r="I146" s="63"/>
      <c r="J146" s="56"/>
      <c r="K146" s="56"/>
      <c r="L146" s="63"/>
      <c r="M146" s="65"/>
      <c r="N146" s="83"/>
      <c r="O146" s="84"/>
      <c r="P146" s="63"/>
      <c r="Q146" s="63"/>
      <c r="R146" s="83"/>
      <c r="S146" s="83"/>
      <c r="T146" s="83"/>
      <c r="U146" s="83"/>
      <c r="V146" s="63"/>
      <c r="W146" s="83"/>
      <c r="X146" s="63"/>
      <c r="Y146" s="8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</row>
    <row r="147" spans="1:42">
      <c r="A147" s="62"/>
      <c r="B147" s="63"/>
      <c r="C147" s="63"/>
      <c r="D147" s="63"/>
      <c r="E147" s="66"/>
      <c r="F147" s="63"/>
      <c r="G147" s="63"/>
      <c r="H147" s="63"/>
      <c r="I147" s="63"/>
      <c r="J147" s="56"/>
      <c r="K147" s="56"/>
      <c r="L147" s="63"/>
      <c r="M147" s="65"/>
      <c r="N147" s="83"/>
      <c r="O147" s="84"/>
      <c r="P147" s="63"/>
      <c r="Q147" s="63"/>
      <c r="R147" s="83"/>
      <c r="S147" s="83"/>
      <c r="T147" s="83"/>
      <c r="U147" s="83"/>
      <c r="V147" s="63"/>
      <c r="W147" s="83"/>
      <c r="X147" s="63"/>
      <c r="Y147" s="8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</row>
    <row r="148" spans="1:42">
      <c r="A148" s="62"/>
      <c r="B148" s="63"/>
      <c r="C148" s="63"/>
      <c r="D148" s="63"/>
      <c r="E148" s="66"/>
      <c r="F148" s="63"/>
      <c r="G148" s="63"/>
      <c r="H148" s="63"/>
      <c r="I148" s="63"/>
      <c r="J148" s="56"/>
      <c r="K148" s="56"/>
      <c r="L148" s="63"/>
      <c r="M148" s="65"/>
      <c r="N148" s="83"/>
      <c r="O148" s="84"/>
      <c r="P148" s="63"/>
      <c r="Q148" s="63"/>
      <c r="R148" s="83"/>
      <c r="S148" s="83"/>
      <c r="T148" s="83"/>
      <c r="U148" s="83"/>
      <c r="V148" s="63"/>
      <c r="W148" s="83"/>
      <c r="X148" s="63"/>
      <c r="Y148" s="8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</row>
    <row r="149" spans="1:42">
      <c r="A149" s="62"/>
      <c r="B149" s="63"/>
      <c r="C149" s="63"/>
      <c r="D149" s="63"/>
      <c r="E149" s="66"/>
      <c r="F149" s="63"/>
      <c r="G149" s="63"/>
      <c r="H149" s="63"/>
      <c r="I149" s="63"/>
      <c r="J149" s="56"/>
      <c r="K149" s="56"/>
      <c r="L149" s="63"/>
      <c r="M149" s="65"/>
      <c r="N149" s="83"/>
      <c r="O149" s="84"/>
      <c r="P149" s="63"/>
      <c r="Q149" s="63"/>
      <c r="R149" s="83"/>
      <c r="S149" s="83"/>
      <c r="T149" s="83"/>
      <c r="U149" s="83"/>
      <c r="V149" s="63"/>
      <c r="W149" s="83"/>
      <c r="X149" s="63"/>
      <c r="Y149" s="8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</row>
    <row r="150" spans="1:42">
      <c r="A150" s="62"/>
      <c r="B150" s="63"/>
      <c r="C150" s="63"/>
      <c r="D150" s="63"/>
      <c r="E150" s="66"/>
      <c r="F150" s="63"/>
      <c r="G150" s="63"/>
      <c r="H150" s="63"/>
      <c r="I150" s="63"/>
      <c r="J150" s="56"/>
      <c r="K150" s="56"/>
      <c r="L150" s="63"/>
      <c r="M150" s="65"/>
      <c r="N150" s="83"/>
      <c r="O150" s="84"/>
      <c r="P150" s="63"/>
      <c r="Q150" s="63"/>
      <c r="R150" s="83"/>
      <c r="S150" s="83"/>
      <c r="T150" s="83"/>
      <c r="U150" s="83"/>
      <c r="V150" s="63"/>
      <c r="W150" s="83"/>
      <c r="X150" s="63"/>
      <c r="Y150" s="8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</row>
    <row r="151" spans="1:42">
      <c r="A151" s="62"/>
      <c r="B151" s="63"/>
      <c r="C151" s="63"/>
      <c r="D151" s="63"/>
      <c r="E151" s="66"/>
      <c r="F151" s="63"/>
      <c r="G151" s="63"/>
      <c r="H151" s="63"/>
      <c r="I151" s="63"/>
      <c r="J151" s="56"/>
      <c r="K151" s="56"/>
      <c r="L151" s="63"/>
      <c r="M151" s="65"/>
      <c r="N151" s="83"/>
      <c r="O151" s="84"/>
      <c r="P151" s="63"/>
      <c r="Q151" s="63"/>
      <c r="R151" s="83"/>
      <c r="S151" s="83"/>
      <c r="T151" s="83"/>
      <c r="U151" s="83"/>
      <c r="V151" s="63"/>
      <c r="W151" s="83"/>
      <c r="X151" s="63"/>
      <c r="Y151" s="8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</row>
    <row r="152" spans="1:42">
      <c r="A152" s="62"/>
      <c r="B152" s="63"/>
      <c r="C152" s="63"/>
      <c r="D152" s="63"/>
      <c r="E152" s="66"/>
      <c r="F152" s="63"/>
      <c r="G152" s="63"/>
      <c r="H152" s="63"/>
      <c r="I152" s="63"/>
      <c r="J152" s="56"/>
      <c r="K152" s="56"/>
      <c r="L152" s="63"/>
      <c r="M152" s="65"/>
      <c r="N152" s="83"/>
      <c r="O152" s="84"/>
      <c r="P152" s="63"/>
      <c r="Q152" s="63"/>
      <c r="R152" s="83"/>
      <c r="S152" s="83"/>
      <c r="T152" s="83"/>
      <c r="U152" s="83"/>
      <c r="V152" s="63"/>
      <c r="W152" s="83"/>
      <c r="X152" s="63"/>
      <c r="Y152" s="8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</row>
    <row r="153" spans="1:42">
      <c r="A153" s="62"/>
      <c r="B153" s="63"/>
      <c r="C153" s="63"/>
      <c r="D153" s="63"/>
      <c r="E153" s="66"/>
      <c r="F153" s="63"/>
      <c r="G153" s="63"/>
      <c r="H153" s="63"/>
      <c r="I153" s="63"/>
      <c r="J153" s="56"/>
      <c r="K153" s="56"/>
      <c r="L153" s="63"/>
      <c r="M153" s="65"/>
      <c r="N153" s="83"/>
      <c r="O153" s="84"/>
      <c r="P153" s="63"/>
      <c r="Q153" s="63"/>
      <c r="R153" s="83"/>
      <c r="S153" s="83"/>
      <c r="T153" s="83"/>
      <c r="U153" s="83"/>
      <c r="V153" s="63"/>
      <c r="W153" s="83"/>
      <c r="X153" s="63"/>
      <c r="Y153" s="8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</row>
    <row r="154" spans="1:42">
      <c r="A154" s="62"/>
      <c r="B154" s="63"/>
      <c r="C154" s="63"/>
      <c r="D154" s="63"/>
      <c r="E154" s="66"/>
      <c r="F154" s="63"/>
      <c r="G154" s="63"/>
      <c r="H154" s="63"/>
      <c r="I154" s="63"/>
      <c r="J154" s="56"/>
      <c r="K154" s="56"/>
      <c r="L154" s="63"/>
      <c r="M154" s="65"/>
      <c r="N154" s="83"/>
      <c r="O154" s="84"/>
      <c r="P154" s="63"/>
      <c r="Q154" s="63"/>
      <c r="R154" s="83"/>
      <c r="S154" s="83"/>
      <c r="T154" s="83"/>
      <c r="U154" s="83"/>
      <c r="V154" s="63"/>
      <c r="W154" s="83"/>
      <c r="X154" s="63"/>
      <c r="Y154" s="8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</row>
    <row r="155" spans="1:42">
      <c r="A155" s="62"/>
      <c r="B155" s="63"/>
      <c r="C155" s="63"/>
      <c r="D155" s="63"/>
      <c r="E155" s="66"/>
      <c r="F155" s="63"/>
      <c r="G155" s="63"/>
      <c r="H155" s="63"/>
      <c r="I155" s="63"/>
      <c r="J155" s="56"/>
      <c r="K155" s="56"/>
      <c r="L155" s="63"/>
      <c r="M155" s="65"/>
      <c r="N155" s="83"/>
      <c r="O155" s="84"/>
      <c r="P155" s="63"/>
      <c r="Q155" s="63"/>
      <c r="R155" s="83"/>
      <c r="S155" s="83"/>
      <c r="T155" s="83"/>
      <c r="U155" s="83"/>
      <c r="V155" s="63"/>
      <c r="W155" s="83"/>
      <c r="X155" s="63"/>
      <c r="Y155" s="8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</row>
    <row r="156" spans="1:42">
      <c r="A156" s="62"/>
      <c r="B156" s="63"/>
      <c r="C156" s="63"/>
      <c r="D156" s="63"/>
      <c r="E156" s="66"/>
      <c r="F156" s="63"/>
      <c r="G156" s="63"/>
      <c r="H156" s="63"/>
      <c r="I156" s="63"/>
      <c r="J156" s="56"/>
      <c r="K156" s="56"/>
      <c r="L156" s="63"/>
      <c r="M156" s="65"/>
      <c r="N156" s="83"/>
      <c r="O156" s="84"/>
      <c r="P156" s="63"/>
      <c r="Q156" s="63"/>
      <c r="R156" s="83"/>
      <c r="S156" s="83"/>
      <c r="T156" s="83"/>
      <c r="U156" s="83"/>
      <c r="V156" s="63"/>
      <c r="W156" s="83"/>
      <c r="X156" s="63"/>
      <c r="Y156" s="8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</row>
    <row r="157" spans="1:42">
      <c r="A157" s="62"/>
      <c r="B157" s="63"/>
      <c r="C157" s="63"/>
      <c r="D157" s="63"/>
      <c r="E157" s="66"/>
      <c r="F157" s="63"/>
      <c r="G157" s="63"/>
      <c r="H157" s="63"/>
      <c r="I157" s="63"/>
      <c r="J157" s="56"/>
      <c r="K157" s="56"/>
      <c r="L157" s="63"/>
      <c r="M157" s="65"/>
      <c r="N157" s="83"/>
      <c r="O157" s="84"/>
      <c r="P157" s="63"/>
      <c r="Q157" s="63"/>
      <c r="R157" s="83"/>
      <c r="S157" s="83"/>
      <c r="T157" s="83"/>
      <c r="U157" s="83"/>
      <c r="V157" s="63"/>
      <c r="W157" s="83"/>
      <c r="X157" s="63"/>
      <c r="Y157" s="8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</row>
    <row r="158" spans="1:42">
      <c r="A158" s="62"/>
      <c r="B158" s="63"/>
      <c r="C158" s="63"/>
      <c r="D158" s="63"/>
      <c r="E158" s="66"/>
      <c r="F158" s="63"/>
      <c r="G158" s="63"/>
      <c r="H158" s="63"/>
      <c r="I158" s="63"/>
      <c r="J158" s="56"/>
      <c r="K158" s="56"/>
      <c r="L158" s="63"/>
      <c r="M158" s="65"/>
      <c r="N158" s="83"/>
      <c r="O158" s="84"/>
      <c r="P158" s="63"/>
      <c r="Q158" s="63"/>
      <c r="R158" s="83"/>
      <c r="S158" s="83"/>
      <c r="T158" s="83"/>
      <c r="U158" s="83"/>
      <c r="V158" s="63"/>
      <c r="W158" s="83"/>
      <c r="X158" s="63"/>
      <c r="Y158" s="8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66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66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66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66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66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66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66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66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66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66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66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66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66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66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66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66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83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83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66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66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66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66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83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83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83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83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83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83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83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83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83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B203" s="67"/>
      <c r="C203" s="63"/>
      <c r="D203" s="63"/>
      <c r="E203" s="66"/>
      <c r="H203" s="63"/>
      <c r="J203" s="56"/>
      <c r="K203" s="63"/>
      <c r="L203" s="63"/>
      <c r="O203" s="65"/>
      <c r="P203" s="63"/>
      <c r="Q203" s="63"/>
      <c r="W203" s="58"/>
      <c r="X203" s="58"/>
      <c r="Z203" s="63"/>
      <c r="AA203" s="63"/>
      <c r="AB203" s="58"/>
      <c r="AC203" s="63"/>
      <c r="AD203" s="63"/>
      <c r="AI203" s="63"/>
      <c r="AJ203" s="63"/>
      <c r="AK203" s="63"/>
      <c r="AO203" s="63"/>
      <c r="AP203" s="63"/>
    </row>
    <row r="204" spans="1:42">
      <c r="B204" s="67"/>
      <c r="C204" s="63"/>
      <c r="D204" s="63"/>
      <c r="E204" s="66"/>
      <c r="H204" s="63"/>
      <c r="J204" s="56"/>
      <c r="K204" s="63"/>
      <c r="L204" s="63"/>
      <c r="O204" s="65"/>
      <c r="P204" s="63"/>
      <c r="Q204" s="63"/>
      <c r="W204" s="58"/>
      <c r="X204" s="58"/>
      <c r="Z204" s="63"/>
      <c r="AA204" s="63"/>
      <c r="AB204" s="58"/>
      <c r="AC204" s="63"/>
      <c r="AD204" s="63"/>
      <c r="AI204" s="63"/>
      <c r="AJ204" s="63"/>
      <c r="AK204" s="63"/>
      <c r="AO204" s="63"/>
      <c r="AP204" s="63"/>
    </row>
    <row r="205" spans="1:42">
      <c r="B205" s="67"/>
      <c r="C205" s="63"/>
      <c r="D205" s="63"/>
      <c r="E205" s="66"/>
      <c r="H205" s="63"/>
      <c r="J205" s="56"/>
      <c r="K205" s="63"/>
      <c r="L205" s="63"/>
      <c r="O205" s="65"/>
      <c r="P205" s="63"/>
      <c r="Q205" s="63"/>
      <c r="W205" s="58"/>
      <c r="X205" s="58"/>
      <c r="Z205" s="63"/>
      <c r="AA205" s="63"/>
      <c r="AB205" s="58"/>
      <c r="AC205" s="63"/>
      <c r="AD205" s="63"/>
      <c r="AI205" s="63"/>
      <c r="AJ205" s="63"/>
      <c r="AK205" s="63"/>
      <c r="AO205" s="63"/>
      <c r="AP205" s="63"/>
    </row>
    <row r="206" spans="1:42">
      <c r="B206" s="67"/>
      <c r="C206" s="63"/>
      <c r="D206" s="63"/>
      <c r="E206" s="66"/>
      <c r="H206" s="63"/>
      <c r="J206" s="56"/>
      <c r="K206" s="63"/>
      <c r="L206" s="63"/>
      <c r="O206" s="65"/>
      <c r="P206" s="63"/>
      <c r="Q206" s="63"/>
      <c r="W206" s="58"/>
      <c r="X206" s="58"/>
      <c r="Z206" s="63"/>
      <c r="AA206" s="63"/>
      <c r="AB206" s="58"/>
      <c r="AC206" s="63"/>
      <c r="AD206" s="63"/>
      <c r="AI206" s="63"/>
      <c r="AJ206" s="63"/>
      <c r="AK206" s="63"/>
      <c r="AO206" s="63"/>
      <c r="AP206" s="63"/>
    </row>
    <row r="207" spans="1:42">
      <c r="B207" s="67"/>
      <c r="C207" s="63"/>
      <c r="D207" s="63"/>
      <c r="E207" s="66"/>
      <c r="H207" s="63"/>
      <c r="J207" s="56"/>
      <c r="K207" s="63"/>
      <c r="L207" s="63"/>
      <c r="O207" s="65"/>
      <c r="P207" s="63"/>
      <c r="Q207" s="63"/>
      <c r="W207" s="58"/>
      <c r="X207" s="58"/>
      <c r="Z207" s="63"/>
      <c r="AA207" s="63"/>
      <c r="AB207" s="58"/>
      <c r="AC207" s="63"/>
      <c r="AD207" s="63"/>
      <c r="AI207" s="63"/>
      <c r="AJ207" s="63"/>
      <c r="AK207" s="63"/>
      <c r="AO207" s="63"/>
      <c r="AP207" s="63"/>
    </row>
    <row r="208" spans="1:42">
      <c r="B208" s="67"/>
      <c r="C208" s="63"/>
      <c r="D208" s="63"/>
      <c r="E208" s="66"/>
      <c r="H208" s="63"/>
      <c r="J208" s="56"/>
      <c r="K208" s="63"/>
      <c r="L208" s="63"/>
      <c r="O208" s="65"/>
      <c r="P208" s="63"/>
      <c r="Q208" s="63"/>
      <c r="W208" s="58"/>
      <c r="X208" s="58"/>
      <c r="Z208" s="63"/>
      <c r="AA208" s="63"/>
      <c r="AB208" s="58"/>
      <c r="AC208" s="63"/>
      <c r="AD208" s="63"/>
      <c r="AI208" s="63"/>
      <c r="AJ208" s="63"/>
      <c r="AK208" s="63"/>
      <c r="AO208" s="63"/>
      <c r="AP208" s="63"/>
    </row>
    <row r="209" spans="2:42">
      <c r="B209" s="67"/>
      <c r="C209" s="63"/>
      <c r="D209" s="63"/>
      <c r="E209" s="66"/>
      <c r="H209" s="63"/>
      <c r="J209" s="56"/>
      <c r="K209" s="63"/>
      <c r="L209" s="63"/>
      <c r="O209" s="65"/>
      <c r="P209" s="63"/>
      <c r="Q209" s="63"/>
      <c r="W209" s="58"/>
      <c r="X209" s="58"/>
      <c r="Z209" s="63"/>
      <c r="AA209" s="63"/>
      <c r="AB209" s="58"/>
      <c r="AC209" s="63"/>
      <c r="AD209" s="63"/>
      <c r="AI209" s="63"/>
      <c r="AJ209" s="63"/>
      <c r="AK209" s="63"/>
      <c r="AO209" s="63"/>
      <c r="AP209" s="63"/>
    </row>
    <row r="210" spans="2:42">
      <c r="B210" s="67"/>
      <c r="C210" s="63"/>
      <c r="D210" s="63"/>
      <c r="E210" s="66"/>
      <c r="H210" s="63"/>
      <c r="J210" s="56"/>
      <c r="K210" s="63"/>
      <c r="L210" s="63"/>
      <c r="O210" s="65"/>
      <c r="P210" s="63"/>
      <c r="Q210" s="63"/>
      <c r="W210" s="58"/>
      <c r="X210" s="58"/>
      <c r="Z210" s="63"/>
      <c r="AA210" s="63"/>
      <c r="AB210" s="58"/>
      <c r="AC210" s="63"/>
      <c r="AD210" s="63"/>
      <c r="AI210" s="63"/>
      <c r="AJ210" s="63"/>
      <c r="AK210" s="63"/>
      <c r="AO210" s="63"/>
      <c r="AP210" s="63"/>
    </row>
    <row r="211" spans="2:42">
      <c r="B211" s="67"/>
      <c r="C211" s="63"/>
      <c r="D211" s="63"/>
      <c r="E211" s="66"/>
      <c r="H211" s="63"/>
      <c r="J211" s="56"/>
      <c r="K211" s="63"/>
      <c r="L211" s="63"/>
      <c r="O211" s="65"/>
      <c r="P211" s="63"/>
      <c r="Q211" s="63"/>
      <c r="W211" s="58"/>
      <c r="X211" s="58"/>
      <c r="Z211" s="63"/>
      <c r="AA211" s="63"/>
      <c r="AB211" s="58"/>
      <c r="AC211" s="63"/>
      <c r="AD211" s="63"/>
      <c r="AI211" s="63"/>
      <c r="AJ211" s="63"/>
      <c r="AK211" s="63"/>
      <c r="AO211" s="63"/>
      <c r="AP211" s="63"/>
    </row>
    <row r="212" spans="2:42">
      <c r="B212" s="67"/>
      <c r="C212" s="63"/>
      <c r="D212" s="63"/>
      <c r="E212" s="66"/>
      <c r="H212" s="63"/>
      <c r="J212" s="56"/>
      <c r="K212" s="63"/>
      <c r="L212" s="63"/>
      <c r="O212" s="65"/>
      <c r="P212" s="63"/>
      <c r="Q212" s="63"/>
      <c r="W212" s="58"/>
      <c r="X212" s="58"/>
      <c r="Z212" s="63"/>
      <c r="AA212" s="63"/>
      <c r="AB212" s="58"/>
      <c r="AC212" s="63"/>
      <c r="AD212" s="63"/>
      <c r="AI212" s="63"/>
      <c r="AJ212" s="63"/>
      <c r="AK212" s="63"/>
      <c r="AO212" s="63"/>
      <c r="AP212" s="63"/>
    </row>
    <row r="213" spans="2:42">
      <c r="B213" s="67"/>
      <c r="C213" s="63"/>
      <c r="D213" s="63"/>
      <c r="E213" s="66"/>
      <c r="H213" s="63"/>
      <c r="J213" s="56"/>
      <c r="K213" s="63"/>
      <c r="L213" s="63"/>
      <c r="O213" s="65"/>
      <c r="P213" s="63"/>
      <c r="Q213" s="63"/>
      <c r="W213" s="58"/>
      <c r="X213" s="58"/>
      <c r="Z213" s="63"/>
      <c r="AA213" s="63"/>
      <c r="AB213" s="58"/>
      <c r="AC213" s="63"/>
      <c r="AD213" s="63"/>
      <c r="AI213" s="63"/>
      <c r="AJ213" s="63"/>
      <c r="AK213" s="63"/>
      <c r="AO213" s="63"/>
      <c r="AP213" s="63"/>
    </row>
    <row r="214" spans="2:42">
      <c r="B214" s="67"/>
      <c r="C214" s="63"/>
      <c r="D214" s="63"/>
      <c r="E214" s="66"/>
      <c r="H214" s="63"/>
      <c r="J214" s="56"/>
      <c r="K214" s="63"/>
      <c r="L214" s="63"/>
      <c r="O214" s="65"/>
      <c r="P214" s="63"/>
      <c r="Q214" s="63"/>
      <c r="W214" s="58"/>
      <c r="X214" s="58"/>
      <c r="Z214" s="63"/>
      <c r="AA214" s="63"/>
      <c r="AB214" s="58"/>
      <c r="AC214" s="63"/>
      <c r="AD214" s="63"/>
      <c r="AI214" s="63"/>
      <c r="AJ214" s="63"/>
      <c r="AK214" s="63"/>
      <c r="AO214" s="63"/>
      <c r="AP214" s="63"/>
    </row>
    <row r="215" spans="2:42">
      <c r="B215" s="67"/>
      <c r="C215" s="63"/>
      <c r="D215" s="63"/>
      <c r="E215" s="66"/>
      <c r="H215" s="63"/>
      <c r="J215" s="56"/>
      <c r="K215" s="63"/>
      <c r="L215" s="63"/>
      <c r="O215" s="65"/>
      <c r="P215" s="63"/>
      <c r="Q215" s="63"/>
      <c r="W215" s="58"/>
      <c r="X215" s="58"/>
      <c r="Z215" s="63"/>
      <c r="AA215" s="63"/>
      <c r="AB215" s="58"/>
      <c r="AC215" s="63"/>
      <c r="AD215" s="63"/>
      <c r="AI215" s="63"/>
      <c r="AJ215" s="63"/>
      <c r="AK215" s="63"/>
      <c r="AO215" s="63"/>
      <c r="AP215" s="63"/>
    </row>
    <row r="216" spans="2:42">
      <c r="B216" s="67"/>
      <c r="C216" s="63"/>
      <c r="D216" s="63"/>
      <c r="E216" s="66"/>
      <c r="H216" s="63"/>
      <c r="J216" s="56"/>
      <c r="K216" s="63"/>
      <c r="L216" s="63"/>
      <c r="O216" s="65"/>
      <c r="P216" s="63"/>
      <c r="Q216" s="63"/>
      <c r="W216" s="58"/>
      <c r="X216" s="58"/>
      <c r="Z216" s="63"/>
      <c r="AA216" s="63"/>
      <c r="AB216" s="58"/>
      <c r="AC216" s="63"/>
      <c r="AD216" s="63"/>
      <c r="AI216" s="63"/>
      <c r="AJ216" s="63"/>
      <c r="AK216" s="63"/>
      <c r="AO216" s="63"/>
      <c r="AP216" s="63"/>
    </row>
    <row r="217" spans="2:42">
      <c r="B217" s="67"/>
      <c r="C217" s="63"/>
      <c r="D217" s="63"/>
      <c r="E217" s="66"/>
      <c r="H217" s="63"/>
      <c r="J217" s="56"/>
      <c r="K217" s="63"/>
      <c r="L217" s="63"/>
      <c r="O217" s="65"/>
      <c r="P217" s="63"/>
      <c r="Q217" s="63"/>
      <c r="W217" s="58"/>
      <c r="X217" s="58"/>
      <c r="Z217" s="63"/>
      <c r="AA217" s="63"/>
      <c r="AB217" s="58"/>
      <c r="AC217" s="63"/>
      <c r="AD217" s="63"/>
      <c r="AI217" s="63"/>
      <c r="AJ217" s="63"/>
      <c r="AK217" s="63"/>
      <c r="AO217" s="63"/>
      <c r="AP217" s="63"/>
    </row>
    <row r="218" spans="2:42">
      <c r="B218" s="67"/>
      <c r="C218" s="63"/>
      <c r="D218" s="63"/>
      <c r="E218" s="66"/>
      <c r="H218" s="63"/>
      <c r="J218" s="56"/>
      <c r="K218" s="63"/>
      <c r="L218" s="63"/>
      <c r="O218" s="65"/>
      <c r="P218" s="63"/>
      <c r="Q218" s="63"/>
      <c r="W218" s="58"/>
      <c r="X218" s="58"/>
      <c r="Z218" s="63"/>
      <c r="AA218" s="63"/>
      <c r="AB218" s="58"/>
      <c r="AC218" s="63"/>
      <c r="AD218" s="63"/>
      <c r="AI218" s="63"/>
      <c r="AJ218" s="63"/>
      <c r="AK218" s="63"/>
      <c r="AO218" s="63"/>
      <c r="AP218" s="63"/>
    </row>
    <row r="219" spans="2:42">
      <c r="B219" s="67"/>
      <c r="C219" s="63"/>
      <c r="D219" s="63"/>
      <c r="E219" s="66"/>
      <c r="H219" s="63"/>
      <c r="J219" s="56"/>
      <c r="K219" s="63"/>
      <c r="L219" s="63"/>
      <c r="O219" s="65"/>
      <c r="P219" s="63"/>
      <c r="Q219" s="63"/>
      <c r="W219" s="58"/>
      <c r="X219" s="58"/>
      <c r="Z219" s="63"/>
      <c r="AA219" s="63"/>
      <c r="AB219" s="58"/>
      <c r="AC219" s="63"/>
      <c r="AD219" s="63"/>
      <c r="AI219" s="63"/>
      <c r="AJ219" s="63"/>
      <c r="AK219" s="63"/>
      <c r="AO219" s="63"/>
      <c r="AP219" s="63"/>
    </row>
    <row r="220" spans="2:42">
      <c r="B220" s="67"/>
      <c r="C220" s="63"/>
      <c r="D220" s="63"/>
      <c r="E220" s="66"/>
      <c r="H220" s="63"/>
      <c r="J220" s="56"/>
      <c r="K220" s="63"/>
      <c r="L220" s="63"/>
      <c r="O220" s="65"/>
      <c r="P220" s="63"/>
      <c r="Q220" s="63"/>
      <c r="W220" s="58"/>
      <c r="X220" s="58"/>
      <c r="Z220" s="63"/>
      <c r="AA220" s="63"/>
      <c r="AB220" s="58"/>
      <c r="AC220" s="63"/>
      <c r="AD220" s="63"/>
      <c r="AI220" s="63"/>
      <c r="AJ220" s="63"/>
      <c r="AK220" s="63"/>
      <c r="AO220" s="63"/>
      <c r="AP220" s="63"/>
    </row>
    <row r="221" spans="2:42">
      <c r="B221" s="67"/>
      <c r="C221" s="63"/>
      <c r="D221" s="63"/>
      <c r="E221" s="66"/>
      <c r="H221" s="63"/>
      <c r="J221" s="56"/>
      <c r="K221" s="63"/>
      <c r="L221" s="63"/>
      <c r="O221" s="65"/>
      <c r="P221" s="63"/>
      <c r="Q221" s="63"/>
      <c r="W221" s="58"/>
      <c r="X221" s="58"/>
      <c r="Z221" s="63"/>
      <c r="AA221" s="63"/>
      <c r="AB221" s="58"/>
      <c r="AC221" s="63"/>
      <c r="AD221" s="63"/>
      <c r="AI221" s="63"/>
      <c r="AJ221" s="63"/>
      <c r="AK221" s="63"/>
      <c r="AO221" s="63"/>
      <c r="AP221" s="63"/>
    </row>
    <row r="222" spans="2:42">
      <c r="B222" s="67"/>
      <c r="C222" s="63"/>
      <c r="D222" s="63"/>
      <c r="E222" s="66"/>
      <c r="H222" s="63"/>
      <c r="J222" s="56"/>
      <c r="K222" s="63"/>
      <c r="L222" s="63"/>
      <c r="O222" s="65"/>
      <c r="P222" s="63"/>
      <c r="Q222" s="63"/>
      <c r="W222" s="58"/>
      <c r="X222" s="58"/>
      <c r="Z222" s="63"/>
      <c r="AA222" s="63"/>
      <c r="AB222" s="58"/>
      <c r="AC222" s="63"/>
      <c r="AD222" s="63"/>
      <c r="AI222" s="63"/>
      <c r="AJ222" s="63"/>
      <c r="AK222" s="63"/>
      <c r="AO222" s="63"/>
      <c r="AP222" s="63"/>
    </row>
    <row r="223" spans="2:42">
      <c r="B223" s="67"/>
      <c r="C223" s="63"/>
      <c r="D223" s="63"/>
      <c r="E223" s="66"/>
      <c r="H223" s="63"/>
      <c r="J223" s="56"/>
      <c r="K223" s="63"/>
      <c r="L223" s="63"/>
      <c r="O223" s="65"/>
      <c r="P223" s="63"/>
      <c r="Q223" s="63"/>
      <c r="W223" s="58"/>
      <c r="X223" s="58"/>
      <c r="Z223" s="63"/>
      <c r="AA223" s="63"/>
      <c r="AB223" s="58"/>
      <c r="AC223" s="63"/>
      <c r="AD223" s="63"/>
      <c r="AI223" s="63"/>
      <c r="AJ223" s="63"/>
      <c r="AK223" s="63"/>
      <c r="AO223" s="63"/>
      <c r="AP223" s="63"/>
    </row>
    <row r="224" spans="2:42">
      <c r="B224" s="67"/>
      <c r="C224" s="63"/>
      <c r="D224" s="63"/>
      <c r="E224" s="66"/>
      <c r="H224" s="63"/>
      <c r="J224" s="56"/>
      <c r="K224" s="63"/>
      <c r="L224" s="63"/>
      <c r="O224" s="65"/>
      <c r="P224" s="63"/>
      <c r="Q224" s="63"/>
      <c r="W224" s="58"/>
      <c r="X224" s="58"/>
      <c r="Z224" s="63"/>
      <c r="AA224" s="63"/>
      <c r="AB224" s="58"/>
      <c r="AC224" s="63"/>
      <c r="AD224" s="63"/>
      <c r="AI224" s="63"/>
      <c r="AJ224" s="63"/>
      <c r="AK224" s="63"/>
      <c r="AO224" s="63"/>
      <c r="AP224" s="63"/>
    </row>
    <row r="225" spans="2:42">
      <c r="B225" s="67"/>
      <c r="C225" s="63"/>
      <c r="D225" s="63"/>
      <c r="E225" s="66"/>
      <c r="H225" s="63"/>
      <c r="J225" s="56"/>
      <c r="K225" s="63"/>
      <c r="L225" s="63"/>
      <c r="O225" s="65"/>
      <c r="P225" s="63"/>
      <c r="Q225" s="63"/>
      <c r="W225" s="58"/>
      <c r="X225" s="58"/>
      <c r="Z225" s="63"/>
      <c r="AA225" s="63"/>
      <c r="AB225" s="58"/>
      <c r="AC225" s="63"/>
      <c r="AD225" s="63"/>
      <c r="AI225" s="63"/>
      <c r="AJ225" s="63"/>
      <c r="AK225" s="63"/>
      <c r="AO225" s="63"/>
      <c r="AP225" s="63"/>
    </row>
    <row r="226" spans="2:42">
      <c r="B226" s="67"/>
      <c r="C226" s="63"/>
      <c r="D226" s="63"/>
      <c r="E226" s="66"/>
      <c r="H226" s="63"/>
      <c r="J226" s="56"/>
      <c r="K226" s="63"/>
      <c r="L226" s="63"/>
      <c r="O226" s="65"/>
      <c r="P226" s="63"/>
      <c r="Q226" s="63"/>
      <c r="W226" s="58"/>
      <c r="X226" s="58"/>
      <c r="Z226" s="63"/>
      <c r="AA226" s="63"/>
      <c r="AB226" s="58"/>
      <c r="AC226" s="63"/>
      <c r="AD226" s="63"/>
      <c r="AI226" s="63"/>
      <c r="AJ226" s="63"/>
      <c r="AK226" s="63"/>
      <c r="AO226" s="63"/>
      <c r="AP226" s="63"/>
    </row>
    <row r="227" spans="2:42">
      <c r="B227" s="67"/>
      <c r="C227" s="63"/>
      <c r="D227" s="63"/>
      <c r="E227" s="66"/>
      <c r="H227" s="63"/>
      <c r="J227" s="56"/>
      <c r="K227" s="63"/>
      <c r="L227" s="63"/>
      <c r="O227" s="65"/>
      <c r="P227" s="63"/>
      <c r="Q227" s="63"/>
      <c r="W227" s="58"/>
      <c r="X227" s="58"/>
      <c r="Z227" s="63"/>
      <c r="AA227" s="63"/>
      <c r="AB227" s="58"/>
      <c r="AC227" s="63"/>
      <c r="AD227" s="63"/>
      <c r="AI227" s="63"/>
      <c r="AJ227" s="63"/>
      <c r="AK227" s="63"/>
      <c r="AO227" s="63"/>
      <c r="AP227" s="63"/>
    </row>
    <row r="228" spans="2:42">
      <c r="B228" s="67"/>
      <c r="C228" s="63"/>
      <c r="D228" s="63"/>
      <c r="E228" s="66"/>
      <c r="H228" s="63"/>
      <c r="J228" s="56"/>
      <c r="K228" s="63"/>
      <c r="L228" s="63"/>
      <c r="O228" s="65"/>
      <c r="P228" s="63"/>
      <c r="Q228" s="63"/>
      <c r="W228" s="58"/>
      <c r="X228" s="58"/>
      <c r="Z228" s="63"/>
      <c r="AA228" s="63"/>
      <c r="AB228" s="58"/>
      <c r="AC228" s="63"/>
      <c r="AD228" s="63"/>
      <c r="AI228" s="63"/>
      <c r="AJ228" s="63"/>
      <c r="AK228" s="63"/>
      <c r="AO228" s="63"/>
      <c r="AP228" s="63"/>
    </row>
    <row r="229" spans="2:42">
      <c r="B229" s="67"/>
      <c r="C229" s="63"/>
      <c r="D229" s="63"/>
      <c r="E229" s="66"/>
      <c r="H229" s="63"/>
      <c r="J229" s="56"/>
      <c r="K229" s="63"/>
      <c r="L229" s="63"/>
      <c r="O229" s="65"/>
      <c r="P229" s="63"/>
      <c r="Q229" s="63"/>
      <c r="W229" s="58"/>
      <c r="X229" s="58"/>
      <c r="Z229" s="63"/>
      <c r="AA229" s="63"/>
      <c r="AB229" s="58"/>
      <c r="AC229" s="63"/>
      <c r="AD229" s="63"/>
      <c r="AI229" s="63"/>
      <c r="AJ229" s="63"/>
      <c r="AK229" s="63"/>
      <c r="AO229" s="63"/>
      <c r="AP229" s="63"/>
    </row>
    <row r="230" spans="2:42">
      <c r="B230" s="67"/>
      <c r="C230" s="63"/>
      <c r="D230" s="63"/>
      <c r="E230" s="66"/>
      <c r="H230" s="63"/>
      <c r="J230" s="56"/>
      <c r="K230" s="63"/>
      <c r="L230" s="63"/>
      <c r="O230" s="65"/>
      <c r="P230" s="63"/>
      <c r="Q230" s="63"/>
      <c r="W230" s="58"/>
      <c r="X230" s="58"/>
      <c r="Z230" s="63"/>
      <c r="AA230" s="63"/>
      <c r="AB230" s="58"/>
      <c r="AC230" s="63"/>
      <c r="AD230" s="63"/>
      <c r="AI230" s="63"/>
      <c r="AJ230" s="63"/>
      <c r="AK230" s="63"/>
      <c r="AO230" s="63"/>
      <c r="AP230" s="63"/>
    </row>
    <row r="231" spans="2:42">
      <c r="B231" s="67"/>
      <c r="C231" s="63"/>
      <c r="D231" s="63"/>
      <c r="E231" s="66"/>
      <c r="H231" s="63"/>
      <c r="J231" s="56"/>
      <c r="K231" s="63"/>
      <c r="L231" s="63"/>
      <c r="O231" s="65"/>
      <c r="P231" s="63"/>
      <c r="Q231" s="63"/>
      <c r="W231" s="58"/>
      <c r="X231" s="58"/>
      <c r="Z231" s="63"/>
      <c r="AA231" s="63"/>
      <c r="AB231" s="58"/>
      <c r="AC231" s="63"/>
      <c r="AD231" s="63"/>
      <c r="AI231" s="63"/>
      <c r="AJ231" s="63"/>
      <c r="AK231" s="63"/>
      <c r="AO231" s="63"/>
      <c r="AP231" s="63"/>
    </row>
    <row r="232" spans="2:42">
      <c r="B232" s="67"/>
      <c r="C232" s="63"/>
      <c r="D232" s="63"/>
      <c r="E232" s="66"/>
      <c r="H232" s="63"/>
      <c r="J232" s="56"/>
      <c r="K232" s="63"/>
      <c r="L232" s="63"/>
      <c r="O232" s="65"/>
      <c r="P232" s="63"/>
      <c r="Q232" s="63"/>
      <c r="W232" s="58"/>
      <c r="X232" s="58"/>
      <c r="Z232" s="63"/>
      <c r="AA232" s="63"/>
      <c r="AB232" s="58"/>
      <c r="AC232" s="63"/>
      <c r="AD232" s="63"/>
      <c r="AI232" s="63"/>
      <c r="AJ232" s="63"/>
      <c r="AK232" s="63"/>
      <c r="AO232" s="63"/>
      <c r="AP232" s="63"/>
    </row>
    <row r="233" spans="2:42">
      <c r="B233" s="67"/>
      <c r="C233" s="63"/>
      <c r="D233" s="63"/>
      <c r="E233" s="66"/>
      <c r="H233" s="63"/>
      <c r="J233" s="56"/>
      <c r="K233" s="63"/>
      <c r="L233" s="63"/>
      <c r="O233" s="65"/>
      <c r="P233" s="63"/>
      <c r="Q233" s="63"/>
      <c r="W233" s="58"/>
      <c r="X233" s="58"/>
      <c r="Z233" s="63"/>
      <c r="AA233" s="63"/>
      <c r="AB233" s="58"/>
      <c r="AC233" s="63"/>
      <c r="AD233" s="63"/>
      <c r="AI233" s="63"/>
      <c r="AJ233" s="63"/>
      <c r="AK233" s="63"/>
      <c r="AO233" s="63"/>
      <c r="AP233" s="63"/>
    </row>
    <row r="234" spans="2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2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2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2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2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2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2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58"/>
      <c r="C256" s="63"/>
      <c r="D256" s="63"/>
      <c r="E256" s="66"/>
      <c r="H256" s="63"/>
      <c r="J256" s="56"/>
      <c r="K256" s="63"/>
      <c r="L256" s="63"/>
      <c r="M256" s="68"/>
      <c r="O256" s="65"/>
      <c r="P256" s="63"/>
      <c r="Q256" s="63"/>
      <c r="W256" s="63"/>
      <c r="X256" s="63"/>
      <c r="Z256" s="63"/>
      <c r="AA256" s="63"/>
      <c r="AB256" s="58"/>
      <c r="AC256" s="63"/>
      <c r="AD256" s="63"/>
      <c r="AJ256" s="63"/>
      <c r="AK256" s="63"/>
      <c r="AO256" s="63"/>
      <c r="AP256" s="63"/>
    </row>
    <row r="257" spans="2:42">
      <c r="B257" s="58"/>
      <c r="C257" s="63"/>
      <c r="D257" s="63"/>
      <c r="E257" s="66"/>
      <c r="H257" s="63"/>
      <c r="J257" s="56"/>
      <c r="K257" s="63"/>
      <c r="L257" s="63"/>
      <c r="M257" s="68"/>
      <c r="O257" s="65"/>
      <c r="P257" s="63"/>
      <c r="Q257" s="63"/>
      <c r="W257" s="63"/>
      <c r="X257" s="63"/>
      <c r="Z257" s="63"/>
      <c r="AA257" s="63"/>
      <c r="AB257" s="58"/>
      <c r="AC257" s="63"/>
      <c r="AD257" s="63"/>
      <c r="AJ257" s="63"/>
      <c r="AK257" s="63"/>
      <c r="AO257" s="63"/>
      <c r="AP257" s="63"/>
    </row>
    <row r="258" spans="2:42">
      <c r="B258" s="58"/>
      <c r="C258" s="63"/>
      <c r="D258" s="63"/>
      <c r="E258" s="66"/>
      <c r="H258" s="63"/>
      <c r="J258" s="56"/>
      <c r="K258" s="63"/>
      <c r="L258" s="63"/>
      <c r="M258" s="68"/>
      <c r="O258" s="65"/>
      <c r="P258" s="63"/>
      <c r="Q258" s="63"/>
      <c r="W258" s="63"/>
      <c r="X258" s="63"/>
      <c r="Z258" s="63"/>
      <c r="AA258" s="63"/>
      <c r="AB258" s="58"/>
      <c r="AC258" s="63"/>
      <c r="AD258" s="63"/>
      <c r="AJ258" s="63"/>
      <c r="AK258" s="63"/>
      <c r="AO258" s="63"/>
      <c r="AP258" s="63"/>
    </row>
    <row r="259" spans="2:42">
      <c r="B259" s="58"/>
      <c r="C259" s="63"/>
      <c r="D259" s="63"/>
      <c r="E259" s="66"/>
      <c r="H259" s="63"/>
      <c r="J259" s="56"/>
      <c r="K259" s="63"/>
      <c r="L259" s="63"/>
      <c r="M259" s="68"/>
      <c r="O259" s="65"/>
      <c r="P259" s="63"/>
      <c r="Q259" s="63"/>
      <c r="W259" s="63"/>
      <c r="X259" s="63"/>
      <c r="Z259" s="63"/>
      <c r="AA259" s="63"/>
      <c r="AB259" s="58"/>
      <c r="AC259" s="63"/>
      <c r="AD259" s="63"/>
      <c r="AJ259" s="63"/>
      <c r="AK259" s="63"/>
      <c r="AO259" s="63"/>
      <c r="AP259" s="63"/>
    </row>
    <row r="260" spans="2:42">
      <c r="B260" s="58"/>
      <c r="C260" s="63"/>
      <c r="D260" s="63"/>
      <c r="E260" s="66"/>
      <c r="H260" s="63"/>
      <c r="J260" s="56"/>
      <c r="K260" s="63"/>
      <c r="L260" s="63"/>
      <c r="M260" s="68"/>
      <c r="O260" s="65"/>
      <c r="P260" s="63"/>
      <c r="Q260" s="63"/>
      <c r="W260" s="63"/>
      <c r="X260" s="63"/>
      <c r="Z260" s="63"/>
      <c r="AA260" s="63"/>
      <c r="AB260" s="58"/>
      <c r="AC260" s="63"/>
      <c r="AD260" s="63"/>
      <c r="AJ260" s="63"/>
      <c r="AK260" s="63"/>
      <c r="AO260" s="63"/>
      <c r="AP260" s="63"/>
    </row>
    <row r="261" spans="2:42">
      <c r="B261" s="58"/>
      <c r="C261" s="63"/>
      <c r="D261" s="63"/>
      <c r="E261" s="66"/>
      <c r="H261" s="63"/>
      <c r="J261" s="56"/>
      <c r="K261" s="63"/>
      <c r="L261" s="63"/>
      <c r="M261" s="68"/>
      <c r="O261" s="65"/>
      <c r="P261" s="63"/>
      <c r="Q261" s="63"/>
      <c r="W261" s="63"/>
      <c r="X261" s="63"/>
      <c r="Z261" s="63"/>
      <c r="AA261" s="63"/>
      <c r="AB261" s="58"/>
      <c r="AC261" s="63"/>
      <c r="AD261" s="63"/>
      <c r="AJ261" s="63"/>
      <c r="AK261" s="63"/>
      <c r="AO261" s="63"/>
      <c r="AP261" s="63"/>
    </row>
    <row r="262" spans="2:42">
      <c r="B262" s="58"/>
      <c r="C262" s="63"/>
      <c r="D262" s="63"/>
      <c r="E262" s="66"/>
      <c r="H262" s="63"/>
      <c r="J262" s="56"/>
      <c r="K262" s="63"/>
      <c r="L262" s="63"/>
      <c r="M262" s="68"/>
      <c r="P262" s="63"/>
      <c r="Q262" s="63"/>
      <c r="W262" s="63"/>
      <c r="X262" s="63"/>
      <c r="Z262" s="63"/>
      <c r="AA262" s="63"/>
      <c r="AC262" s="63"/>
      <c r="AD262" s="63"/>
      <c r="AI262" s="63"/>
      <c r="AJ262" s="63"/>
      <c r="AK262" s="63"/>
      <c r="AO262" s="63"/>
      <c r="AP262" s="63"/>
    </row>
    <row r="263" spans="2:42">
      <c r="B263" s="58"/>
      <c r="C263" s="63"/>
      <c r="D263" s="63"/>
      <c r="E263" s="66"/>
      <c r="H263" s="63"/>
      <c r="J263" s="56"/>
      <c r="K263" s="63"/>
      <c r="L263" s="63"/>
      <c r="M263" s="68"/>
      <c r="P263" s="63"/>
      <c r="Q263" s="63"/>
      <c r="W263" s="63"/>
      <c r="X263" s="63"/>
      <c r="Z263" s="63"/>
      <c r="AA263" s="63"/>
      <c r="AC263" s="63"/>
      <c r="AD263" s="63"/>
      <c r="AI263" s="63"/>
      <c r="AJ263" s="63"/>
      <c r="AK263" s="63"/>
      <c r="AO263" s="63"/>
      <c r="AP263" s="63"/>
    </row>
    <row r="264" spans="2:42">
      <c r="B264" s="58"/>
      <c r="C264" s="63"/>
      <c r="D264" s="63"/>
      <c r="E264" s="66"/>
      <c r="H264" s="63"/>
      <c r="J264" s="56"/>
      <c r="K264" s="63"/>
      <c r="L264" s="63"/>
      <c r="M264" s="68"/>
      <c r="P264" s="63"/>
      <c r="Q264" s="63"/>
      <c r="W264" s="63"/>
      <c r="X264" s="63"/>
      <c r="Z264" s="63"/>
      <c r="AA264" s="63"/>
      <c r="AC264" s="63"/>
      <c r="AD264" s="63"/>
      <c r="AI264" s="63"/>
      <c r="AJ264" s="63"/>
      <c r="AK264" s="63"/>
      <c r="AO264" s="63"/>
      <c r="AP264" s="63"/>
    </row>
    <row r="265" spans="2:42">
      <c r="B265" s="58"/>
      <c r="C265" s="63"/>
      <c r="D265" s="63"/>
      <c r="E265" s="66"/>
      <c r="H265" s="63"/>
      <c r="J265" s="56"/>
      <c r="K265" s="63"/>
      <c r="L265" s="63"/>
      <c r="M265" s="68"/>
      <c r="P265" s="63"/>
      <c r="Q265" s="63"/>
      <c r="W265" s="63"/>
      <c r="X265" s="63"/>
      <c r="Z265" s="63"/>
      <c r="AA265" s="63"/>
      <c r="AC265" s="63"/>
      <c r="AD265" s="63"/>
      <c r="AI265" s="63"/>
      <c r="AJ265" s="63"/>
      <c r="AK265" s="63"/>
      <c r="AO265" s="63"/>
      <c r="AP265" s="63"/>
    </row>
    <row r="266" spans="2:42">
      <c r="B266" s="58"/>
      <c r="C266" s="63"/>
      <c r="D266" s="63"/>
      <c r="E266" s="66"/>
      <c r="H266" s="63"/>
      <c r="J266" s="56"/>
      <c r="K266" s="63"/>
      <c r="L266" s="63"/>
      <c r="M266" s="68"/>
      <c r="P266" s="63"/>
      <c r="Q266" s="63"/>
      <c r="W266" s="63"/>
      <c r="X266" s="63"/>
      <c r="Z266" s="63"/>
      <c r="AA266" s="63"/>
      <c r="AC266" s="63"/>
      <c r="AD266" s="63"/>
      <c r="AI266" s="63"/>
      <c r="AJ266" s="63"/>
      <c r="AK266" s="63"/>
      <c r="AO266" s="63"/>
      <c r="AP266" s="63"/>
    </row>
    <row r="267" spans="2:42">
      <c r="B267" s="58"/>
      <c r="C267" s="63"/>
      <c r="D267" s="63"/>
      <c r="E267" s="66"/>
      <c r="H267" s="63"/>
      <c r="J267" s="69"/>
      <c r="K267" s="58"/>
      <c r="L267" s="63"/>
      <c r="M267" s="68"/>
      <c r="O267" s="65"/>
      <c r="P267" s="63"/>
      <c r="Q267" s="63"/>
      <c r="W267" s="58"/>
      <c r="X267" s="63"/>
      <c r="Z267" s="63"/>
      <c r="AA267" s="63"/>
      <c r="AB267" s="63"/>
      <c r="AC267" s="63"/>
      <c r="AD267" s="63"/>
      <c r="AI267" s="63"/>
      <c r="AJ267" s="63"/>
      <c r="AK267" s="63"/>
      <c r="AO267" s="63"/>
      <c r="AP267" s="63"/>
    </row>
    <row r="268" spans="2:42">
      <c r="B268" s="58"/>
      <c r="C268" s="63"/>
      <c r="D268" s="63"/>
      <c r="E268" s="66"/>
      <c r="H268" s="63"/>
      <c r="J268" s="69"/>
      <c r="K268" s="58"/>
      <c r="L268" s="63"/>
      <c r="M268" s="68"/>
      <c r="O268" s="65"/>
      <c r="P268" s="63"/>
      <c r="Q268" s="63"/>
      <c r="W268" s="58"/>
      <c r="X268" s="63"/>
      <c r="Z268" s="63"/>
      <c r="AA268" s="63"/>
      <c r="AB268" s="63"/>
      <c r="AC268" s="63"/>
      <c r="AD268" s="63"/>
      <c r="AI268" s="63"/>
      <c r="AJ268" s="63"/>
      <c r="AK268" s="63"/>
      <c r="AO268" s="63"/>
      <c r="AP268" s="63"/>
    </row>
    <row r="269" spans="2:42">
      <c r="B269" s="58"/>
      <c r="C269" s="63"/>
      <c r="D269" s="63"/>
      <c r="E269" s="66"/>
      <c r="H269" s="63"/>
      <c r="J269" s="69"/>
      <c r="K269" s="58"/>
      <c r="L269" s="63"/>
      <c r="M269" s="68"/>
      <c r="O269" s="65"/>
      <c r="P269" s="63"/>
      <c r="Q269" s="63"/>
      <c r="W269" s="58"/>
      <c r="X269" s="63"/>
      <c r="Z269" s="63"/>
      <c r="AA269" s="63"/>
      <c r="AB269" s="63"/>
      <c r="AC269" s="63"/>
      <c r="AD269" s="63"/>
      <c r="AI269" s="63"/>
      <c r="AJ269" s="63"/>
      <c r="AK269" s="63"/>
      <c r="AO269" s="63"/>
      <c r="AP269" s="63"/>
    </row>
    <row r="270" spans="2:42">
      <c r="B270" s="58"/>
      <c r="C270" s="63"/>
      <c r="D270" s="63"/>
      <c r="E270" s="66"/>
      <c r="H270" s="63"/>
      <c r="J270" s="69"/>
      <c r="K270" s="58"/>
      <c r="L270" s="63"/>
      <c r="M270" s="68"/>
      <c r="O270" s="65"/>
      <c r="P270" s="63"/>
      <c r="Q270" s="63"/>
      <c r="W270" s="58"/>
      <c r="X270" s="63"/>
      <c r="Z270" s="63"/>
      <c r="AA270" s="63"/>
      <c r="AB270" s="63"/>
      <c r="AC270" s="63"/>
      <c r="AD270" s="63"/>
      <c r="AI270" s="63"/>
      <c r="AJ270" s="63"/>
      <c r="AK270" s="63"/>
      <c r="AO270" s="63"/>
      <c r="AP270" s="63"/>
    </row>
    <row r="271" spans="2:42">
      <c r="B271" s="58"/>
      <c r="C271" s="63"/>
      <c r="D271" s="63"/>
      <c r="E271" s="66"/>
      <c r="H271" s="63"/>
      <c r="J271" s="69"/>
      <c r="K271" s="58"/>
      <c r="L271" s="63"/>
      <c r="M271" s="68"/>
      <c r="O271" s="65"/>
      <c r="P271" s="63"/>
      <c r="Q271" s="63"/>
      <c r="R271" s="58"/>
      <c r="S271" s="58"/>
      <c r="T271" s="58"/>
      <c r="W271" s="58"/>
      <c r="X271" s="63"/>
      <c r="Z271" s="63"/>
      <c r="AA271" s="63"/>
      <c r="AB271" s="63"/>
      <c r="AC271" s="63"/>
      <c r="AD271" s="63"/>
      <c r="AI271" s="63"/>
      <c r="AJ271" s="63"/>
      <c r="AK271" s="63"/>
      <c r="AO271" s="63"/>
      <c r="AP271" s="63"/>
    </row>
    <row r="272" spans="2:42">
      <c r="B272" s="58"/>
      <c r="C272" s="63"/>
      <c r="D272" s="63"/>
      <c r="E272" s="66"/>
      <c r="H272" s="63"/>
      <c r="J272" s="69"/>
      <c r="K272" s="58"/>
      <c r="L272" s="63"/>
      <c r="M272" s="68"/>
      <c r="O272" s="65"/>
      <c r="P272" s="63"/>
      <c r="Q272" s="63"/>
      <c r="R272" s="58"/>
      <c r="S272" s="58"/>
      <c r="T272" s="58"/>
      <c r="W272" s="58"/>
      <c r="X272" s="63"/>
      <c r="Z272" s="63"/>
      <c r="AA272" s="63"/>
      <c r="AB272" s="63"/>
      <c r="AC272" s="63"/>
      <c r="AD272" s="63"/>
      <c r="AI272" s="63"/>
      <c r="AJ272" s="63"/>
      <c r="AK272" s="63"/>
      <c r="AO272" s="63"/>
      <c r="AP272" s="63"/>
    </row>
    <row r="273" spans="2:42">
      <c r="B273" s="58"/>
      <c r="C273" s="63"/>
      <c r="D273" s="63"/>
      <c r="E273" s="66"/>
      <c r="H273" s="63"/>
      <c r="J273" s="69"/>
      <c r="K273" s="58"/>
      <c r="L273" s="63"/>
      <c r="M273" s="68"/>
      <c r="O273" s="65"/>
      <c r="P273" s="63"/>
      <c r="Q273" s="63"/>
      <c r="R273" s="58"/>
      <c r="S273" s="58"/>
      <c r="T273" s="58"/>
      <c r="W273" s="58"/>
      <c r="X273" s="63"/>
      <c r="Z273" s="63"/>
      <c r="AA273" s="63"/>
      <c r="AB273" s="63"/>
      <c r="AC273" s="63"/>
      <c r="AD273" s="63"/>
      <c r="AI273" s="63"/>
      <c r="AJ273" s="63"/>
      <c r="AK273" s="63"/>
      <c r="AO273" s="63"/>
      <c r="AP273" s="63"/>
    </row>
    <row r="274" spans="2:42">
      <c r="B274" s="58"/>
      <c r="C274" s="63"/>
      <c r="D274" s="63"/>
      <c r="E274" s="66"/>
      <c r="H274" s="63"/>
      <c r="J274" s="69"/>
      <c r="K274" s="58"/>
      <c r="L274" s="63"/>
      <c r="M274" s="68"/>
      <c r="O274" s="65"/>
      <c r="P274" s="63"/>
      <c r="Q274" s="63"/>
      <c r="R274" s="58"/>
      <c r="S274" s="58"/>
      <c r="T274" s="58"/>
      <c r="W274" s="58"/>
      <c r="X274" s="63"/>
      <c r="Z274" s="63"/>
      <c r="AA274" s="63"/>
      <c r="AB274" s="63"/>
      <c r="AC274" s="63"/>
      <c r="AD274" s="63"/>
      <c r="AI274" s="63"/>
      <c r="AJ274" s="63"/>
      <c r="AK274" s="63"/>
      <c r="AO274" s="63"/>
      <c r="AP274" s="63"/>
    </row>
    <row r="275" spans="2:42">
      <c r="B275" s="58"/>
      <c r="C275" s="63"/>
      <c r="D275" s="63"/>
      <c r="E275" s="66"/>
      <c r="H275" s="63"/>
      <c r="J275" s="69"/>
      <c r="K275" s="58"/>
      <c r="L275" s="63"/>
      <c r="M275" s="68"/>
      <c r="O275" s="65"/>
      <c r="P275" s="63"/>
      <c r="Q275" s="63"/>
      <c r="R275" s="58"/>
      <c r="S275" s="58"/>
      <c r="T275" s="58"/>
      <c r="W275" s="58"/>
      <c r="X275" s="63"/>
      <c r="Z275" s="63"/>
      <c r="AA275" s="63"/>
      <c r="AB275" s="63"/>
      <c r="AC275" s="63"/>
      <c r="AD275" s="63"/>
      <c r="AI275" s="63"/>
      <c r="AJ275" s="63"/>
      <c r="AK275" s="63"/>
      <c r="AO275" s="63"/>
      <c r="AP275" s="63"/>
    </row>
    <row r="276" spans="2:42">
      <c r="B276" s="58"/>
      <c r="C276" s="63"/>
      <c r="D276" s="63"/>
      <c r="E276" s="66"/>
      <c r="H276" s="63"/>
      <c r="J276" s="69"/>
      <c r="K276" s="58"/>
      <c r="L276" s="63"/>
      <c r="M276" s="68"/>
      <c r="O276" s="65"/>
      <c r="P276" s="63"/>
      <c r="Q276" s="63"/>
      <c r="R276" s="58"/>
      <c r="S276" s="58"/>
      <c r="T276" s="58"/>
      <c r="W276" s="58"/>
      <c r="X276" s="63"/>
      <c r="Z276" s="63"/>
      <c r="AA276" s="63"/>
      <c r="AB276" s="63"/>
      <c r="AC276" s="63"/>
      <c r="AD276" s="63"/>
      <c r="AI276" s="63"/>
      <c r="AJ276" s="63"/>
      <c r="AK276" s="63"/>
      <c r="AO276" s="63"/>
      <c r="AP276" s="63"/>
    </row>
    <row r="277" spans="2:42">
      <c r="B277" s="58"/>
      <c r="C277" s="63"/>
      <c r="D277" s="63"/>
      <c r="E277" s="66"/>
      <c r="H277" s="63"/>
      <c r="J277" s="69"/>
      <c r="K277" s="58"/>
      <c r="L277" s="63"/>
      <c r="M277" s="68"/>
      <c r="O277" s="65"/>
      <c r="P277" s="63"/>
      <c r="Q277" s="63"/>
      <c r="R277" s="58"/>
      <c r="S277" s="58"/>
      <c r="T277" s="58"/>
      <c r="W277" s="58"/>
      <c r="X277" s="63"/>
      <c r="Z277" s="63"/>
      <c r="AA277" s="63"/>
      <c r="AB277" s="63"/>
      <c r="AC277" s="63"/>
      <c r="AD277" s="63"/>
      <c r="AI277" s="63"/>
      <c r="AJ277" s="63"/>
      <c r="AK277" s="63"/>
      <c r="AO277" s="63"/>
      <c r="AP277" s="63"/>
    </row>
    <row r="278" spans="2:42">
      <c r="B278" s="58"/>
      <c r="C278" s="63"/>
      <c r="D278" s="63"/>
      <c r="E278" s="66"/>
      <c r="H278" s="63"/>
      <c r="J278" s="69"/>
      <c r="K278" s="58"/>
      <c r="L278" s="63"/>
      <c r="M278" s="68"/>
      <c r="O278" s="65"/>
      <c r="P278" s="63"/>
      <c r="Q278" s="63"/>
      <c r="R278" s="58"/>
      <c r="S278" s="58"/>
      <c r="T278" s="58"/>
      <c r="W278" s="58"/>
      <c r="X278" s="63"/>
      <c r="Z278" s="63"/>
      <c r="AA278" s="63"/>
      <c r="AB278" s="63"/>
      <c r="AC278" s="63"/>
      <c r="AD278" s="63"/>
      <c r="AI278" s="63"/>
      <c r="AJ278" s="63"/>
      <c r="AK278" s="63"/>
      <c r="AO278" s="63"/>
      <c r="AP278" s="63"/>
    </row>
    <row r="279" spans="2:42">
      <c r="B279" s="58"/>
      <c r="C279" s="63"/>
      <c r="D279" s="63"/>
      <c r="E279" s="66"/>
      <c r="H279" s="63"/>
      <c r="J279" s="69"/>
      <c r="K279" s="58"/>
      <c r="L279" s="63"/>
      <c r="M279" s="68"/>
      <c r="O279" s="65"/>
      <c r="P279" s="63"/>
      <c r="Q279" s="63"/>
      <c r="R279" s="58"/>
      <c r="S279" s="58"/>
      <c r="T279" s="58"/>
      <c r="W279" s="58"/>
      <c r="X279" s="63"/>
      <c r="Z279" s="63"/>
      <c r="AA279" s="63"/>
      <c r="AB279" s="63"/>
      <c r="AC279" s="63"/>
      <c r="AD279" s="63"/>
      <c r="AI279" s="63"/>
      <c r="AJ279" s="63"/>
      <c r="AK279" s="63"/>
      <c r="AO279" s="63"/>
      <c r="AP279" s="63"/>
    </row>
    <row r="280" spans="2:42">
      <c r="B280" s="58"/>
      <c r="C280" s="63"/>
      <c r="D280" s="63"/>
      <c r="E280" s="66"/>
      <c r="H280" s="63"/>
      <c r="J280" s="69"/>
      <c r="K280" s="58"/>
      <c r="L280" s="63"/>
      <c r="M280" s="68"/>
      <c r="O280" s="65"/>
      <c r="P280" s="63"/>
      <c r="Q280" s="63"/>
      <c r="R280" s="58"/>
      <c r="S280" s="58"/>
      <c r="T280" s="58"/>
      <c r="W280" s="58"/>
      <c r="X280" s="63"/>
      <c r="Z280" s="63"/>
      <c r="AA280" s="63"/>
      <c r="AB280" s="63"/>
      <c r="AC280" s="63"/>
      <c r="AD280" s="63"/>
      <c r="AI280" s="63"/>
      <c r="AJ280" s="63"/>
      <c r="AK280" s="63"/>
      <c r="AO280" s="63"/>
      <c r="AP280" s="63"/>
    </row>
    <row r="281" spans="2:42">
      <c r="B281" s="58"/>
      <c r="C281" s="63"/>
      <c r="D281" s="63"/>
      <c r="E281" s="66"/>
      <c r="H281" s="63"/>
      <c r="J281" s="69"/>
      <c r="K281" s="58"/>
      <c r="L281" s="63"/>
      <c r="M281" s="68"/>
      <c r="O281" s="65"/>
      <c r="P281" s="63"/>
      <c r="Q281" s="63"/>
      <c r="R281" s="58"/>
      <c r="S281" s="58"/>
      <c r="T281" s="58"/>
      <c r="W281" s="58"/>
      <c r="X281" s="63"/>
      <c r="Z281" s="63"/>
      <c r="AA281" s="63"/>
      <c r="AB281" s="63"/>
      <c r="AC281" s="63"/>
      <c r="AD281" s="63"/>
      <c r="AI281" s="63"/>
      <c r="AJ281" s="63"/>
      <c r="AK281" s="63"/>
      <c r="AO281" s="63"/>
      <c r="AP281" s="63"/>
    </row>
    <row r="282" spans="2:42">
      <c r="B282" s="58"/>
      <c r="C282" s="63"/>
      <c r="D282" s="63"/>
      <c r="E282" s="66"/>
      <c r="H282" s="63"/>
      <c r="J282" s="69"/>
      <c r="K282" s="58"/>
      <c r="L282" s="63"/>
      <c r="M282" s="68"/>
      <c r="O282" s="65"/>
      <c r="P282" s="63"/>
      <c r="Q282" s="63"/>
      <c r="R282" s="58"/>
      <c r="S282" s="58"/>
      <c r="T282" s="58"/>
      <c r="W282" s="58"/>
      <c r="X282" s="63"/>
      <c r="Z282" s="63"/>
      <c r="AA282" s="63"/>
      <c r="AB282" s="63"/>
      <c r="AC282" s="63"/>
      <c r="AD282" s="63"/>
      <c r="AI282" s="63"/>
      <c r="AJ282" s="63"/>
      <c r="AK282" s="63"/>
      <c r="AO282" s="63"/>
      <c r="AP282" s="63"/>
    </row>
    <row r="283" spans="2:42">
      <c r="B283" s="58"/>
      <c r="C283" s="63"/>
      <c r="D283" s="63"/>
      <c r="E283" s="66"/>
      <c r="H283" s="63"/>
      <c r="J283" s="69"/>
      <c r="K283" s="58"/>
      <c r="L283" s="63"/>
      <c r="M283" s="68"/>
      <c r="O283" s="65"/>
      <c r="P283" s="63"/>
      <c r="Q283" s="63"/>
      <c r="R283" s="63"/>
      <c r="S283" s="63"/>
      <c r="T283" s="63"/>
      <c r="W283" s="58"/>
      <c r="X283" s="63"/>
      <c r="Z283" s="63"/>
      <c r="AA283" s="63"/>
      <c r="AB283" s="63"/>
      <c r="AC283" s="63"/>
      <c r="AD283" s="63"/>
      <c r="AI283" s="63"/>
      <c r="AJ283" s="63"/>
      <c r="AK283" s="63"/>
      <c r="AO283" s="63"/>
      <c r="AP283" s="63"/>
    </row>
    <row r="284" spans="2:42">
      <c r="B284" s="58"/>
      <c r="C284" s="63"/>
      <c r="D284" s="63"/>
      <c r="E284" s="66"/>
      <c r="H284" s="63"/>
      <c r="J284" s="69"/>
      <c r="K284" s="58"/>
      <c r="L284" s="63"/>
      <c r="M284" s="68"/>
      <c r="O284" s="65"/>
      <c r="P284" s="63"/>
      <c r="Q284" s="63"/>
      <c r="R284" s="63"/>
      <c r="S284" s="63"/>
      <c r="T284" s="63"/>
      <c r="W284" s="58"/>
      <c r="X284" s="63"/>
      <c r="Z284" s="63"/>
      <c r="AA284" s="63"/>
      <c r="AB284" s="63"/>
      <c r="AC284" s="63"/>
      <c r="AD284" s="63"/>
      <c r="AI284" s="63"/>
      <c r="AJ284" s="63"/>
      <c r="AK284" s="63"/>
      <c r="AO284" s="63"/>
      <c r="AP284" s="63"/>
    </row>
    <row r="285" spans="2:42" s="57" customFormat="1">
      <c r="E285" s="66"/>
      <c r="H285" s="63"/>
      <c r="J285" s="56"/>
      <c r="AB285" s="63"/>
    </row>
    <row r="286" spans="2:42" s="57" customFormat="1">
      <c r="E286" s="66"/>
      <c r="H286" s="63"/>
      <c r="J286" s="56"/>
      <c r="AB286" s="63"/>
    </row>
    <row r="287" spans="2:42" s="57" customFormat="1">
      <c r="E287" s="66"/>
      <c r="H287" s="63"/>
      <c r="J287" s="56"/>
      <c r="AB287" s="63"/>
    </row>
    <row r="288" spans="2:42" s="57" customFormat="1">
      <c r="E288" s="66"/>
      <c r="H288" s="63"/>
      <c r="J288" s="56"/>
      <c r="AB288" s="63"/>
    </row>
    <row r="289" spans="2:42" s="57" customFormat="1">
      <c r="E289" s="66"/>
      <c r="H289" s="63"/>
      <c r="J289" s="56"/>
      <c r="AB289" s="63"/>
    </row>
    <row r="290" spans="2:42" s="57" customFormat="1">
      <c r="E290" s="66"/>
      <c r="H290" s="63"/>
      <c r="J290" s="56"/>
      <c r="AB290" s="63"/>
    </row>
    <row r="291" spans="2:42" s="57" customFormat="1">
      <c r="E291" s="66"/>
      <c r="H291" s="63"/>
      <c r="J291" s="56"/>
      <c r="AB291" s="63"/>
    </row>
    <row r="292" spans="2:42" s="57" customFormat="1">
      <c r="E292" s="66"/>
      <c r="H292" s="63"/>
      <c r="J292" s="56"/>
      <c r="AB292" s="63"/>
    </row>
    <row r="293" spans="2:42" s="57" customFormat="1">
      <c r="E293" s="66"/>
      <c r="H293" s="63"/>
      <c r="J293" s="56"/>
      <c r="AB293" s="63"/>
    </row>
    <row r="294" spans="2:42" s="57" customFormat="1">
      <c r="E294" s="66"/>
      <c r="H294" s="63"/>
      <c r="J294" s="56"/>
      <c r="AB294" s="63"/>
    </row>
    <row r="295" spans="2:42" s="57" customFormat="1">
      <c r="E295" s="66"/>
      <c r="H295" s="63"/>
      <c r="J295" s="56"/>
      <c r="AB295" s="63"/>
    </row>
    <row r="296" spans="2:42" s="57" customFormat="1">
      <c r="E296" s="66"/>
      <c r="H296" s="63"/>
      <c r="J296" s="56"/>
      <c r="AB296" s="63"/>
    </row>
    <row r="297" spans="2:42" s="57" customFormat="1">
      <c r="E297" s="66"/>
      <c r="H297" s="63"/>
      <c r="J297" s="56"/>
      <c r="AB297" s="63"/>
    </row>
    <row r="298" spans="2:42" s="57" customFormat="1">
      <c r="E298" s="66"/>
      <c r="H298" s="63"/>
      <c r="J298" s="56"/>
      <c r="AB298" s="63"/>
    </row>
    <row r="299" spans="2:42" s="57" customFormat="1">
      <c r="E299" s="66"/>
      <c r="H299" s="63"/>
      <c r="J299" s="56"/>
      <c r="AB299" s="63"/>
    </row>
    <row r="300" spans="2:42" s="57" customFormat="1">
      <c r="E300" s="66"/>
      <c r="H300" s="63"/>
      <c r="J300" s="56"/>
      <c r="AB300" s="63"/>
    </row>
    <row r="301" spans="2:42" s="57" customFormat="1">
      <c r="E301" s="66"/>
      <c r="H301" s="63"/>
      <c r="J301" s="56"/>
      <c r="AB301" s="63"/>
    </row>
    <row r="302" spans="2:42" s="57" customFormat="1">
      <c r="E302" s="66"/>
      <c r="H302" s="63"/>
      <c r="J302" s="56"/>
      <c r="AB302" s="63"/>
    </row>
    <row r="303" spans="2:42">
      <c r="B303" s="58"/>
      <c r="C303" s="63"/>
      <c r="D303" s="63"/>
      <c r="E303" s="66"/>
      <c r="H303" s="63"/>
      <c r="J303" s="56"/>
      <c r="K303" s="63"/>
      <c r="L303" s="63"/>
      <c r="O303" s="65"/>
      <c r="P303" s="63"/>
      <c r="Q303" s="63"/>
      <c r="W303" s="63"/>
      <c r="X303" s="63"/>
      <c r="Z303" s="63"/>
      <c r="AA303" s="63"/>
      <c r="AC303" s="63"/>
      <c r="AD303" s="63"/>
      <c r="AI303" s="63"/>
      <c r="AJ303" s="63"/>
      <c r="AK303" s="63"/>
      <c r="AO303" s="63"/>
      <c r="AP303" s="63"/>
    </row>
    <row r="304" spans="2:42">
      <c r="B304" s="58"/>
      <c r="C304" s="63"/>
      <c r="D304" s="63"/>
      <c r="E304" s="66"/>
      <c r="H304" s="63"/>
      <c r="I304" s="57"/>
      <c r="J304" s="56"/>
      <c r="K304" s="63"/>
      <c r="L304" s="63"/>
      <c r="M304" s="57"/>
      <c r="O304" s="65"/>
      <c r="P304" s="63"/>
      <c r="Q304" s="63"/>
      <c r="W304" s="63"/>
      <c r="X304" s="63"/>
      <c r="Z304" s="63"/>
      <c r="AA304" s="63"/>
      <c r="AC304" s="63"/>
      <c r="AD304" s="63"/>
      <c r="AI304" s="63"/>
      <c r="AJ304" s="63"/>
      <c r="AK304" s="63"/>
      <c r="AO304" s="63"/>
      <c r="AP304" s="63"/>
    </row>
    <row r="305" spans="2:42">
      <c r="B305" s="58"/>
      <c r="C305" s="63"/>
      <c r="D305" s="63"/>
      <c r="E305" s="66"/>
      <c r="H305" s="63"/>
      <c r="I305" s="57"/>
      <c r="J305" s="56"/>
      <c r="K305" s="63"/>
      <c r="L305" s="63"/>
      <c r="M305" s="57"/>
      <c r="O305" s="65"/>
      <c r="P305" s="63"/>
      <c r="Q305" s="63"/>
      <c r="W305" s="63"/>
      <c r="X305" s="63"/>
      <c r="Z305" s="63"/>
      <c r="AA305" s="63"/>
      <c r="AC305" s="63"/>
      <c r="AD305" s="63"/>
      <c r="AI305" s="63"/>
      <c r="AJ305" s="63"/>
      <c r="AK305" s="63"/>
      <c r="AO305" s="63"/>
      <c r="AP305" s="63"/>
    </row>
    <row r="306" spans="2:42">
      <c r="B306" s="58"/>
      <c r="C306" s="63"/>
      <c r="D306" s="63"/>
      <c r="E306" s="66"/>
      <c r="H306" s="63"/>
      <c r="I306" s="57"/>
      <c r="J306" s="56"/>
      <c r="K306" s="63"/>
      <c r="L306" s="63"/>
      <c r="M306" s="57"/>
      <c r="O306" s="65"/>
      <c r="P306" s="63"/>
      <c r="Q306" s="63"/>
      <c r="W306" s="63"/>
      <c r="X306" s="63"/>
      <c r="Z306" s="63"/>
      <c r="AA306" s="63"/>
      <c r="AC306" s="63"/>
      <c r="AD306" s="63"/>
      <c r="AI306" s="63"/>
      <c r="AJ306" s="63"/>
      <c r="AK306" s="63"/>
      <c r="AO306" s="63"/>
      <c r="AP306" s="63"/>
    </row>
    <row r="307" spans="2:42">
      <c r="B307" s="58"/>
      <c r="C307" s="63"/>
      <c r="D307" s="63"/>
      <c r="E307" s="66"/>
      <c r="H307" s="63"/>
      <c r="I307" s="57"/>
      <c r="J307" s="57"/>
      <c r="K307" s="63"/>
      <c r="L307" s="63"/>
      <c r="M307" s="57"/>
      <c r="O307" s="65"/>
      <c r="P307" s="63"/>
      <c r="Q307" s="63"/>
      <c r="W307" s="63"/>
      <c r="X307" s="63"/>
      <c r="Z307" s="63"/>
      <c r="AA307" s="63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I308" s="57"/>
      <c r="J308" s="57"/>
      <c r="K308" s="63"/>
      <c r="L308" s="63"/>
      <c r="M308" s="57"/>
      <c r="O308" s="65"/>
      <c r="P308" s="63"/>
      <c r="Q308" s="63"/>
      <c r="W308" s="63"/>
      <c r="X308" s="63"/>
      <c r="Z308" s="63"/>
      <c r="AA308" s="63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I309" s="57"/>
      <c r="J309" s="57"/>
      <c r="K309" s="63"/>
      <c r="L309" s="63"/>
      <c r="M309" s="57"/>
      <c r="O309" s="65"/>
      <c r="P309" s="63"/>
      <c r="Q309" s="63"/>
      <c r="W309" s="63"/>
      <c r="X309" s="63"/>
      <c r="Z309" s="63"/>
      <c r="AA309" s="63"/>
      <c r="AC309" s="63"/>
      <c r="AD309" s="63"/>
      <c r="AI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I310" s="57"/>
      <c r="J310" s="58"/>
      <c r="K310" s="63"/>
      <c r="L310" s="63"/>
      <c r="M310" s="57"/>
      <c r="O310" s="65"/>
      <c r="P310" s="63"/>
      <c r="Q310" s="63"/>
      <c r="W310" s="63"/>
      <c r="X310" s="63"/>
      <c r="Z310" s="63"/>
      <c r="AA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I311" s="57"/>
      <c r="J311" s="58"/>
      <c r="K311" s="63"/>
      <c r="L311" s="63"/>
      <c r="M311" s="57"/>
      <c r="O311" s="65"/>
      <c r="P311" s="63"/>
      <c r="Q311" s="63"/>
      <c r="W311" s="63"/>
      <c r="X311" s="63"/>
      <c r="Z311" s="63"/>
      <c r="AA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56"/>
      <c r="K312" s="63"/>
      <c r="L312" s="63"/>
      <c r="M312" s="68"/>
      <c r="O312" s="65"/>
      <c r="P312" s="63"/>
      <c r="Q312" s="63"/>
      <c r="W312" s="58"/>
      <c r="X312" s="63"/>
      <c r="Z312" s="63"/>
      <c r="AA312" s="63"/>
      <c r="AC312" s="63"/>
      <c r="AD312" s="63"/>
      <c r="AI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56"/>
      <c r="K313" s="63"/>
      <c r="L313" s="63"/>
      <c r="M313" s="68"/>
      <c r="O313" s="65"/>
      <c r="P313" s="63"/>
      <c r="Q313" s="63"/>
      <c r="W313" s="58"/>
      <c r="X313" s="63"/>
      <c r="Z313" s="63"/>
      <c r="AA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56"/>
      <c r="K314" s="63"/>
      <c r="L314" s="63"/>
      <c r="M314" s="68"/>
      <c r="O314" s="65"/>
      <c r="P314" s="63"/>
      <c r="Q314" s="63"/>
      <c r="W314" s="58"/>
      <c r="X314" s="63"/>
      <c r="Z314" s="63"/>
      <c r="AA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56"/>
      <c r="K315" s="63"/>
      <c r="L315" s="63"/>
      <c r="M315" s="68"/>
      <c r="O315" s="65"/>
      <c r="P315" s="63"/>
      <c r="Q315" s="63"/>
      <c r="W315" s="58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J316" s="56"/>
      <c r="K316" s="63"/>
      <c r="L316" s="63"/>
      <c r="M316" s="70"/>
      <c r="O316" s="65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J317" s="56"/>
      <c r="K317" s="63"/>
      <c r="L317" s="63"/>
      <c r="M317" s="70"/>
      <c r="O317" s="65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J318" s="56"/>
      <c r="K318" s="63"/>
      <c r="L318" s="63"/>
      <c r="M318" s="70"/>
      <c r="O318" s="65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J319" s="56"/>
      <c r="K319" s="63"/>
      <c r="L319" s="63"/>
      <c r="M319" s="70"/>
      <c r="O319" s="65"/>
      <c r="P319" s="63"/>
      <c r="Q319" s="63"/>
      <c r="W319" s="63"/>
      <c r="X319" s="63"/>
      <c r="Z319" s="63"/>
      <c r="AA319" s="63"/>
      <c r="AC319" s="63"/>
      <c r="AD319" s="63"/>
      <c r="AI319" s="63"/>
      <c r="AJ319" s="63"/>
      <c r="AK319" s="63"/>
      <c r="AO319" s="63"/>
      <c r="AP319" s="63"/>
    </row>
    <row r="320" spans="2:42">
      <c r="B320" s="58"/>
      <c r="C320" s="63"/>
      <c r="D320" s="63"/>
      <c r="E320" s="66"/>
      <c r="H320" s="63"/>
      <c r="J320" s="56"/>
      <c r="K320" s="63"/>
      <c r="L320" s="63"/>
      <c r="M320" s="70"/>
      <c r="O320" s="65"/>
      <c r="P320" s="63"/>
      <c r="Q320" s="63"/>
      <c r="W320" s="63"/>
      <c r="X320" s="63"/>
      <c r="Z320" s="63"/>
      <c r="AA320" s="63"/>
      <c r="AC320" s="63"/>
      <c r="AD320" s="63"/>
      <c r="AI320" s="63"/>
      <c r="AJ320" s="63"/>
      <c r="AK320" s="63"/>
      <c r="AO320" s="63"/>
      <c r="AP320" s="63"/>
    </row>
    <row r="321" spans="2:42">
      <c r="B321" s="58"/>
      <c r="C321" s="63"/>
      <c r="D321" s="63"/>
      <c r="E321" s="66"/>
      <c r="H321" s="63"/>
      <c r="J321" s="56"/>
      <c r="K321" s="63"/>
      <c r="L321" s="63"/>
      <c r="M321" s="70"/>
      <c r="O321" s="65"/>
      <c r="P321" s="63"/>
      <c r="Q321" s="63"/>
      <c r="W321" s="63"/>
      <c r="X321" s="63"/>
      <c r="Z321" s="63"/>
      <c r="AA321" s="63"/>
      <c r="AC321" s="63"/>
      <c r="AD321" s="63"/>
      <c r="AI321" s="63"/>
      <c r="AJ321" s="63"/>
      <c r="AK321" s="63"/>
      <c r="AO321" s="63"/>
      <c r="AP321" s="63"/>
    </row>
    <row r="322" spans="2:42">
      <c r="B322" s="58"/>
      <c r="C322" s="63"/>
      <c r="D322" s="63"/>
      <c r="E322" s="66"/>
      <c r="H322" s="63"/>
      <c r="J322" s="56"/>
      <c r="K322" s="63"/>
      <c r="L322" s="63"/>
      <c r="M322" s="70"/>
      <c r="O322" s="65"/>
      <c r="P322" s="63"/>
      <c r="Q322" s="63"/>
      <c r="W322" s="63"/>
      <c r="X322" s="63"/>
      <c r="Z322" s="63"/>
      <c r="AA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J323" s="56"/>
      <c r="K323" s="63"/>
      <c r="L323" s="63"/>
      <c r="M323" s="70"/>
      <c r="O323" s="65"/>
      <c r="P323" s="63"/>
      <c r="Q323" s="63"/>
      <c r="W323" s="63"/>
      <c r="X323" s="63"/>
      <c r="Z323" s="63"/>
      <c r="AA323" s="63"/>
      <c r="AC323" s="63"/>
      <c r="AD323" s="63"/>
      <c r="AI323" s="63"/>
      <c r="AJ323" s="63"/>
      <c r="AK323" s="63"/>
      <c r="AO323" s="63"/>
      <c r="AP323" s="63"/>
    </row>
    <row r="324" spans="2:42">
      <c r="B324" s="57"/>
      <c r="C324" s="63"/>
      <c r="D324" s="63"/>
      <c r="E324" s="66"/>
      <c r="H324" s="63"/>
      <c r="J324" s="56"/>
      <c r="K324" s="63"/>
      <c r="L324" s="63"/>
      <c r="M324" s="70"/>
      <c r="O324" s="65"/>
      <c r="P324" s="63"/>
      <c r="Q324" s="63"/>
      <c r="W324" s="63"/>
      <c r="X324" s="63"/>
      <c r="Z324" s="63"/>
      <c r="AA324" s="63"/>
      <c r="AC324" s="63"/>
      <c r="AD324" s="63"/>
      <c r="AI324" s="63"/>
      <c r="AJ324" s="63"/>
      <c r="AK324" s="63"/>
      <c r="AO324" s="63"/>
      <c r="AP324" s="63"/>
    </row>
    <row r="325" spans="2:42">
      <c r="B325" s="57"/>
      <c r="C325" s="63"/>
      <c r="D325" s="63"/>
      <c r="E325" s="66"/>
      <c r="H325" s="63"/>
      <c r="J325" s="56"/>
      <c r="K325" s="63"/>
      <c r="L325" s="63"/>
      <c r="M325" s="70"/>
      <c r="O325" s="65"/>
      <c r="P325" s="63"/>
      <c r="Q325" s="63"/>
      <c r="W325" s="63"/>
      <c r="X325" s="63"/>
      <c r="Z325" s="63"/>
      <c r="AA325" s="63"/>
      <c r="AC325" s="63"/>
      <c r="AD325" s="63"/>
      <c r="AI325" s="63"/>
      <c r="AJ325" s="63"/>
      <c r="AK325" s="63"/>
      <c r="AO325" s="63"/>
      <c r="AP325" s="63"/>
    </row>
    <row r="326" spans="2:42">
      <c r="B326" s="57"/>
      <c r="C326" s="63"/>
      <c r="D326" s="63"/>
      <c r="E326" s="66"/>
      <c r="H326" s="63"/>
      <c r="J326" s="56"/>
      <c r="K326" s="63"/>
      <c r="L326" s="63"/>
      <c r="M326" s="70"/>
      <c r="O326" s="65"/>
      <c r="P326" s="63"/>
      <c r="Q326" s="63"/>
      <c r="W326" s="63"/>
      <c r="X326" s="63"/>
      <c r="Z326" s="63"/>
      <c r="AA326" s="63"/>
      <c r="AC326" s="63"/>
      <c r="AD326" s="63"/>
      <c r="AI326" s="63"/>
      <c r="AJ326" s="63"/>
      <c r="AK326" s="63"/>
      <c r="AO326" s="63"/>
      <c r="AP326" s="63"/>
    </row>
    <row r="327" spans="2:42">
      <c r="B327" s="58"/>
      <c r="C327" s="63"/>
      <c r="D327" s="63"/>
      <c r="E327" s="66"/>
      <c r="H327" s="63"/>
      <c r="I327" s="57"/>
      <c r="J327" s="56"/>
      <c r="K327" s="63"/>
      <c r="L327" s="63"/>
      <c r="M327" s="68"/>
      <c r="O327" s="65"/>
      <c r="P327" s="63"/>
      <c r="Q327" s="63"/>
      <c r="W327" s="58"/>
      <c r="X327" s="63"/>
      <c r="Z327" s="63"/>
      <c r="AA327" s="63"/>
      <c r="AC327" s="63"/>
      <c r="AD327" s="63"/>
      <c r="AJ327" s="63"/>
      <c r="AK327" s="63"/>
    </row>
    <row r="328" spans="2:42">
      <c r="B328" s="58"/>
      <c r="C328" s="63"/>
      <c r="D328" s="63"/>
      <c r="E328" s="66"/>
      <c r="H328" s="63"/>
      <c r="J328" s="56"/>
      <c r="K328" s="63"/>
      <c r="L328" s="63"/>
      <c r="M328" s="68"/>
      <c r="O328" s="65"/>
      <c r="P328" s="63"/>
      <c r="Q328" s="63"/>
      <c r="W328" s="58"/>
      <c r="X328" s="63"/>
      <c r="Z328" s="63"/>
      <c r="AA328" s="63"/>
      <c r="AC328" s="63"/>
      <c r="AD328" s="63"/>
      <c r="AJ328" s="63"/>
      <c r="AK328" s="63"/>
    </row>
    <row r="329" spans="2:42">
      <c r="B329" s="58"/>
      <c r="C329" s="63"/>
      <c r="D329" s="63"/>
      <c r="E329" s="66"/>
      <c r="H329" s="63"/>
      <c r="J329" s="56"/>
      <c r="K329" s="63"/>
      <c r="L329" s="63"/>
      <c r="M329" s="68"/>
      <c r="O329" s="65"/>
      <c r="P329" s="63"/>
      <c r="Q329" s="63"/>
      <c r="W329" s="58"/>
      <c r="X329" s="63"/>
      <c r="Z329" s="63"/>
      <c r="AA329" s="63"/>
      <c r="AC329" s="63"/>
      <c r="AD329" s="63"/>
      <c r="AJ329" s="63"/>
      <c r="AK329" s="63"/>
    </row>
    <row r="330" spans="2:42">
      <c r="B330" s="58"/>
      <c r="C330" s="63"/>
      <c r="D330" s="63"/>
      <c r="E330" s="66"/>
      <c r="H330" s="63"/>
      <c r="J330" s="56"/>
      <c r="K330" s="63"/>
      <c r="L330" s="63"/>
      <c r="M330" s="68"/>
      <c r="O330" s="65"/>
      <c r="P330" s="63"/>
      <c r="Q330" s="63"/>
      <c r="W330" s="58"/>
      <c r="X330" s="63"/>
      <c r="Z330" s="63"/>
      <c r="AA330" s="63"/>
      <c r="AC330" s="63"/>
      <c r="AD330" s="63"/>
      <c r="AJ330" s="63"/>
      <c r="AK330" s="63"/>
    </row>
    <row r="331" spans="2:42">
      <c r="B331" s="58"/>
      <c r="C331" s="63"/>
      <c r="D331" s="63"/>
      <c r="E331" s="66"/>
      <c r="H331" s="63"/>
      <c r="J331" s="56"/>
      <c r="K331" s="63"/>
      <c r="L331" s="63"/>
      <c r="P331" s="63"/>
      <c r="Q331" s="63"/>
      <c r="W331" s="58"/>
      <c r="X331" s="63"/>
      <c r="Z331" s="63"/>
      <c r="AA331" s="63"/>
      <c r="AC331" s="63"/>
      <c r="AD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56"/>
      <c r="K332" s="63"/>
      <c r="L332" s="63"/>
      <c r="P332" s="63"/>
      <c r="Q332" s="63"/>
      <c r="W332" s="63"/>
      <c r="X332" s="63"/>
      <c r="Z332" s="63"/>
      <c r="AA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56"/>
      <c r="K333" s="63"/>
      <c r="L333" s="63"/>
      <c r="P333" s="63"/>
      <c r="Q333" s="63"/>
      <c r="W333" s="63"/>
      <c r="X333" s="63"/>
      <c r="Z333" s="63"/>
      <c r="AA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J334" s="56"/>
      <c r="K334" s="63"/>
      <c r="L334" s="63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J335" s="56"/>
      <c r="K335" s="63"/>
      <c r="L335" s="63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J336" s="56"/>
      <c r="K336" s="63"/>
      <c r="L336" s="63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J337" s="56"/>
      <c r="K337" s="63"/>
      <c r="L337" s="63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8"/>
      <c r="C338" s="63"/>
      <c r="D338" s="63"/>
      <c r="E338" s="66"/>
      <c r="H338" s="63"/>
      <c r="J338" s="56"/>
      <c r="K338" s="63"/>
      <c r="L338" s="63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J339" s="56"/>
      <c r="K339" s="63"/>
      <c r="L339" s="63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J340" s="56"/>
      <c r="K340" s="63"/>
      <c r="L340" s="63"/>
      <c r="P340" s="63"/>
      <c r="Q340" s="63"/>
      <c r="W340" s="63"/>
      <c r="X340" s="63"/>
      <c r="Z340" s="63"/>
      <c r="AA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J341" s="56"/>
      <c r="K341" s="63"/>
      <c r="L341" s="63"/>
      <c r="O341" s="65"/>
      <c r="P341" s="63"/>
      <c r="Q341" s="63"/>
      <c r="W341" s="63"/>
      <c r="X341" s="63"/>
      <c r="Z341" s="63"/>
      <c r="AA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J342" s="56"/>
      <c r="K342" s="63"/>
      <c r="L342" s="63"/>
      <c r="O342" s="65"/>
      <c r="P342" s="63"/>
      <c r="Q342" s="63"/>
      <c r="W342" s="63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O343" s="65"/>
      <c r="P343" s="63"/>
      <c r="Q343" s="63"/>
      <c r="W343" s="63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M344"/>
      <c r="O344" s="65"/>
      <c r="P344" s="63"/>
      <c r="Q344" s="63"/>
      <c r="W344" s="63"/>
      <c r="X344" s="63"/>
      <c r="Z344" s="63"/>
      <c r="AA344" s="63"/>
      <c r="AB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M345"/>
      <c r="O345" s="65"/>
      <c r="P345" s="63"/>
      <c r="Q345" s="63"/>
      <c r="W345" s="63"/>
      <c r="X345" s="63"/>
      <c r="Z345" s="63"/>
      <c r="AA345" s="63"/>
      <c r="AB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M346"/>
      <c r="O346" s="65"/>
      <c r="P346" s="63"/>
      <c r="Q346" s="63"/>
      <c r="W346" s="63"/>
      <c r="X346" s="63"/>
      <c r="Z346" s="63"/>
      <c r="AA346" s="63"/>
      <c r="AB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M347"/>
      <c r="O347" s="65"/>
      <c r="P347" s="63"/>
      <c r="Q347" s="63"/>
      <c r="W347" s="63"/>
      <c r="X347" s="63"/>
      <c r="Z347" s="63"/>
      <c r="AA347" s="63"/>
      <c r="AB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M348"/>
      <c r="O348" s="65"/>
      <c r="P348" s="63"/>
      <c r="Q348" s="63"/>
      <c r="W348" s="63"/>
      <c r="X348" s="63"/>
      <c r="Z348" s="63"/>
      <c r="AA348" s="63"/>
      <c r="AB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M349"/>
      <c r="O349" s="65"/>
      <c r="P349" s="63"/>
      <c r="Q349" s="63"/>
      <c r="W349" s="63"/>
      <c r="X349" s="63"/>
      <c r="Z349" s="63"/>
      <c r="AA349" s="63"/>
      <c r="AB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M350"/>
      <c r="O350" s="65"/>
      <c r="P350" s="63"/>
      <c r="Q350" s="63"/>
      <c r="W350" s="63"/>
      <c r="X350" s="63"/>
      <c r="Z350" s="63"/>
      <c r="AA350" s="63"/>
      <c r="AB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/>
      <c r="O351" s="65"/>
      <c r="P351" s="63"/>
      <c r="Q351" s="63"/>
      <c r="W351" s="63"/>
      <c r="X351" s="63"/>
      <c r="Z351" s="63"/>
      <c r="AA351" s="63"/>
      <c r="AB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M352"/>
      <c r="O352" s="65"/>
      <c r="P352" s="63"/>
      <c r="Q352" s="63"/>
      <c r="W352" s="63"/>
      <c r="X352" s="63"/>
      <c r="Z352" s="63"/>
      <c r="AA352" s="63"/>
      <c r="AB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M353"/>
      <c r="O353" s="65"/>
      <c r="P353" s="63"/>
      <c r="Q353" s="63"/>
      <c r="W353" s="63"/>
      <c r="X353" s="63"/>
      <c r="Z353" s="63"/>
      <c r="AA353" s="63"/>
      <c r="AB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/>
      <c r="O354" s="65"/>
      <c r="P354" s="63"/>
      <c r="Q354" s="63"/>
      <c r="W354" s="63"/>
      <c r="X354" s="63"/>
      <c r="Z354" s="63"/>
      <c r="AA354" s="63"/>
      <c r="AB354" s="63"/>
      <c r="AC354" s="63"/>
      <c r="AD354" s="63"/>
      <c r="AI354" s="63"/>
      <c r="AJ354" s="63"/>
      <c r="AK354" s="63"/>
      <c r="AO354" s="63"/>
      <c r="AP354" s="63"/>
    </row>
    <row r="355" spans="2:42">
      <c r="B355" s="58"/>
      <c r="C355" s="63"/>
      <c r="D355" s="63"/>
      <c r="E355" s="66"/>
      <c r="H355" s="63"/>
      <c r="J355" s="56"/>
      <c r="K355" s="63"/>
      <c r="L355" s="63"/>
      <c r="M355"/>
      <c r="O355" s="65"/>
      <c r="P355" s="63"/>
      <c r="Q355" s="63"/>
      <c r="W355" s="63"/>
      <c r="X355" s="63"/>
      <c r="Z355" s="63"/>
      <c r="AA355" s="63"/>
      <c r="AB355" s="63"/>
      <c r="AC355" s="63"/>
      <c r="AD355" s="63"/>
      <c r="AI355" s="63"/>
      <c r="AJ355" s="63"/>
      <c r="AK355" s="63"/>
      <c r="AO355" s="63"/>
      <c r="AP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M356"/>
      <c r="O356" s="65"/>
      <c r="P356" s="63"/>
      <c r="Q356" s="63"/>
      <c r="W356" s="63"/>
      <c r="X356" s="63"/>
      <c r="Z356" s="63"/>
      <c r="AA356" s="63"/>
      <c r="AB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J357" s="56"/>
      <c r="K357" s="63"/>
      <c r="L357" s="63"/>
      <c r="M357"/>
      <c r="O357" s="65"/>
      <c r="P357" s="63"/>
      <c r="Q357" s="63"/>
      <c r="W357" s="63"/>
      <c r="X357" s="63"/>
      <c r="Z357" s="63"/>
      <c r="AA357" s="63"/>
      <c r="AB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J358" s="56"/>
      <c r="K358" s="63"/>
      <c r="L358" s="63"/>
      <c r="M358"/>
      <c r="O358" s="65"/>
      <c r="P358" s="63"/>
      <c r="Q358" s="63"/>
      <c r="W358" s="63"/>
      <c r="X358" s="63"/>
      <c r="Z358" s="63"/>
      <c r="AA358" s="63"/>
      <c r="AB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/>
      <c r="O359" s="65"/>
      <c r="P359" s="63"/>
      <c r="Q359" s="63"/>
      <c r="W359" s="63"/>
      <c r="X359" s="63"/>
      <c r="Z359" s="63"/>
      <c r="AA359" s="63"/>
      <c r="AB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/>
      <c r="O360" s="65"/>
      <c r="P360" s="63"/>
      <c r="Q360" s="63"/>
      <c r="W360" s="63"/>
      <c r="X360" s="63"/>
      <c r="Z360" s="63"/>
      <c r="AA360" s="63"/>
      <c r="AB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/>
      <c r="O361" s="65"/>
      <c r="P361" s="63"/>
      <c r="Q361" s="63"/>
      <c r="W361" s="63"/>
      <c r="X361" s="63"/>
      <c r="Z361" s="63"/>
      <c r="AA361" s="63"/>
      <c r="AB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M362"/>
      <c r="O362" s="65"/>
      <c r="P362" s="63"/>
      <c r="Q362" s="63"/>
      <c r="W362" s="63"/>
      <c r="X362" s="63"/>
      <c r="Z362" s="63"/>
      <c r="AA362" s="63"/>
      <c r="AB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M363"/>
      <c r="O363" s="65"/>
      <c r="P363" s="63"/>
      <c r="Q363" s="63"/>
      <c r="W363" s="63"/>
      <c r="X363" s="63"/>
      <c r="Z363" s="63"/>
      <c r="AA363" s="63"/>
      <c r="AB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M364"/>
      <c r="O364" s="65"/>
      <c r="P364" s="63"/>
      <c r="Q364" s="63"/>
      <c r="W364" s="63"/>
      <c r="X364" s="63"/>
      <c r="Z364" s="63"/>
      <c r="AA364" s="63"/>
      <c r="AB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M365"/>
      <c r="O365" s="65"/>
      <c r="P365" s="63"/>
      <c r="Q365" s="63"/>
      <c r="W365" s="63"/>
      <c r="X365" s="63"/>
      <c r="Z365" s="63"/>
      <c r="AA365" s="63"/>
      <c r="AB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M366"/>
      <c r="O366" s="65"/>
      <c r="P366" s="63"/>
      <c r="Q366" s="63"/>
      <c r="W366" s="63"/>
      <c r="X366" s="63"/>
      <c r="Z366" s="63"/>
      <c r="AA366" s="63"/>
      <c r="AB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M367"/>
      <c r="O367" s="65"/>
      <c r="P367" s="63"/>
      <c r="Q367" s="63"/>
      <c r="W367" s="63"/>
      <c r="X367" s="63"/>
      <c r="Z367" s="63"/>
      <c r="AA367" s="63"/>
      <c r="AB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M368" s="71"/>
      <c r="P368" s="63"/>
      <c r="Q368" s="63"/>
      <c r="W368" s="63"/>
      <c r="X368" s="63"/>
      <c r="Z368" s="63"/>
      <c r="AA368" s="63"/>
      <c r="AB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M369" s="71"/>
      <c r="P369" s="63"/>
      <c r="Q369" s="63"/>
      <c r="W369" s="63"/>
      <c r="X369" s="63"/>
      <c r="Z369" s="63"/>
      <c r="AA369" s="63"/>
      <c r="AB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M370" s="71"/>
      <c r="P370" s="63"/>
      <c r="Q370" s="63"/>
      <c r="W370" s="63"/>
      <c r="X370" s="63"/>
      <c r="Z370" s="63"/>
      <c r="AA370" s="63"/>
      <c r="AB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M371" s="71"/>
      <c r="P371" s="63"/>
      <c r="Q371" s="63"/>
      <c r="W371" s="63"/>
      <c r="X371" s="63"/>
      <c r="Z371" s="63"/>
      <c r="AA371" s="63"/>
      <c r="AB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M372" s="71"/>
      <c r="P372" s="63"/>
      <c r="Q372" s="63"/>
      <c r="W372" s="58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M373" s="71"/>
      <c r="P373" s="63"/>
      <c r="Q373" s="63"/>
      <c r="W373" s="58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M374" s="71"/>
      <c r="P374" s="63"/>
      <c r="Q374" s="63"/>
      <c r="W374" s="58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M375" s="71"/>
      <c r="P375" s="63"/>
      <c r="Q375" s="63"/>
      <c r="W375" s="63"/>
      <c r="X375" s="63"/>
      <c r="Z375" s="63"/>
      <c r="AA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M376" s="71"/>
      <c r="P376" s="63"/>
      <c r="Q376" s="63"/>
      <c r="W376" s="63"/>
      <c r="X376" s="63"/>
      <c r="Z376" s="63"/>
      <c r="AA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M377" s="71"/>
      <c r="P377" s="63"/>
      <c r="Q377" s="63"/>
      <c r="W377" s="63"/>
      <c r="X377" s="63"/>
      <c r="Z377" s="63"/>
      <c r="AA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M378" s="71"/>
      <c r="P378" s="63"/>
      <c r="Q378" s="63"/>
      <c r="W378" s="63"/>
      <c r="X378" s="63"/>
      <c r="Z378" s="63"/>
      <c r="AA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M379" s="71"/>
      <c r="P379" s="63"/>
      <c r="Q379" s="63"/>
      <c r="W379" s="63"/>
      <c r="X379" s="63"/>
      <c r="Z379" s="63"/>
      <c r="AA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M380" s="71"/>
      <c r="P380" s="63"/>
      <c r="Q380" s="63"/>
      <c r="W380" s="63"/>
      <c r="X380" s="63"/>
      <c r="Z380" s="63"/>
      <c r="AA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M381" s="71"/>
      <c r="P381" s="63"/>
      <c r="Q381" s="63"/>
      <c r="W381" s="63"/>
      <c r="X381" s="63"/>
      <c r="Z381" s="63"/>
      <c r="AA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M382" s="71"/>
      <c r="P382" s="63"/>
      <c r="Q382" s="63"/>
      <c r="W382" s="63"/>
      <c r="X382" s="63"/>
      <c r="Z382" s="63"/>
      <c r="AA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M383" s="71"/>
      <c r="P383" s="63"/>
      <c r="Q383" s="63"/>
      <c r="W383" s="63"/>
      <c r="X383" s="63"/>
      <c r="Z383" s="63"/>
      <c r="AA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M384" s="71"/>
      <c r="P384" s="63"/>
      <c r="Q384" s="63"/>
      <c r="W384" s="63"/>
      <c r="X384" s="63"/>
      <c r="Z384" s="63"/>
      <c r="AA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M385" s="71"/>
      <c r="P385" s="63"/>
      <c r="Q385" s="63"/>
      <c r="W385" s="63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M386" s="71"/>
      <c r="P386" s="63"/>
      <c r="Q386" s="63"/>
      <c r="W386" s="63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M387" s="71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7"/>
      <c r="C388" s="63"/>
      <c r="D388" s="63"/>
      <c r="E388" s="66"/>
      <c r="H388" s="63"/>
      <c r="I388" s="57"/>
      <c r="J388" s="56"/>
      <c r="K388" s="63"/>
      <c r="L388" s="63"/>
      <c r="M388" s="71"/>
      <c r="O388" s="65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7"/>
      <c r="C389" s="63"/>
      <c r="D389" s="63"/>
      <c r="E389" s="66"/>
      <c r="H389" s="63"/>
      <c r="I389" s="57"/>
      <c r="J389" s="56"/>
      <c r="K389" s="63"/>
      <c r="L389" s="63"/>
      <c r="M389" s="71"/>
      <c r="O389" s="65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7"/>
      <c r="C390" s="63"/>
      <c r="D390" s="63"/>
      <c r="E390" s="66"/>
      <c r="H390" s="63"/>
      <c r="I390" s="57"/>
      <c r="J390" s="56"/>
      <c r="K390" s="63"/>
      <c r="L390" s="63"/>
      <c r="M390" s="71"/>
      <c r="O390" s="65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7"/>
      <c r="C391" s="63"/>
      <c r="D391" s="63"/>
      <c r="E391" s="66"/>
      <c r="H391" s="63"/>
      <c r="I391" s="57"/>
      <c r="J391" s="56"/>
      <c r="K391" s="63"/>
      <c r="L391" s="63"/>
      <c r="M391" s="71"/>
      <c r="O391" s="65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7"/>
      <c r="C392" s="63"/>
      <c r="D392" s="63"/>
      <c r="E392" s="66"/>
      <c r="H392" s="63"/>
      <c r="I392" s="57"/>
      <c r="J392" s="56"/>
      <c r="K392" s="63"/>
      <c r="L392" s="63"/>
      <c r="M392" s="71"/>
      <c r="O392" s="65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7"/>
      <c r="C393" s="63"/>
      <c r="D393" s="63"/>
      <c r="E393" s="66"/>
      <c r="H393" s="63"/>
      <c r="I393" s="57"/>
      <c r="J393" s="56"/>
      <c r="K393" s="63"/>
      <c r="L393" s="63"/>
      <c r="M393" s="71"/>
      <c r="O393" s="65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7"/>
      <c r="C394" s="63"/>
      <c r="D394" s="63"/>
      <c r="E394" s="66"/>
      <c r="H394" s="63"/>
      <c r="I394" s="57"/>
      <c r="J394" s="56"/>
      <c r="K394" s="63"/>
      <c r="L394" s="63"/>
      <c r="M394" s="71"/>
      <c r="O394" s="65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7"/>
      <c r="C395" s="63"/>
      <c r="D395" s="63"/>
      <c r="E395" s="66"/>
      <c r="H395" s="63"/>
      <c r="I395" s="57"/>
      <c r="J395" s="56"/>
      <c r="K395" s="63"/>
      <c r="L395" s="63"/>
      <c r="M395" s="71"/>
      <c r="O395" s="65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7"/>
      <c r="C396" s="63"/>
      <c r="D396" s="63"/>
      <c r="E396" s="66"/>
      <c r="H396" s="63"/>
      <c r="I396" s="57"/>
      <c r="J396" s="56"/>
      <c r="K396" s="63"/>
      <c r="L396" s="63"/>
      <c r="M396" s="71"/>
      <c r="O396" s="65"/>
      <c r="P396" s="63"/>
      <c r="Q396" s="63"/>
      <c r="W396" s="63"/>
      <c r="X396" s="63"/>
      <c r="Z396" s="63"/>
      <c r="AA396" s="63"/>
      <c r="AC396" s="63"/>
      <c r="AD396" s="63"/>
      <c r="AI396" s="63"/>
      <c r="AJ396" s="63"/>
      <c r="AK396" s="63"/>
      <c r="AO396" s="63"/>
      <c r="AP396" s="63"/>
    </row>
    <row r="397" spans="2:42">
      <c r="B397" s="57"/>
      <c r="C397" s="63"/>
      <c r="D397" s="63"/>
      <c r="E397" s="66"/>
      <c r="H397" s="63"/>
      <c r="I397" s="57"/>
      <c r="J397" s="56"/>
      <c r="K397" s="63"/>
      <c r="L397" s="63"/>
      <c r="M397" s="71"/>
      <c r="O397" s="65"/>
      <c r="P397" s="63"/>
      <c r="Q397" s="63"/>
      <c r="W397" s="63"/>
      <c r="X397" s="63"/>
      <c r="Z397" s="63"/>
      <c r="AA397" s="63"/>
      <c r="AC397" s="63"/>
      <c r="AD397" s="63"/>
      <c r="AI397" s="63"/>
      <c r="AJ397" s="63"/>
      <c r="AK397" s="63"/>
      <c r="AO397" s="63"/>
      <c r="AP397" s="63"/>
    </row>
    <row r="398" spans="2:42">
      <c r="B398" s="57"/>
      <c r="C398" s="63"/>
      <c r="D398" s="63"/>
      <c r="E398" s="66"/>
      <c r="H398" s="63"/>
      <c r="I398" s="57"/>
      <c r="J398" s="56"/>
      <c r="K398" s="63"/>
      <c r="L398" s="63"/>
      <c r="M398" s="71"/>
      <c r="O398" s="65"/>
      <c r="P398" s="63"/>
      <c r="Q398" s="63"/>
      <c r="W398" s="63"/>
      <c r="X398" s="63"/>
      <c r="Z398" s="63"/>
      <c r="AA398" s="63"/>
      <c r="AC398" s="63"/>
      <c r="AD398" s="63"/>
      <c r="AI398" s="63"/>
      <c r="AJ398" s="63"/>
      <c r="AK398" s="63"/>
      <c r="AO398" s="63"/>
      <c r="AP398" s="63"/>
    </row>
    <row r="399" spans="2:42">
      <c r="B399" s="57"/>
      <c r="C399" s="63"/>
      <c r="D399" s="63"/>
      <c r="E399" s="66"/>
      <c r="H399" s="63"/>
      <c r="I399" s="57"/>
      <c r="J399" s="56"/>
      <c r="K399" s="63"/>
      <c r="L399" s="63"/>
      <c r="M399" s="71"/>
      <c r="O399" s="65"/>
      <c r="P399" s="63"/>
      <c r="Q399" s="63"/>
      <c r="W399" s="63"/>
      <c r="X399" s="63"/>
      <c r="Z399" s="63"/>
      <c r="AA399" s="63"/>
      <c r="AC399" s="63"/>
      <c r="AD399" s="63"/>
      <c r="AI399" s="63"/>
      <c r="AJ399" s="63"/>
      <c r="AK399" s="63"/>
      <c r="AO399" s="63"/>
      <c r="AP399" s="63"/>
    </row>
    <row r="400" spans="2:42">
      <c r="B400" s="57"/>
      <c r="C400" s="63"/>
      <c r="D400" s="63"/>
      <c r="E400" s="66"/>
      <c r="H400" s="63"/>
      <c r="I400" s="57"/>
      <c r="J400" s="56"/>
      <c r="K400" s="63"/>
      <c r="L400" s="63"/>
      <c r="M400" s="71"/>
      <c r="O400" s="65"/>
      <c r="P400" s="63"/>
      <c r="Q400" s="63"/>
      <c r="W400" s="63"/>
      <c r="X400" s="63"/>
      <c r="Z400" s="63"/>
      <c r="AA400" s="63"/>
      <c r="AC400" s="63"/>
      <c r="AD400" s="63"/>
      <c r="AI400" s="63"/>
      <c r="AJ400" s="63"/>
      <c r="AK400" s="63"/>
      <c r="AO400" s="63"/>
      <c r="AP400" s="63"/>
    </row>
    <row r="401" spans="2:42">
      <c r="B401" s="57"/>
      <c r="C401" s="63"/>
      <c r="D401" s="63"/>
      <c r="E401" s="66"/>
      <c r="H401" s="63"/>
      <c r="I401" s="57"/>
      <c r="J401" s="56"/>
      <c r="K401" s="63"/>
      <c r="L401" s="63"/>
      <c r="M401" s="71"/>
      <c r="O401" s="65"/>
      <c r="P401" s="63"/>
      <c r="Q401" s="63"/>
      <c r="W401" s="63"/>
      <c r="X401" s="63"/>
      <c r="Z401" s="63"/>
      <c r="AA401" s="63"/>
      <c r="AC401" s="63"/>
      <c r="AD401" s="63"/>
      <c r="AI401" s="63"/>
      <c r="AJ401" s="63"/>
      <c r="AK401" s="63"/>
      <c r="AO401" s="63"/>
      <c r="AP401" s="63"/>
    </row>
    <row r="402" spans="2:42">
      <c r="B402" s="57"/>
      <c r="C402" s="63"/>
      <c r="D402" s="63"/>
      <c r="E402" s="66"/>
      <c r="H402" s="63"/>
      <c r="I402" s="57"/>
      <c r="J402" s="56"/>
      <c r="K402" s="63"/>
      <c r="L402" s="63"/>
      <c r="M402" s="71"/>
      <c r="O402" s="65"/>
      <c r="P402" s="63"/>
      <c r="Q402" s="63"/>
      <c r="W402" s="63"/>
      <c r="X402" s="63"/>
      <c r="Z402" s="63"/>
      <c r="AA402" s="63"/>
      <c r="AC402" s="63"/>
      <c r="AD402" s="63"/>
      <c r="AI402" s="63"/>
      <c r="AJ402" s="63"/>
      <c r="AK402" s="63"/>
      <c r="AO402" s="63"/>
      <c r="AP402" s="63"/>
    </row>
    <row r="403" spans="2:42">
      <c r="B403" s="57"/>
      <c r="C403" s="63"/>
      <c r="D403" s="63"/>
      <c r="E403" s="66"/>
      <c r="H403" s="63"/>
      <c r="I403" s="57"/>
      <c r="J403" s="56"/>
      <c r="K403" s="63"/>
      <c r="L403" s="63"/>
      <c r="M403" s="71"/>
      <c r="O403" s="65"/>
      <c r="P403" s="63"/>
      <c r="Q403" s="63"/>
      <c r="W403" s="63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7"/>
      <c r="C404" s="63"/>
      <c r="D404" s="63"/>
      <c r="E404" s="66"/>
      <c r="H404" s="63"/>
      <c r="I404" s="57"/>
      <c r="J404" s="56"/>
      <c r="K404" s="63"/>
      <c r="L404" s="63"/>
      <c r="M404" s="71"/>
      <c r="O404" s="65"/>
      <c r="P404" s="63"/>
      <c r="Q404" s="63"/>
      <c r="W404" s="63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7"/>
      <c r="C405" s="63"/>
      <c r="D405" s="63"/>
      <c r="E405" s="66"/>
      <c r="H405" s="63"/>
      <c r="I405" s="57"/>
      <c r="J405" s="56"/>
      <c r="K405" s="63"/>
      <c r="L405" s="63"/>
      <c r="M405" s="71"/>
      <c r="O405" s="65"/>
      <c r="P405" s="63"/>
      <c r="Q405" s="63"/>
      <c r="W405" s="63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7"/>
      <c r="C406" s="63"/>
      <c r="D406" s="63"/>
      <c r="E406" s="66"/>
      <c r="H406" s="63"/>
      <c r="I406" s="57"/>
      <c r="J406" s="56"/>
      <c r="K406" s="63"/>
      <c r="L406" s="63"/>
      <c r="M406" s="71"/>
      <c r="O406" s="65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L407" s="63"/>
      <c r="O407" s="65"/>
      <c r="P407" s="63"/>
      <c r="Q407" s="63"/>
      <c r="W407" s="58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L408" s="63"/>
      <c r="O408" s="65"/>
      <c r="P408" s="63"/>
      <c r="Q408" s="63"/>
      <c r="W408" s="58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L409" s="63"/>
      <c r="O409" s="65"/>
      <c r="P409" s="63"/>
      <c r="Q409" s="63"/>
      <c r="W409" s="58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L410" s="63"/>
      <c r="O410" s="65"/>
      <c r="P410" s="63"/>
      <c r="Q410" s="63"/>
      <c r="W410" s="58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L411" s="63"/>
      <c r="O411" s="65"/>
      <c r="P411" s="63"/>
      <c r="Q411" s="63"/>
      <c r="W411" s="58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L412" s="63"/>
      <c r="O412" s="65"/>
      <c r="P412" s="63"/>
      <c r="Q412" s="63"/>
      <c r="W412" s="58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L413" s="63"/>
      <c r="O413" s="65"/>
      <c r="P413" s="63"/>
      <c r="Q413" s="63"/>
      <c r="W413" s="58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L414" s="63"/>
      <c r="O414" s="65"/>
      <c r="P414" s="63"/>
      <c r="Q414" s="63"/>
      <c r="W414" s="58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L415" s="63"/>
      <c r="O415" s="65"/>
      <c r="P415" s="63"/>
      <c r="Q415" s="63"/>
      <c r="W415" s="58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L416" s="63"/>
      <c r="O416" s="65"/>
      <c r="P416" s="63"/>
      <c r="Q416" s="63"/>
      <c r="W416" s="58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L417" s="63"/>
      <c r="O417" s="65"/>
      <c r="P417" s="63"/>
      <c r="Q417" s="63"/>
      <c r="W417" s="58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I418" s="63"/>
      <c r="J418" s="56"/>
      <c r="K418" s="63"/>
      <c r="L418" s="63"/>
      <c r="N418" s="58"/>
      <c r="O418" s="65"/>
      <c r="P418" s="63"/>
      <c r="Q418" s="63"/>
      <c r="W418" s="63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8"/>
      <c r="C419" s="63"/>
      <c r="D419" s="63"/>
      <c r="E419" s="66"/>
      <c r="H419" s="63"/>
      <c r="I419" s="63"/>
      <c r="J419" s="56"/>
      <c r="K419" s="63"/>
      <c r="L419" s="63"/>
      <c r="N419" s="58"/>
      <c r="O419" s="65"/>
      <c r="P419" s="63"/>
      <c r="Q419" s="63"/>
      <c r="W419" s="63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8"/>
      <c r="C420" s="63"/>
      <c r="D420" s="63"/>
      <c r="E420" s="66"/>
      <c r="H420" s="63"/>
      <c r="I420" s="63"/>
      <c r="J420" s="56"/>
      <c r="K420" s="63"/>
      <c r="L420" s="63"/>
      <c r="N420" s="58"/>
      <c r="O420" s="65"/>
      <c r="P420" s="63"/>
      <c r="Q420" s="63"/>
      <c r="W420" s="63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I421" s="63"/>
      <c r="J421" s="56"/>
      <c r="K421" s="63"/>
      <c r="L421" s="63"/>
      <c r="N421" s="58"/>
      <c r="O421" s="65"/>
      <c r="P421" s="63"/>
      <c r="Q421" s="63"/>
      <c r="W421" s="63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 s="59" customFormat="1">
      <c r="B422" s="72"/>
      <c r="C422" s="73"/>
      <c r="D422" s="73"/>
      <c r="E422" s="66"/>
      <c r="H422" s="63"/>
      <c r="I422" s="73"/>
      <c r="J422" s="74"/>
      <c r="K422" s="73"/>
      <c r="L422" s="73"/>
      <c r="M422" s="68"/>
      <c r="P422" s="73"/>
      <c r="Q422" s="73"/>
      <c r="W422" s="73"/>
      <c r="X422" s="73"/>
      <c r="Z422" s="73"/>
      <c r="AA422" s="63"/>
      <c r="AC422" s="73"/>
      <c r="AD422" s="73"/>
      <c r="AI422" s="73"/>
      <c r="AJ422" s="73"/>
      <c r="AK422" s="73"/>
      <c r="AN422" s="72"/>
      <c r="AO422" s="73"/>
      <c r="AP422" s="73"/>
    </row>
    <row r="423" spans="2:42" s="59" customFormat="1">
      <c r="B423" s="72"/>
      <c r="C423" s="73"/>
      <c r="D423" s="73"/>
      <c r="E423" s="66"/>
      <c r="H423" s="63"/>
      <c r="I423" s="73"/>
      <c r="J423" s="74"/>
      <c r="K423" s="73"/>
      <c r="L423" s="73"/>
      <c r="M423" s="68"/>
      <c r="P423" s="73"/>
      <c r="Q423" s="73"/>
      <c r="W423" s="73"/>
      <c r="X423" s="73"/>
      <c r="Z423" s="73"/>
      <c r="AA423" s="63"/>
      <c r="AC423" s="73"/>
      <c r="AD423" s="73"/>
      <c r="AI423" s="73"/>
      <c r="AJ423" s="73"/>
      <c r="AK423" s="73"/>
      <c r="AN423" s="72"/>
      <c r="AO423" s="73"/>
      <c r="AP423" s="73"/>
    </row>
    <row r="424" spans="2:42">
      <c r="B424" s="58"/>
      <c r="C424" s="63"/>
      <c r="D424" s="63"/>
      <c r="E424" s="66"/>
      <c r="H424" s="63"/>
      <c r="I424" s="63"/>
      <c r="J424" s="56"/>
      <c r="K424" s="63"/>
      <c r="L424" s="63"/>
      <c r="P424" s="63"/>
      <c r="Q424" s="63"/>
      <c r="W424" s="63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I425" s="63"/>
      <c r="J425" s="56"/>
      <c r="K425" s="63"/>
      <c r="L425" s="63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I426" s="63"/>
      <c r="J426" s="56"/>
      <c r="K426" s="63"/>
      <c r="L426" s="63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I427" s="63"/>
      <c r="J427" s="56"/>
      <c r="K427" s="63"/>
      <c r="L427" s="63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I428" s="63"/>
      <c r="J428" s="56"/>
      <c r="K428" s="63"/>
      <c r="L428" s="63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I429" s="63"/>
      <c r="J429" s="56"/>
      <c r="K429" s="63"/>
      <c r="L429" s="63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I430" s="63"/>
      <c r="J430" s="56"/>
      <c r="K430" s="63"/>
      <c r="L430" s="63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I431" s="63"/>
      <c r="J431" s="56"/>
      <c r="K431" s="63"/>
      <c r="L431" s="63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8"/>
      <c r="C432" s="63"/>
      <c r="D432" s="63"/>
      <c r="E432" s="66"/>
      <c r="H432" s="63"/>
      <c r="I432" s="63"/>
      <c r="J432" s="56"/>
      <c r="K432" s="63"/>
      <c r="L432" s="63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8"/>
      <c r="C433" s="63"/>
      <c r="D433" s="63"/>
      <c r="E433" s="66"/>
      <c r="H433" s="63"/>
      <c r="I433" s="63"/>
      <c r="J433" s="56"/>
      <c r="K433" s="63"/>
      <c r="L433" s="63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8"/>
      <c r="C434" s="63"/>
      <c r="D434" s="63"/>
      <c r="E434" s="66"/>
      <c r="H434" s="63"/>
      <c r="I434" s="63"/>
      <c r="J434" s="56"/>
      <c r="K434" s="63"/>
      <c r="L434" s="63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I435" s="63"/>
      <c r="J435" s="56"/>
      <c r="K435" s="63"/>
      <c r="L435" s="63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I436" s="63"/>
      <c r="J436" s="56"/>
      <c r="K436" s="63"/>
      <c r="L436" s="63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I437" s="63"/>
      <c r="J437" s="56"/>
      <c r="K437" s="63"/>
      <c r="L437" s="63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I438" s="63"/>
      <c r="J438" s="56"/>
      <c r="K438" s="63"/>
      <c r="L438" s="63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I439" s="63"/>
      <c r="J439" s="56"/>
      <c r="K439" s="63"/>
      <c r="L439" s="63"/>
      <c r="P439" s="63"/>
      <c r="Q439" s="63"/>
      <c r="W439" s="63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I440" s="63"/>
      <c r="J440" s="56"/>
      <c r="K440" s="63"/>
      <c r="L440" s="63"/>
      <c r="P440" s="63"/>
      <c r="Q440" s="63"/>
      <c r="W440" s="63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I441" s="63"/>
      <c r="J441" s="56"/>
      <c r="K441" s="63"/>
      <c r="L441" s="63"/>
      <c r="P441" s="63"/>
      <c r="Q441" s="63"/>
      <c r="W441" s="63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I442" s="63"/>
      <c r="J442" s="56"/>
      <c r="K442" s="63"/>
      <c r="L442" s="63"/>
      <c r="P442" s="63"/>
      <c r="Q442" s="63"/>
      <c r="W442" s="63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I443" s="57"/>
      <c r="J443" s="56"/>
      <c r="K443" s="63"/>
      <c r="L443" s="63"/>
      <c r="P443" s="63"/>
      <c r="Q443" s="63"/>
      <c r="V443" s="63"/>
      <c r="W443" s="58"/>
      <c r="X443" s="63"/>
      <c r="Z443" s="63"/>
      <c r="AA443" s="63"/>
      <c r="AB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I444" s="56"/>
      <c r="J444" s="56"/>
      <c r="K444" s="63"/>
      <c r="L444" s="63"/>
      <c r="P444" s="63"/>
      <c r="Q444" s="63"/>
      <c r="V444" s="63"/>
      <c r="W444" s="58"/>
      <c r="X444" s="63"/>
      <c r="Z444" s="63"/>
      <c r="AA444" s="63"/>
      <c r="AB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I445" s="56"/>
      <c r="J445" s="56"/>
      <c r="K445" s="63"/>
      <c r="L445" s="63"/>
      <c r="P445" s="63"/>
      <c r="Q445" s="63"/>
      <c r="V445" s="63"/>
      <c r="W445" s="58"/>
      <c r="X445" s="63"/>
      <c r="Z445" s="63"/>
      <c r="AA445" s="63"/>
      <c r="AB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I446" s="56"/>
      <c r="J446" s="56"/>
      <c r="K446" s="63"/>
      <c r="L446" s="63"/>
      <c r="P446" s="63"/>
      <c r="Q446" s="63"/>
      <c r="V446" s="63"/>
      <c r="W446" s="58"/>
      <c r="X446" s="63"/>
      <c r="Z446" s="63"/>
      <c r="AA446" s="63"/>
      <c r="AB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I447" s="56"/>
      <c r="J447" s="56"/>
      <c r="K447" s="63"/>
      <c r="L447" s="63"/>
      <c r="P447" s="63"/>
      <c r="Q447" s="63"/>
      <c r="V447" s="63"/>
      <c r="W447" s="58"/>
      <c r="X447" s="63"/>
      <c r="Z447" s="63"/>
      <c r="AA447" s="63"/>
      <c r="AB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I448" s="56"/>
      <c r="J448" s="56"/>
      <c r="K448" s="63"/>
      <c r="L448" s="63"/>
      <c r="P448" s="63"/>
      <c r="Q448" s="63"/>
      <c r="V448" s="63"/>
      <c r="W448" s="58"/>
      <c r="X448" s="63"/>
      <c r="Z448" s="63"/>
      <c r="AA448" s="63"/>
      <c r="AB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56"/>
      <c r="J449" s="56"/>
      <c r="K449" s="63"/>
      <c r="L449" s="63"/>
      <c r="P449" s="63"/>
      <c r="Q449" s="63"/>
      <c r="V449" s="63"/>
      <c r="W449" s="58"/>
      <c r="X449" s="63"/>
      <c r="Z449" s="63"/>
      <c r="AA449" s="63"/>
      <c r="AB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56"/>
      <c r="J450" s="56"/>
      <c r="K450" s="63"/>
      <c r="L450" s="63"/>
      <c r="P450" s="63"/>
      <c r="Q450" s="63"/>
      <c r="V450" s="63"/>
      <c r="W450" s="58"/>
      <c r="X450" s="63"/>
      <c r="Z450" s="63"/>
      <c r="AA450" s="63"/>
      <c r="AB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56"/>
      <c r="J451" s="56"/>
      <c r="K451" s="63"/>
      <c r="L451" s="63"/>
      <c r="P451" s="63"/>
      <c r="Q451" s="63"/>
      <c r="V451" s="63"/>
      <c r="W451" s="58"/>
      <c r="X451" s="63"/>
      <c r="Z451" s="63"/>
      <c r="AA451" s="63"/>
      <c r="AB451" s="63"/>
      <c r="AC451" s="63"/>
      <c r="AD451" s="63"/>
      <c r="AI451" s="63"/>
      <c r="AJ451" s="63"/>
      <c r="AK451" s="63"/>
      <c r="AO451" s="63"/>
      <c r="AP451" s="63"/>
    </row>
    <row r="452" spans="2:42">
      <c r="B452" s="63"/>
      <c r="C452" s="63"/>
      <c r="D452" s="63"/>
      <c r="E452" s="66"/>
      <c r="F452" s="63"/>
      <c r="G452" s="63"/>
      <c r="H452" s="63"/>
      <c r="I452" s="63"/>
      <c r="J452" s="56"/>
      <c r="K452" s="56"/>
      <c r="L452" s="63"/>
      <c r="M452" s="65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</row>
    <row r="453" spans="2:42">
      <c r="B453" s="63"/>
      <c r="C453" s="63"/>
      <c r="D453" s="63"/>
      <c r="E453" s="66"/>
      <c r="F453" s="63"/>
      <c r="G453" s="63"/>
      <c r="H453" s="63"/>
      <c r="I453" s="63"/>
      <c r="J453" s="56"/>
      <c r="K453" s="56"/>
      <c r="L453" s="63"/>
      <c r="M453" s="65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</row>
    <row r="454" spans="2:42">
      <c r="B454" s="63"/>
      <c r="C454" s="63"/>
      <c r="D454" s="63"/>
      <c r="E454" s="66"/>
      <c r="F454" s="63"/>
      <c r="G454" s="63"/>
      <c r="H454" s="63"/>
      <c r="I454" s="63"/>
      <c r="J454" s="56"/>
      <c r="K454" s="56"/>
      <c r="L454" s="63"/>
      <c r="M454" s="65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</row>
    <row r="455" spans="2:42">
      <c r="B455" s="63"/>
      <c r="C455" s="63"/>
      <c r="D455" s="63"/>
      <c r="E455" s="66"/>
      <c r="F455" s="63"/>
      <c r="G455" s="63"/>
      <c r="H455" s="63"/>
      <c r="I455" s="63"/>
      <c r="J455" s="56"/>
      <c r="K455" s="56"/>
      <c r="L455" s="63"/>
      <c r="M455" s="65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</row>
    <row r="456" spans="2:42">
      <c r="B456" s="63"/>
      <c r="C456" s="63"/>
      <c r="D456" s="63"/>
      <c r="E456" s="66"/>
      <c r="F456" s="63"/>
      <c r="G456" s="63"/>
      <c r="H456" s="63"/>
      <c r="I456" s="63"/>
      <c r="J456" s="56"/>
      <c r="K456" s="56"/>
      <c r="L456" s="63"/>
      <c r="M456" s="65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</row>
    <row r="457" spans="2:42">
      <c r="B457" s="63"/>
      <c r="C457" s="63"/>
      <c r="D457" s="63"/>
      <c r="E457" s="66"/>
      <c r="F457" s="63"/>
      <c r="G457" s="63"/>
      <c r="H457" s="63"/>
      <c r="I457" s="63"/>
      <c r="J457" s="56"/>
      <c r="K457" s="56"/>
      <c r="L457" s="63"/>
      <c r="M457" s="65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</row>
    <row r="458" spans="2:42">
      <c r="B458" s="63"/>
      <c r="C458" s="63"/>
      <c r="D458" s="63"/>
      <c r="E458" s="66"/>
      <c r="F458" s="63"/>
      <c r="G458" s="63"/>
      <c r="H458" s="63"/>
      <c r="I458" s="63"/>
      <c r="J458" s="56"/>
      <c r="K458" s="56"/>
      <c r="L458" s="63"/>
      <c r="M458" s="65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</row>
    <row r="459" spans="2:42">
      <c r="B459" s="63"/>
      <c r="C459" s="63"/>
      <c r="D459" s="63"/>
      <c r="E459" s="66"/>
      <c r="H459" s="63"/>
      <c r="I459" s="56"/>
      <c r="J459" s="56"/>
      <c r="K459" s="63"/>
      <c r="L459" s="63"/>
      <c r="M459" s="75"/>
      <c r="O459" s="63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63"/>
      <c r="C460" s="63"/>
      <c r="D460" s="63"/>
      <c r="E460" s="66"/>
      <c r="H460" s="63"/>
      <c r="I460" s="56"/>
      <c r="J460" s="56"/>
      <c r="K460" s="63"/>
      <c r="L460" s="63"/>
      <c r="M460" s="75"/>
      <c r="O460" s="63"/>
      <c r="P460" s="63"/>
      <c r="Q460" s="63"/>
      <c r="W460" s="63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63"/>
      <c r="C461" s="63"/>
      <c r="D461" s="63"/>
      <c r="E461" s="66"/>
      <c r="H461" s="63"/>
      <c r="I461" s="56"/>
      <c r="J461" s="56"/>
      <c r="K461" s="63"/>
      <c r="L461" s="63"/>
      <c r="M461" s="76"/>
      <c r="O461" s="63"/>
      <c r="P461" s="63"/>
      <c r="Q461" s="63"/>
      <c r="W461" s="63"/>
      <c r="X461" s="63"/>
      <c r="Z461" s="63"/>
      <c r="AA461" s="63"/>
      <c r="AC461" s="63"/>
      <c r="AD461" s="63"/>
      <c r="AI461" s="58"/>
      <c r="AJ461" s="63"/>
      <c r="AK461" s="63"/>
      <c r="AO461" s="63"/>
      <c r="AP461" s="63"/>
    </row>
    <row r="462" spans="2:42">
      <c r="B462" s="63"/>
      <c r="C462" s="63"/>
      <c r="D462" s="63"/>
      <c r="E462" s="66"/>
      <c r="H462" s="63"/>
      <c r="I462" s="56"/>
      <c r="J462" s="56"/>
      <c r="K462" s="63"/>
      <c r="L462" s="63"/>
      <c r="M462" s="75"/>
      <c r="O462" s="63"/>
      <c r="P462" s="63"/>
      <c r="Q462" s="63"/>
      <c r="W462" s="63"/>
      <c r="X462" s="63"/>
      <c r="Z462" s="63"/>
      <c r="AA462" s="63"/>
      <c r="AC462" s="63"/>
      <c r="AD462" s="63"/>
      <c r="AI462" s="58"/>
      <c r="AJ462" s="63"/>
      <c r="AK462" s="63"/>
      <c r="AO462" s="63"/>
      <c r="AP462" s="63"/>
    </row>
    <row r="463" spans="2:42">
      <c r="B463" s="63"/>
      <c r="C463" s="63"/>
      <c r="D463" s="63"/>
      <c r="E463" s="66"/>
      <c r="H463" s="63"/>
      <c r="I463" s="56"/>
      <c r="J463" s="56"/>
      <c r="K463" s="63"/>
      <c r="L463" s="63"/>
      <c r="M463" s="75"/>
      <c r="O463" s="63"/>
      <c r="P463" s="63"/>
      <c r="Q463" s="63"/>
      <c r="W463" s="63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63"/>
      <c r="C464" s="63"/>
      <c r="D464" s="63"/>
      <c r="E464" s="66"/>
      <c r="H464" s="63"/>
      <c r="I464" s="63"/>
      <c r="J464" s="56"/>
      <c r="K464" s="63"/>
      <c r="L464" s="63"/>
      <c r="M464" s="75"/>
      <c r="N464" s="58"/>
      <c r="O464" s="77"/>
      <c r="P464" s="63"/>
      <c r="Q464" s="63"/>
      <c r="W464" s="63"/>
      <c r="X464" s="63"/>
      <c r="Z464" s="63"/>
      <c r="AA464" s="63"/>
      <c r="AB464" s="63"/>
      <c r="AC464" s="63"/>
      <c r="AD464" s="63"/>
      <c r="AJ464" s="63"/>
      <c r="AK464" s="63"/>
      <c r="AO464" s="63"/>
      <c r="AP464" s="63"/>
    </row>
    <row r="465" spans="2:42">
      <c r="B465" s="63"/>
      <c r="C465" s="63"/>
      <c r="D465" s="63"/>
      <c r="E465" s="66"/>
      <c r="H465" s="63"/>
      <c r="I465" s="63"/>
      <c r="J465" s="56"/>
      <c r="K465" s="63"/>
      <c r="L465" s="63"/>
      <c r="M465" s="75"/>
      <c r="N465" s="58"/>
      <c r="O465" s="77"/>
      <c r="P465" s="63"/>
      <c r="Q465" s="63"/>
      <c r="W465" s="63"/>
      <c r="X465" s="63"/>
      <c r="Z465" s="63"/>
      <c r="AA465" s="63"/>
      <c r="AB465" s="63"/>
      <c r="AC465" s="63"/>
      <c r="AD465" s="63"/>
      <c r="AJ465" s="63"/>
      <c r="AK465" s="63"/>
      <c r="AO465" s="63"/>
      <c r="AP465" s="63"/>
    </row>
    <row r="466" spans="2:42">
      <c r="B466" s="63"/>
      <c r="C466" s="63"/>
      <c r="D466" s="63"/>
      <c r="E466" s="66"/>
      <c r="H466" s="63"/>
      <c r="I466" s="63"/>
      <c r="J466" s="56"/>
      <c r="K466" s="63"/>
      <c r="L466" s="63"/>
      <c r="M466" s="75"/>
      <c r="N466" s="58"/>
      <c r="O466" s="77"/>
      <c r="P466" s="63"/>
      <c r="Q466" s="63"/>
      <c r="W466" s="63"/>
      <c r="X466" s="63"/>
      <c r="Z466" s="63"/>
      <c r="AA466" s="63"/>
      <c r="AB466" s="63"/>
      <c r="AC466" s="63"/>
      <c r="AD466" s="63"/>
      <c r="AJ466" s="63"/>
      <c r="AK466" s="63"/>
      <c r="AO466" s="63"/>
      <c r="AP466" s="63"/>
    </row>
    <row r="467" spans="2:42">
      <c r="B467" s="63"/>
      <c r="C467" s="63"/>
      <c r="D467" s="63"/>
      <c r="E467" s="66"/>
      <c r="H467" s="63"/>
      <c r="I467" s="63"/>
      <c r="J467" s="56"/>
      <c r="K467" s="63"/>
      <c r="L467" s="63"/>
      <c r="M467" s="75"/>
      <c r="N467" s="58"/>
      <c r="O467" s="77"/>
      <c r="P467" s="63"/>
      <c r="Q467" s="63"/>
      <c r="W467" s="63"/>
      <c r="X467" s="63"/>
      <c r="Z467" s="63"/>
      <c r="AA467" s="63"/>
      <c r="AB467" s="63"/>
      <c r="AC467" s="63"/>
      <c r="AD467" s="63"/>
      <c r="AJ467" s="63"/>
      <c r="AK467" s="63"/>
      <c r="AO467" s="63"/>
      <c r="AP467" s="63"/>
    </row>
    <row r="468" spans="2:42">
      <c r="B468" s="63"/>
      <c r="C468" s="63"/>
      <c r="D468" s="63"/>
      <c r="E468" s="66"/>
      <c r="H468" s="63"/>
      <c r="I468" s="63"/>
      <c r="J468" s="56"/>
      <c r="K468" s="63"/>
      <c r="L468" s="63"/>
      <c r="M468" s="75"/>
      <c r="N468" s="58"/>
      <c r="O468" s="77"/>
      <c r="P468" s="63"/>
      <c r="Q468" s="63"/>
      <c r="W468" s="63"/>
      <c r="X468" s="63"/>
      <c r="Z468" s="63"/>
      <c r="AA468" s="63"/>
      <c r="AB468" s="63"/>
      <c r="AC468" s="63"/>
      <c r="AD468" s="63"/>
      <c r="AJ468" s="63"/>
      <c r="AK468" s="63"/>
      <c r="AO468" s="63"/>
      <c r="AP468" s="63"/>
    </row>
    <row r="469" spans="2:42">
      <c r="B469" s="63"/>
      <c r="C469" s="63"/>
      <c r="D469" s="63"/>
      <c r="E469" s="66"/>
      <c r="H469" s="63"/>
      <c r="I469" s="63"/>
      <c r="J469" s="56"/>
      <c r="K469" s="63"/>
      <c r="L469" s="63"/>
      <c r="M469" s="75"/>
      <c r="N469" s="58"/>
      <c r="O469" s="77"/>
      <c r="P469" s="63"/>
      <c r="Q469" s="63"/>
      <c r="W469" s="63"/>
      <c r="X469" s="63"/>
      <c r="Z469" s="63"/>
      <c r="AA469" s="63"/>
      <c r="AB469" s="63"/>
      <c r="AC469" s="63"/>
      <c r="AD469" s="63"/>
      <c r="AJ469" s="63"/>
      <c r="AK469" s="63"/>
      <c r="AO469" s="63"/>
      <c r="AP469" s="63"/>
    </row>
    <row r="470" spans="2:42">
      <c r="B470" s="63"/>
      <c r="C470" s="63"/>
      <c r="D470" s="63"/>
      <c r="E470" s="66"/>
      <c r="H470" s="63"/>
      <c r="I470" s="63"/>
      <c r="J470" s="56"/>
      <c r="K470" s="63"/>
      <c r="L470" s="63"/>
      <c r="M470" s="75"/>
      <c r="N470" s="58"/>
      <c r="O470" s="77"/>
      <c r="P470" s="63"/>
      <c r="Q470" s="63"/>
      <c r="W470" s="63"/>
      <c r="X470" s="63"/>
      <c r="Z470" s="63"/>
      <c r="AA470" s="63"/>
      <c r="AB470" s="63"/>
      <c r="AC470" s="63"/>
      <c r="AD470" s="63"/>
      <c r="AJ470" s="63"/>
      <c r="AK470" s="63"/>
      <c r="AO470" s="63"/>
      <c r="AP470" s="63"/>
    </row>
    <row r="471" spans="2:42">
      <c r="B471" s="63"/>
      <c r="C471" s="63"/>
      <c r="D471" s="63"/>
      <c r="E471" s="66"/>
      <c r="H471" s="63"/>
      <c r="I471" s="63"/>
      <c r="J471" s="56"/>
      <c r="K471" s="63"/>
      <c r="L471" s="63"/>
      <c r="M471" s="75"/>
      <c r="N471" s="58"/>
      <c r="O471" s="77"/>
      <c r="P471" s="63"/>
      <c r="Q471" s="63"/>
      <c r="W471" s="63"/>
      <c r="X471" s="63"/>
      <c r="Z471" s="63"/>
      <c r="AA471" s="63"/>
      <c r="AB471" s="63"/>
      <c r="AC471" s="63"/>
      <c r="AD471" s="63"/>
      <c r="AJ471" s="63"/>
      <c r="AK471" s="63"/>
      <c r="AO471" s="63"/>
      <c r="AP471" s="63"/>
    </row>
    <row r="472" spans="2:42">
      <c r="B472" s="63"/>
      <c r="C472" s="63"/>
      <c r="D472" s="63"/>
      <c r="E472" s="66"/>
      <c r="H472" s="63"/>
      <c r="I472" s="63"/>
      <c r="J472" s="56"/>
      <c r="K472" s="63"/>
      <c r="L472" s="63"/>
      <c r="M472" s="75"/>
      <c r="N472" s="58"/>
      <c r="O472" s="77"/>
      <c r="P472" s="63"/>
      <c r="Q472" s="63"/>
      <c r="W472" s="63"/>
      <c r="X472" s="63"/>
      <c r="Z472" s="63"/>
      <c r="AA472" s="63"/>
      <c r="AB472" s="63"/>
      <c r="AC472" s="63"/>
      <c r="AD472" s="63"/>
      <c r="AJ472" s="63"/>
      <c r="AK472" s="63"/>
      <c r="AO472" s="63"/>
      <c r="AP472" s="63"/>
    </row>
    <row r="473" spans="2:42">
      <c r="B473" s="63"/>
      <c r="C473" s="63"/>
      <c r="D473" s="63"/>
      <c r="E473" s="66"/>
      <c r="H473" s="63"/>
      <c r="I473" s="63"/>
      <c r="J473" s="56"/>
      <c r="K473" s="63"/>
      <c r="L473" s="63"/>
      <c r="M473" s="75"/>
      <c r="N473" s="58"/>
      <c r="O473" s="77"/>
      <c r="P473" s="63"/>
      <c r="Q473" s="63"/>
      <c r="W473" s="63"/>
      <c r="X473" s="63"/>
      <c r="Z473" s="63"/>
      <c r="AA473" s="63"/>
      <c r="AB473" s="63"/>
      <c r="AC473" s="63"/>
      <c r="AD473" s="63"/>
      <c r="AJ473" s="63"/>
      <c r="AK473" s="63"/>
      <c r="AO473" s="63"/>
      <c r="AP473" s="63"/>
    </row>
    <row r="474" spans="2:42">
      <c r="B474" s="63"/>
      <c r="C474" s="63"/>
      <c r="D474" s="63"/>
      <c r="E474" s="66"/>
      <c r="H474" s="63"/>
      <c r="I474" s="63"/>
      <c r="J474" s="56"/>
      <c r="K474" s="63"/>
      <c r="L474" s="63"/>
      <c r="M474" s="75"/>
      <c r="N474" s="58"/>
      <c r="O474" s="77"/>
      <c r="P474" s="63"/>
      <c r="Q474" s="63"/>
      <c r="W474" s="63"/>
      <c r="X474" s="63"/>
      <c r="Z474" s="63"/>
      <c r="AA474" s="63"/>
      <c r="AB474" s="63"/>
      <c r="AC474" s="63"/>
      <c r="AD474" s="63"/>
      <c r="AJ474" s="63"/>
      <c r="AK474" s="63"/>
      <c r="AO474" s="63"/>
      <c r="AP474" s="63"/>
    </row>
    <row r="475" spans="2:42">
      <c r="B475" s="63"/>
      <c r="C475" s="63"/>
      <c r="D475" s="63"/>
      <c r="E475" s="66"/>
      <c r="H475" s="63"/>
      <c r="I475" s="63"/>
      <c r="J475" s="56"/>
      <c r="K475" s="63"/>
      <c r="L475" s="63"/>
      <c r="M475" s="75"/>
      <c r="N475" s="58"/>
      <c r="O475" s="77"/>
      <c r="P475" s="63"/>
      <c r="Q475" s="63"/>
      <c r="W475" s="63"/>
      <c r="X475" s="63"/>
      <c r="Z475" s="63"/>
      <c r="AA475" s="63"/>
      <c r="AB475" s="63"/>
      <c r="AC475" s="63"/>
      <c r="AD475" s="63"/>
      <c r="AJ475" s="63"/>
      <c r="AK475" s="63"/>
      <c r="AO475" s="63"/>
      <c r="AP475" s="63"/>
    </row>
    <row r="476" spans="2:42">
      <c r="B476" s="63"/>
      <c r="C476" s="63"/>
      <c r="D476" s="63"/>
      <c r="E476" s="66"/>
      <c r="H476" s="63"/>
      <c r="I476" s="63"/>
      <c r="J476" s="56"/>
      <c r="K476" s="63"/>
      <c r="L476" s="63"/>
      <c r="M476" s="75"/>
      <c r="N476" s="58"/>
      <c r="O476" s="77"/>
      <c r="P476" s="63"/>
      <c r="Q476" s="63"/>
      <c r="W476" s="63"/>
      <c r="X476" s="63"/>
      <c r="Z476" s="63"/>
      <c r="AA476" s="63"/>
      <c r="AB476" s="63"/>
      <c r="AC476" s="63"/>
      <c r="AD476" s="63"/>
      <c r="AJ476" s="63"/>
      <c r="AK476" s="63"/>
      <c r="AO476" s="63"/>
      <c r="AP476" s="63"/>
    </row>
    <row r="477" spans="2:42">
      <c r="B477" s="63"/>
      <c r="C477" s="63"/>
      <c r="D477" s="63"/>
      <c r="E477" s="66"/>
      <c r="H477" s="63"/>
      <c r="I477" s="63"/>
      <c r="J477" s="56"/>
      <c r="K477" s="63"/>
      <c r="L477" s="63"/>
      <c r="M477" s="75"/>
      <c r="N477" s="58"/>
      <c r="O477" s="77"/>
      <c r="P477" s="63"/>
      <c r="Q477" s="63"/>
      <c r="W477" s="63"/>
      <c r="X477" s="63"/>
      <c r="Z477" s="63"/>
      <c r="AA477" s="63"/>
      <c r="AB477" s="63"/>
      <c r="AC477" s="63"/>
      <c r="AD477" s="63"/>
      <c r="AJ477" s="63"/>
      <c r="AK477" s="63"/>
      <c r="AO477" s="63"/>
      <c r="AP477" s="63"/>
    </row>
    <row r="478" spans="2:42">
      <c r="B478" s="63"/>
      <c r="C478" s="63"/>
      <c r="D478" s="63"/>
      <c r="E478" s="66"/>
      <c r="H478" s="63"/>
      <c r="I478" s="63"/>
      <c r="J478" s="56"/>
      <c r="K478" s="63"/>
      <c r="L478" s="63"/>
      <c r="M478" s="75"/>
      <c r="N478" s="58"/>
      <c r="O478" s="77"/>
      <c r="P478" s="63"/>
      <c r="Q478" s="63"/>
      <c r="W478" s="63"/>
      <c r="X478" s="63"/>
      <c r="Z478" s="63"/>
      <c r="AA478" s="63"/>
      <c r="AB478" s="63"/>
      <c r="AC478" s="63"/>
      <c r="AD478" s="63"/>
      <c r="AJ478" s="63"/>
      <c r="AK478" s="63"/>
      <c r="AO478" s="63"/>
      <c r="AP478" s="63"/>
    </row>
    <row r="479" spans="2:42">
      <c r="B479" s="63"/>
      <c r="C479" s="63"/>
      <c r="D479" s="63"/>
      <c r="E479" s="66"/>
      <c r="H479" s="63"/>
      <c r="I479" s="63"/>
      <c r="J479" s="56"/>
      <c r="K479" s="63"/>
      <c r="L479" s="63"/>
      <c r="M479" s="75"/>
      <c r="N479" s="58"/>
      <c r="O479" s="77"/>
      <c r="P479" s="63"/>
      <c r="Q479" s="63"/>
      <c r="W479" s="63"/>
      <c r="X479" s="63"/>
      <c r="Z479" s="63"/>
      <c r="AA479" s="63"/>
      <c r="AB479" s="63"/>
      <c r="AC479" s="63"/>
      <c r="AD479" s="63"/>
      <c r="AJ479" s="63"/>
      <c r="AK479" s="63"/>
      <c r="AO479" s="63"/>
      <c r="AP479" s="63"/>
    </row>
    <row r="480" spans="2:42">
      <c r="B480" s="63"/>
      <c r="C480" s="63"/>
      <c r="D480" s="63"/>
      <c r="E480" s="66"/>
      <c r="H480" s="63"/>
      <c r="I480" s="63"/>
      <c r="J480" s="56"/>
      <c r="K480" s="63"/>
      <c r="L480" s="63"/>
      <c r="M480" s="75"/>
      <c r="N480" s="58"/>
      <c r="O480" s="77"/>
      <c r="P480" s="63"/>
      <c r="Q480" s="63"/>
      <c r="W480" s="63"/>
      <c r="X480" s="63"/>
      <c r="Z480" s="63"/>
      <c r="AA480" s="63"/>
      <c r="AB480" s="63"/>
      <c r="AC480" s="63"/>
      <c r="AD480" s="63"/>
      <c r="AJ480" s="63"/>
      <c r="AK480" s="63"/>
      <c r="AO480" s="63"/>
      <c r="AP480" s="63"/>
    </row>
    <row r="481" spans="2:42">
      <c r="B481" s="63"/>
      <c r="C481" s="63"/>
      <c r="D481" s="63"/>
      <c r="E481" s="66"/>
      <c r="H481" s="63"/>
      <c r="I481" s="63"/>
      <c r="J481" s="56"/>
      <c r="K481" s="63"/>
      <c r="L481" s="63"/>
      <c r="M481" s="75"/>
      <c r="N481" s="58"/>
      <c r="O481" s="77"/>
      <c r="P481" s="63"/>
      <c r="Q481" s="63"/>
      <c r="W481" s="63"/>
      <c r="X481" s="63"/>
      <c r="Z481" s="63"/>
      <c r="AA481" s="63"/>
      <c r="AB481" s="63"/>
      <c r="AC481" s="63"/>
      <c r="AD481" s="63"/>
      <c r="AJ481" s="63"/>
      <c r="AK481" s="63"/>
      <c r="AO481" s="63"/>
      <c r="AP481" s="63"/>
    </row>
    <row r="482" spans="2:42">
      <c r="B482" s="63"/>
      <c r="C482" s="63"/>
      <c r="D482" s="63"/>
      <c r="E482" s="66"/>
      <c r="H482" s="63"/>
      <c r="I482" s="63"/>
      <c r="J482" s="56"/>
      <c r="K482" s="63"/>
      <c r="L482" s="63"/>
      <c r="M482" s="75"/>
      <c r="N482" s="58"/>
      <c r="O482" s="77"/>
      <c r="P482" s="63"/>
      <c r="Q482" s="63"/>
      <c r="W482" s="63"/>
      <c r="X482" s="63"/>
      <c r="Z482" s="63"/>
      <c r="AA482" s="63"/>
      <c r="AB482" s="63"/>
      <c r="AC482" s="63"/>
      <c r="AD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H483" s="63"/>
      <c r="I483" s="63"/>
      <c r="J483" s="56"/>
      <c r="K483" s="63"/>
      <c r="L483" s="63"/>
      <c r="M483" s="75"/>
      <c r="N483" s="58"/>
      <c r="O483" s="77"/>
      <c r="P483" s="63"/>
      <c r="Q483" s="63"/>
      <c r="W483" s="63"/>
      <c r="X483" s="63"/>
      <c r="Z483" s="63"/>
      <c r="AA483" s="63"/>
      <c r="AB483" s="63"/>
      <c r="AC483" s="63"/>
      <c r="AD483" s="63"/>
      <c r="AJ483" s="63"/>
      <c r="AK483" s="63"/>
      <c r="AO483" s="63"/>
      <c r="AP483" s="63"/>
    </row>
    <row r="484" spans="2:42">
      <c r="B484" s="63"/>
      <c r="C484" s="63"/>
      <c r="D484" s="63"/>
      <c r="E484" s="66"/>
      <c r="H484" s="63"/>
      <c r="I484" s="63"/>
      <c r="J484" s="56"/>
      <c r="K484" s="63"/>
      <c r="L484" s="63"/>
      <c r="M484" s="76"/>
      <c r="N484" s="58"/>
      <c r="O484" s="77"/>
      <c r="P484" s="63"/>
      <c r="Q484" s="63"/>
      <c r="W484" s="63"/>
      <c r="X484" s="63"/>
      <c r="Z484" s="63"/>
      <c r="AA484" s="63"/>
      <c r="AB484" s="63"/>
      <c r="AC484" s="63"/>
      <c r="AD484" s="63"/>
      <c r="AJ484" s="63"/>
      <c r="AK484" s="63"/>
      <c r="AO484" s="63"/>
      <c r="AP484" s="63"/>
    </row>
    <row r="485" spans="2:42">
      <c r="B485" s="63"/>
      <c r="C485" s="63"/>
      <c r="D485" s="63"/>
      <c r="E485" s="66"/>
      <c r="H485" s="63"/>
      <c r="I485" s="63"/>
      <c r="J485" s="56"/>
      <c r="K485" s="63"/>
      <c r="L485" s="63"/>
      <c r="M485" s="76"/>
      <c r="N485" s="58"/>
      <c r="O485" s="77"/>
      <c r="P485" s="63"/>
      <c r="Q485" s="63"/>
      <c r="W485" s="63"/>
      <c r="X485" s="63"/>
      <c r="Z485" s="63"/>
      <c r="AA485" s="63"/>
      <c r="AB485" s="63"/>
      <c r="AC485" s="63"/>
      <c r="AD485" s="63"/>
      <c r="AJ485" s="63"/>
      <c r="AK485" s="63"/>
      <c r="AO485" s="63"/>
      <c r="AP485" s="63"/>
    </row>
    <row r="486" spans="2:42">
      <c r="B486" s="63"/>
      <c r="C486" s="63"/>
      <c r="D486" s="63"/>
      <c r="E486" s="66"/>
      <c r="H486" s="63"/>
      <c r="I486" s="63"/>
      <c r="J486" s="56"/>
      <c r="K486" s="63"/>
      <c r="L486" s="63"/>
      <c r="M486" s="76"/>
      <c r="N486" s="58"/>
      <c r="O486" s="77"/>
      <c r="P486" s="63"/>
      <c r="Q486" s="63"/>
      <c r="W486" s="63"/>
      <c r="X486" s="63"/>
      <c r="Z486" s="63"/>
      <c r="AA486" s="63"/>
      <c r="AB486" s="63"/>
      <c r="AC486" s="63"/>
      <c r="AD486" s="63"/>
      <c r="AJ486" s="63"/>
      <c r="AK486" s="63"/>
      <c r="AO486" s="63"/>
      <c r="AP486" s="63"/>
    </row>
    <row r="487" spans="2:42">
      <c r="B487" s="63"/>
      <c r="C487" s="63"/>
      <c r="D487" s="63"/>
      <c r="E487" s="66"/>
      <c r="H487" s="63"/>
      <c r="I487" s="63"/>
      <c r="J487" s="56"/>
      <c r="K487" s="63"/>
      <c r="L487" s="63"/>
      <c r="M487" s="76"/>
      <c r="N487" s="58"/>
      <c r="O487" s="77"/>
      <c r="P487" s="63"/>
      <c r="Q487" s="63"/>
      <c r="W487" s="63"/>
      <c r="X487" s="63"/>
      <c r="Z487" s="63"/>
      <c r="AA487" s="63"/>
      <c r="AB487" s="63"/>
      <c r="AC487" s="63"/>
      <c r="AD487" s="63"/>
      <c r="AJ487" s="63"/>
      <c r="AK487" s="63"/>
      <c r="AO487" s="63"/>
      <c r="AP487" s="63"/>
    </row>
    <row r="488" spans="2:42">
      <c r="B488" s="63"/>
      <c r="C488" s="63"/>
      <c r="D488" s="63"/>
      <c r="E488" s="66"/>
      <c r="H488" s="63"/>
      <c r="I488" s="63"/>
      <c r="J488" s="56"/>
      <c r="K488" s="63"/>
      <c r="L488" s="63"/>
      <c r="M488" s="76"/>
      <c r="N488" s="58"/>
      <c r="O488" s="77"/>
      <c r="P488" s="63"/>
      <c r="Q488" s="63"/>
      <c r="W488" s="63"/>
      <c r="X488" s="63"/>
      <c r="Z488" s="63"/>
      <c r="AA488" s="63"/>
      <c r="AB488" s="63"/>
      <c r="AC488" s="63"/>
      <c r="AD488" s="63"/>
      <c r="AJ488" s="63"/>
      <c r="AK488" s="63"/>
      <c r="AO488" s="63"/>
      <c r="AP488" s="63"/>
    </row>
    <row r="489" spans="2:42">
      <c r="B489" s="63"/>
      <c r="C489" s="63"/>
      <c r="D489" s="63"/>
      <c r="E489" s="66"/>
      <c r="H489" s="63"/>
      <c r="I489" s="63"/>
      <c r="J489" s="56"/>
      <c r="K489" s="63"/>
      <c r="L489" s="63"/>
      <c r="M489" s="76"/>
      <c r="N489" s="58"/>
      <c r="O489" s="77"/>
      <c r="P489" s="63"/>
      <c r="Q489" s="63"/>
      <c r="W489" s="63"/>
      <c r="X489" s="63"/>
      <c r="Z489" s="63"/>
      <c r="AA489" s="63"/>
      <c r="AB489" s="63"/>
      <c r="AC489" s="63"/>
      <c r="AD489" s="63"/>
      <c r="AJ489" s="63"/>
      <c r="AK489" s="63"/>
      <c r="AO489" s="63"/>
      <c r="AP489" s="63"/>
    </row>
    <row r="490" spans="2:42">
      <c r="B490" s="63"/>
      <c r="C490" s="63"/>
      <c r="D490" s="63"/>
      <c r="E490" s="66"/>
      <c r="H490" s="63"/>
      <c r="I490" s="63"/>
      <c r="J490" s="56"/>
      <c r="K490" s="63"/>
      <c r="L490" s="63"/>
      <c r="M490" s="76"/>
      <c r="N490" s="58"/>
      <c r="O490" s="77"/>
      <c r="P490" s="63"/>
      <c r="Q490" s="63"/>
      <c r="W490" s="63"/>
      <c r="X490" s="63"/>
      <c r="Z490" s="63"/>
      <c r="AA490" s="63"/>
      <c r="AB490" s="63"/>
      <c r="AC490" s="63"/>
      <c r="AD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63"/>
      <c r="J491" s="56"/>
      <c r="K491" s="63"/>
      <c r="L491" s="63"/>
      <c r="M491" s="76"/>
      <c r="N491" s="58"/>
      <c r="O491" s="77"/>
      <c r="P491" s="63"/>
      <c r="Q491" s="63"/>
      <c r="W491" s="63"/>
      <c r="X491" s="63"/>
      <c r="Z491" s="63"/>
      <c r="AA491" s="63"/>
      <c r="AB491" s="63"/>
      <c r="AC491" s="63"/>
      <c r="AD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63"/>
      <c r="J492" s="56"/>
      <c r="K492" s="63"/>
      <c r="L492" s="63"/>
      <c r="M492" s="76"/>
      <c r="N492" s="58"/>
      <c r="O492" s="77"/>
      <c r="P492" s="63"/>
      <c r="Q492" s="63"/>
      <c r="W492" s="63"/>
      <c r="X492" s="63"/>
      <c r="Z492" s="63"/>
      <c r="AA492" s="63"/>
      <c r="AB492" s="63"/>
      <c r="AC492" s="63"/>
      <c r="AD492" s="63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63"/>
      <c r="J493" s="56"/>
      <c r="K493" s="63"/>
      <c r="L493" s="63"/>
      <c r="M493" s="76"/>
      <c r="N493" s="58"/>
      <c r="O493" s="77"/>
      <c r="P493" s="63"/>
      <c r="Q493" s="63"/>
      <c r="W493" s="63"/>
      <c r="X493" s="63"/>
      <c r="Z493" s="63"/>
      <c r="AA493" s="63"/>
      <c r="AB493" s="63"/>
      <c r="AC493" s="63"/>
      <c r="AD493" s="63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63"/>
      <c r="J494" s="56"/>
      <c r="K494" s="63"/>
      <c r="L494" s="63"/>
      <c r="M494" s="75"/>
      <c r="N494" s="58"/>
      <c r="O494" s="77"/>
      <c r="P494" s="63"/>
      <c r="Q494" s="63"/>
      <c r="W494" s="63"/>
      <c r="X494" s="63"/>
      <c r="Z494" s="63"/>
      <c r="AA494" s="63"/>
      <c r="AB494" s="63"/>
      <c r="AC494" s="63"/>
      <c r="AD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5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5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5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5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5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L514" s="63"/>
      <c r="M514" s="77"/>
      <c r="O514" s="62"/>
      <c r="P514" s="63"/>
      <c r="Q514" s="63"/>
      <c r="V514" s="63"/>
      <c r="W514" s="58"/>
      <c r="X514" s="63"/>
      <c r="Z514" s="63"/>
      <c r="AA514" s="63"/>
      <c r="AC514" s="63"/>
      <c r="AD514" s="63"/>
      <c r="AJ514" s="63"/>
      <c r="AK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L515" s="63"/>
      <c r="M515" s="77"/>
      <c r="O515" s="62"/>
      <c r="P515" s="63"/>
      <c r="Q515" s="63"/>
      <c r="V515" s="63"/>
      <c r="W515" s="58"/>
      <c r="X515" s="63"/>
      <c r="Z515" s="63"/>
      <c r="AA515" s="63"/>
      <c r="AB515" s="63"/>
      <c r="AC515" s="63"/>
      <c r="AD515" s="63"/>
      <c r="AJ515" s="63"/>
      <c r="AK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L516" s="63"/>
      <c r="M516" s="77"/>
      <c r="O516" s="62"/>
      <c r="P516" s="63"/>
      <c r="Q516" s="63"/>
      <c r="V516" s="63"/>
      <c r="W516" s="58"/>
      <c r="X516" s="63"/>
      <c r="Z516" s="63"/>
      <c r="AA516" s="63"/>
      <c r="AB516" s="63"/>
      <c r="AC516" s="63"/>
      <c r="AD516" s="63"/>
      <c r="AJ516" s="63"/>
      <c r="AK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7"/>
      <c r="O517" s="62"/>
      <c r="P517" s="63"/>
      <c r="Q517" s="63"/>
      <c r="V517" s="63"/>
      <c r="W517" s="58"/>
      <c r="X517" s="63"/>
      <c r="Z517" s="63"/>
      <c r="AA517" s="63"/>
      <c r="AB517" s="63"/>
      <c r="AC517" s="63"/>
      <c r="AD517" s="63"/>
      <c r="AJ517" s="63"/>
      <c r="AK517" s="63"/>
    </row>
    <row r="518" spans="2:42" s="60" customFormat="1">
      <c r="B518" s="78"/>
      <c r="C518" s="78"/>
      <c r="D518" s="78"/>
      <c r="E518" s="66"/>
      <c r="H518" s="63"/>
      <c r="I518" s="78"/>
      <c r="J518" s="79"/>
      <c r="K518" s="78"/>
      <c r="L518" s="78"/>
      <c r="M518" s="80"/>
      <c r="O518" s="81"/>
      <c r="P518" s="78"/>
      <c r="Q518" s="78"/>
      <c r="V518" s="78"/>
      <c r="W518" s="82"/>
      <c r="X518" s="78"/>
      <c r="Z518" s="78"/>
      <c r="AA518" s="78"/>
      <c r="AC518" s="78"/>
      <c r="AD518" s="78"/>
      <c r="AJ518" s="78"/>
      <c r="AK518" s="78"/>
      <c r="AN518" s="82"/>
    </row>
    <row r="519" spans="2:42" s="60" customFormat="1">
      <c r="B519" s="78"/>
      <c r="C519" s="78"/>
      <c r="D519" s="78"/>
      <c r="E519" s="66"/>
      <c r="H519" s="63"/>
      <c r="I519" s="78"/>
      <c r="J519" s="79"/>
      <c r="K519" s="78"/>
      <c r="L519" s="78"/>
      <c r="M519" s="80"/>
      <c r="O519" s="81"/>
      <c r="P519" s="78"/>
      <c r="Q519" s="78"/>
      <c r="V519" s="78"/>
      <c r="W519" s="82"/>
      <c r="X519" s="78"/>
      <c r="Z519" s="78"/>
      <c r="AA519" s="78"/>
      <c r="AC519" s="78"/>
      <c r="AD519" s="78"/>
      <c r="AJ519" s="78"/>
      <c r="AK519" s="78"/>
      <c r="AN519" s="82"/>
    </row>
    <row r="520" spans="2:42" s="60" customFormat="1">
      <c r="B520" s="78"/>
      <c r="C520" s="78"/>
      <c r="D520" s="78"/>
      <c r="E520" s="66"/>
      <c r="H520" s="63"/>
      <c r="I520" s="78"/>
      <c r="J520" s="79"/>
      <c r="K520" s="78"/>
      <c r="L520" s="78"/>
      <c r="M520" s="80"/>
      <c r="O520" s="81"/>
      <c r="P520" s="78"/>
      <c r="Q520" s="78"/>
      <c r="V520" s="78"/>
      <c r="W520" s="82"/>
      <c r="X520" s="78"/>
      <c r="Z520" s="78"/>
      <c r="AA520" s="78"/>
      <c r="AC520" s="78"/>
      <c r="AD520" s="78"/>
      <c r="AJ520" s="78"/>
      <c r="AK520" s="78"/>
      <c r="AN520" s="82"/>
    </row>
    <row r="521" spans="2:42" s="60" customFormat="1">
      <c r="B521" s="78"/>
      <c r="C521" s="78"/>
      <c r="D521" s="78"/>
      <c r="E521" s="66"/>
      <c r="H521" s="63"/>
      <c r="I521" s="78"/>
      <c r="J521" s="79"/>
      <c r="K521" s="78"/>
      <c r="L521" s="78"/>
      <c r="M521" s="80"/>
      <c r="O521" s="81"/>
      <c r="P521" s="78"/>
      <c r="Q521" s="78"/>
      <c r="V521" s="78"/>
      <c r="W521" s="82"/>
      <c r="X521" s="78"/>
      <c r="Z521" s="78"/>
      <c r="AA521" s="78"/>
      <c r="AC521" s="78"/>
      <c r="AD521" s="78"/>
      <c r="AJ521" s="78"/>
      <c r="AK521" s="78"/>
      <c r="AN521" s="82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7"/>
      <c r="O522" s="62"/>
      <c r="P522" s="63"/>
      <c r="Q522" s="63"/>
      <c r="W522" s="63"/>
      <c r="X522" s="63"/>
      <c r="Z522" s="63"/>
      <c r="AA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7"/>
      <c r="O523" s="62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7"/>
      <c r="O524" s="62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7"/>
      <c r="O525" s="62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 s="60" customFormat="1">
      <c r="B526" s="78"/>
      <c r="C526" s="78"/>
      <c r="D526" s="78"/>
      <c r="E526" s="66"/>
      <c r="H526" s="63"/>
      <c r="I526" s="78"/>
      <c r="J526" s="79"/>
      <c r="K526" s="78"/>
      <c r="L526" s="78"/>
      <c r="M526" s="80"/>
      <c r="O526" s="81"/>
      <c r="P526" s="78"/>
      <c r="Q526" s="78"/>
      <c r="W526" s="78"/>
      <c r="X526" s="78"/>
      <c r="Z526" s="78"/>
      <c r="AA526" s="78"/>
      <c r="AC526" s="78"/>
      <c r="AD526" s="78"/>
      <c r="AJ526" s="78"/>
      <c r="AK526" s="78"/>
      <c r="AN526" s="82"/>
      <c r="AO526" s="78"/>
      <c r="AP526" s="78"/>
    </row>
    <row r="527" spans="2:42" s="60" customFormat="1">
      <c r="B527" s="78"/>
      <c r="C527" s="78"/>
      <c r="D527" s="78"/>
      <c r="E527" s="66"/>
      <c r="H527" s="63"/>
      <c r="I527" s="78"/>
      <c r="J527" s="79"/>
      <c r="K527" s="78"/>
      <c r="L527" s="78"/>
      <c r="M527" s="80"/>
      <c r="O527" s="81"/>
      <c r="P527" s="78"/>
      <c r="Q527" s="78"/>
      <c r="W527" s="78"/>
      <c r="X527" s="78"/>
      <c r="Z527" s="78"/>
      <c r="AA527" s="78"/>
      <c r="AC527" s="78"/>
      <c r="AD527" s="78"/>
      <c r="AJ527" s="78"/>
      <c r="AK527" s="78"/>
      <c r="AN527" s="82"/>
      <c r="AO527" s="78"/>
      <c r="AP527" s="78"/>
    </row>
    <row r="528" spans="2:42" s="60" customFormat="1">
      <c r="B528" s="78"/>
      <c r="C528" s="78"/>
      <c r="D528" s="78"/>
      <c r="E528" s="66"/>
      <c r="H528" s="63"/>
      <c r="I528" s="78"/>
      <c r="J528" s="79"/>
      <c r="K528" s="78"/>
      <c r="L528" s="78"/>
      <c r="M528" s="80"/>
      <c r="O528" s="81"/>
      <c r="P528" s="78"/>
      <c r="Q528" s="78"/>
      <c r="W528" s="78"/>
      <c r="X528" s="78"/>
      <c r="Z528" s="78"/>
      <c r="AA528" s="78"/>
      <c r="AC528" s="78"/>
      <c r="AD528" s="78"/>
      <c r="AJ528" s="78"/>
      <c r="AK528" s="78"/>
      <c r="AN528" s="82"/>
      <c r="AO528" s="78"/>
      <c r="AP528" s="78"/>
    </row>
    <row r="529" spans="2:42" s="60" customFormat="1">
      <c r="B529" s="78"/>
      <c r="C529" s="78"/>
      <c r="D529" s="78"/>
      <c r="E529" s="66"/>
      <c r="H529" s="63"/>
      <c r="I529" s="78"/>
      <c r="J529" s="79"/>
      <c r="K529" s="78"/>
      <c r="L529" s="78"/>
      <c r="M529" s="80"/>
      <c r="O529" s="81"/>
      <c r="P529" s="78"/>
      <c r="Q529" s="78"/>
      <c r="W529" s="78"/>
      <c r="X529" s="78"/>
      <c r="Z529" s="78"/>
      <c r="AA529" s="78"/>
      <c r="AC529" s="78"/>
      <c r="AD529" s="78"/>
      <c r="AJ529" s="78"/>
      <c r="AK529" s="78"/>
      <c r="AN529" s="82"/>
      <c r="AO529" s="78"/>
      <c r="AP529" s="78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65"/>
      <c r="O530" s="63"/>
      <c r="P530" s="63"/>
      <c r="Q530" s="63"/>
      <c r="W530" s="63"/>
      <c r="X530" s="63"/>
      <c r="Z530" s="63"/>
      <c r="AA530" s="63"/>
      <c r="AC530" s="63"/>
      <c r="AD530" s="63"/>
      <c r="AI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65"/>
      <c r="O531" s="63"/>
      <c r="P531" s="63"/>
      <c r="Q531" s="63"/>
      <c r="W531" s="63"/>
      <c r="X531" s="63"/>
      <c r="Z531" s="63"/>
      <c r="AA531" s="63"/>
      <c r="AC531" s="63"/>
      <c r="AD531" s="63"/>
      <c r="AI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65"/>
      <c r="O532" s="63"/>
      <c r="P532" s="63"/>
      <c r="Q532" s="63"/>
      <c r="W532" s="63"/>
      <c r="X532" s="63"/>
      <c r="Z532" s="63"/>
      <c r="AA532" s="63"/>
      <c r="AC532" s="63"/>
      <c r="AD532" s="63"/>
      <c r="AI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65"/>
      <c r="O533" s="63"/>
      <c r="P533" s="63"/>
      <c r="Q533" s="63"/>
      <c r="W533" s="63"/>
      <c r="X533" s="63"/>
      <c r="Z533" s="63"/>
      <c r="AA533" s="63"/>
      <c r="AC533" s="63"/>
      <c r="AD533" s="63"/>
      <c r="AI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65"/>
      <c r="O534" s="63"/>
      <c r="P534" s="63"/>
      <c r="Q534" s="63"/>
      <c r="W534" s="63"/>
      <c r="X534" s="63"/>
      <c r="Z534" s="63"/>
      <c r="AA534" s="63"/>
      <c r="AC534" s="63"/>
      <c r="AD534" s="63"/>
      <c r="AI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65"/>
      <c r="O535" s="63"/>
      <c r="P535" s="63"/>
      <c r="Q535" s="63"/>
      <c r="W535" s="63"/>
      <c r="X535" s="63"/>
      <c r="Z535" s="63"/>
      <c r="AA535" s="63"/>
      <c r="AC535" s="63"/>
      <c r="AD535" s="63"/>
      <c r="AI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L536" s="63"/>
      <c r="M536" s="65"/>
      <c r="O536" s="63"/>
      <c r="P536" s="63"/>
      <c r="Q536" s="63"/>
      <c r="W536" s="63"/>
      <c r="X536" s="63"/>
      <c r="Z536" s="63"/>
      <c r="AA536" s="63"/>
      <c r="AC536" s="63"/>
      <c r="AD536" s="63"/>
      <c r="AI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L537" s="63"/>
      <c r="M537" s="65"/>
      <c r="O537" s="63"/>
      <c r="P537" s="63"/>
      <c r="Q537" s="63"/>
      <c r="W537" s="63"/>
      <c r="X537" s="63"/>
      <c r="Z537" s="63"/>
      <c r="AA537" s="63"/>
      <c r="AC537" s="63"/>
      <c r="AD537" s="63"/>
      <c r="AI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L538" s="63"/>
      <c r="M538" s="65"/>
      <c r="O538" s="63"/>
      <c r="P538" s="63"/>
      <c r="Q538" s="63"/>
      <c r="W538" s="63"/>
      <c r="X538" s="63"/>
      <c r="Z538" s="63"/>
      <c r="AA538" s="63"/>
      <c r="AC538" s="63"/>
      <c r="AD538" s="63"/>
      <c r="AI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L539" s="63"/>
      <c r="M539" s="65"/>
      <c r="O539" s="63"/>
      <c r="P539" s="63"/>
      <c r="Q539" s="63"/>
      <c r="W539" s="63"/>
      <c r="X539" s="63"/>
      <c r="Z539" s="63"/>
      <c r="AA539" s="63"/>
      <c r="AC539" s="63"/>
      <c r="AD539" s="63"/>
      <c r="AI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L540" s="63"/>
      <c r="M540" s="65"/>
      <c r="O540" s="63"/>
      <c r="P540" s="63"/>
      <c r="Q540" s="63"/>
      <c r="W540" s="63"/>
      <c r="X540" s="63"/>
      <c r="Z540" s="63"/>
      <c r="AA540" s="63"/>
      <c r="AC540" s="63"/>
      <c r="AD540" s="63"/>
      <c r="AI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L541" s="63"/>
      <c r="M541" s="65"/>
      <c r="O541" s="63"/>
      <c r="P541" s="63"/>
      <c r="Q541" s="63"/>
      <c r="W541" s="63"/>
      <c r="X541" s="63"/>
      <c r="Z541" s="63"/>
      <c r="AA541" s="63"/>
      <c r="AC541" s="63"/>
      <c r="AD541" s="63"/>
      <c r="AI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65"/>
      <c r="O542" s="63"/>
      <c r="P542" s="63"/>
      <c r="Q542" s="63"/>
      <c r="W542" s="63"/>
      <c r="X542" s="63"/>
      <c r="Z542" s="63"/>
      <c r="AA542" s="63"/>
      <c r="AC542" s="63"/>
      <c r="AD542" s="63"/>
      <c r="AI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65"/>
      <c r="O543" s="63"/>
      <c r="P543" s="63"/>
      <c r="Q543" s="63"/>
      <c r="W543" s="63"/>
      <c r="X543" s="63"/>
      <c r="Z543" s="63"/>
      <c r="AA543" s="63"/>
      <c r="AC543" s="63"/>
      <c r="AD543" s="63"/>
      <c r="AI543" s="63"/>
      <c r="AJ543" s="63"/>
      <c r="AK543" s="63"/>
      <c r="AO543" s="63"/>
      <c r="AP543" s="63"/>
    </row>
    <row r="544" spans="2:42">
      <c r="B544" s="56"/>
      <c r="C544" s="63"/>
      <c r="D544" s="63"/>
      <c r="E544" s="66"/>
      <c r="H544" s="63"/>
      <c r="I544" s="56"/>
      <c r="J544" s="56"/>
      <c r="K544" s="63"/>
      <c r="L544" s="63"/>
      <c r="M544" s="65"/>
      <c r="O544" s="63"/>
      <c r="P544" s="63"/>
      <c r="Q544" s="63"/>
      <c r="W544" s="63"/>
      <c r="X544" s="63"/>
      <c r="Z544" s="63"/>
      <c r="AA544" s="63"/>
      <c r="AC544" s="63"/>
      <c r="AD544" s="63"/>
      <c r="AI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O545" s="62"/>
      <c r="P545" s="63"/>
      <c r="Q545" s="63"/>
      <c r="V545" s="63"/>
      <c r="W545" s="58"/>
      <c r="X545" s="63"/>
      <c r="Z545" s="63"/>
      <c r="AA545" s="63"/>
      <c r="AC545" s="63"/>
      <c r="AD545" s="63"/>
      <c r="AI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P546" s="63"/>
      <c r="Q546" s="63"/>
      <c r="W546" s="63"/>
      <c r="X546" s="63"/>
      <c r="Z546" s="63"/>
      <c r="AA546" s="63"/>
      <c r="AC546" s="63"/>
      <c r="AD546" s="63"/>
      <c r="AI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P547" s="63"/>
      <c r="Q547" s="63"/>
      <c r="W547" s="63"/>
      <c r="X547" s="63"/>
      <c r="Z547" s="63"/>
      <c r="AA547" s="63"/>
      <c r="AC547" s="63"/>
      <c r="AD547" s="63"/>
      <c r="AI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P548" s="63"/>
      <c r="Q548" s="63"/>
      <c r="W548" s="63"/>
      <c r="X548" s="63"/>
      <c r="Z548" s="63"/>
      <c r="AA548" s="63"/>
      <c r="AC548" s="63"/>
      <c r="AD548" s="63"/>
      <c r="AI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P549" s="63"/>
      <c r="Q549" s="63"/>
      <c r="W549" s="63"/>
      <c r="X549" s="63"/>
      <c r="Z549" s="63"/>
      <c r="AA549" s="63"/>
      <c r="AC549" s="63"/>
      <c r="AD549" s="63"/>
      <c r="AI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P550" s="63"/>
      <c r="Q550" s="63"/>
      <c r="W550" s="63"/>
      <c r="X550" s="63"/>
      <c r="Z550" s="63"/>
      <c r="AA550" s="63"/>
      <c r="AC550" s="63"/>
      <c r="AD550" s="63"/>
      <c r="AI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P551" s="63"/>
      <c r="Q551" s="63"/>
      <c r="W551" s="63"/>
      <c r="X551" s="63"/>
      <c r="Z551" s="63"/>
      <c r="AA551" s="63"/>
      <c r="AC551" s="63"/>
      <c r="AD551" s="63"/>
      <c r="AI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P552" s="63"/>
      <c r="Q552" s="63"/>
      <c r="W552" s="63"/>
      <c r="X552" s="63"/>
      <c r="Z552" s="63"/>
      <c r="AA552" s="63"/>
      <c r="AC552" s="63"/>
      <c r="AD552" s="63"/>
      <c r="AI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P553" s="63"/>
      <c r="Q553" s="63"/>
      <c r="W553" s="63"/>
      <c r="X553" s="63"/>
      <c r="Z553" s="63"/>
      <c r="AA553" s="63"/>
      <c r="AC553" s="63"/>
      <c r="AD553" s="63"/>
      <c r="AI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P554" s="63"/>
      <c r="Q554" s="63"/>
      <c r="W554" s="63"/>
      <c r="X554" s="63"/>
      <c r="Z554" s="63"/>
      <c r="AA554" s="63"/>
      <c r="AC554" s="63"/>
      <c r="AD554" s="63"/>
      <c r="AI554" s="63"/>
      <c r="AJ554" s="63"/>
      <c r="AK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P555" s="63"/>
      <c r="Q555" s="63"/>
      <c r="R555" s="58"/>
      <c r="S555" s="58"/>
      <c r="T555" s="58"/>
      <c r="W555" s="63"/>
      <c r="X555" s="63"/>
      <c r="Z555" s="63"/>
      <c r="AA555" s="63"/>
      <c r="AC555" s="63"/>
      <c r="AD555" s="63"/>
      <c r="AI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P556" s="63"/>
      <c r="Q556" s="63"/>
      <c r="R556" s="58"/>
      <c r="S556" s="58"/>
      <c r="T556" s="58"/>
      <c r="W556" s="63"/>
      <c r="X556" s="63"/>
      <c r="Z556" s="63"/>
      <c r="AA556" s="63"/>
      <c r="AC556" s="63"/>
      <c r="AD556" s="63"/>
      <c r="AJ556" s="63"/>
      <c r="AK556" s="63"/>
      <c r="AO556" s="63"/>
      <c r="AP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L557" s="63"/>
      <c r="P557" s="63"/>
      <c r="Q557" s="63"/>
      <c r="R557" s="58"/>
      <c r="S557" s="58"/>
      <c r="T557" s="58"/>
      <c r="W557" s="63"/>
      <c r="X557" s="63"/>
      <c r="Z557" s="63"/>
      <c r="AA557" s="63"/>
      <c r="AC557" s="63"/>
      <c r="AD557" s="63"/>
      <c r="AJ557" s="63"/>
      <c r="AK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L558" s="63"/>
      <c r="P558" s="63"/>
      <c r="Q558" s="63"/>
      <c r="R558" s="58"/>
      <c r="S558" s="58"/>
      <c r="T558" s="58"/>
      <c r="W558" s="63"/>
      <c r="X558" s="63"/>
      <c r="Z558" s="63"/>
      <c r="AA558" s="63"/>
      <c r="AC558" s="63"/>
      <c r="AD558" s="63"/>
      <c r="AJ558" s="63"/>
      <c r="AK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L559" s="63"/>
      <c r="P559" s="63"/>
      <c r="Q559" s="63"/>
      <c r="R559" s="58"/>
      <c r="S559" s="58"/>
      <c r="T559" s="58"/>
      <c r="W559" s="63"/>
      <c r="X559" s="63"/>
      <c r="Z559" s="63"/>
      <c r="AA559" s="63"/>
      <c r="AC559" s="63"/>
      <c r="AD559" s="63"/>
      <c r="AJ559" s="63"/>
      <c r="AK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L560" s="63"/>
      <c r="P560" s="63"/>
      <c r="Q560" s="63"/>
      <c r="R560" s="58"/>
      <c r="S560" s="58"/>
      <c r="T560" s="58"/>
      <c r="W560" s="63"/>
      <c r="X560" s="63"/>
      <c r="Z560" s="63"/>
      <c r="AA560" s="63"/>
      <c r="AC560" s="63"/>
      <c r="AD560" s="63"/>
      <c r="AJ560" s="63"/>
      <c r="AK560" s="63"/>
    </row>
    <row r="561" spans="2:41">
      <c r="B561" s="63"/>
      <c r="C561" s="63"/>
      <c r="D561" s="63"/>
      <c r="E561" s="66"/>
      <c r="H561" s="63"/>
      <c r="I561" s="63"/>
      <c r="J561" s="56"/>
      <c r="K561" s="63"/>
      <c r="L561" s="63"/>
      <c r="P561" s="63"/>
      <c r="Q561" s="63"/>
      <c r="R561" s="58"/>
      <c r="S561" s="58"/>
      <c r="T561" s="58"/>
      <c r="W561" s="63"/>
      <c r="X561" s="63"/>
      <c r="Z561" s="63"/>
      <c r="AA561" s="63"/>
      <c r="AC561" s="63"/>
      <c r="AD561" s="63"/>
      <c r="AJ561" s="63"/>
      <c r="AK561" s="63"/>
    </row>
    <row r="562" spans="2:41">
      <c r="B562" s="63"/>
      <c r="C562" s="63"/>
      <c r="D562" s="63"/>
      <c r="E562" s="66"/>
      <c r="H562" s="63"/>
      <c r="I562" s="63"/>
      <c r="J562" s="56"/>
      <c r="K562" s="63"/>
      <c r="L562" s="63"/>
      <c r="P562" s="63"/>
      <c r="Q562" s="63"/>
      <c r="R562" s="58"/>
      <c r="S562" s="58"/>
      <c r="T562" s="58"/>
      <c r="W562" s="63"/>
      <c r="X562" s="63"/>
      <c r="Z562" s="63"/>
      <c r="AA562" s="63"/>
      <c r="AC562" s="63"/>
      <c r="AD562" s="63"/>
      <c r="AJ562" s="63"/>
      <c r="AK562" s="63"/>
    </row>
    <row r="563" spans="2:41">
      <c r="B563" s="63"/>
      <c r="C563" s="63"/>
      <c r="D563" s="63"/>
      <c r="E563" s="66"/>
      <c r="H563" s="63"/>
      <c r="I563" s="63"/>
      <c r="J563" s="56"/>
      <c r="K563" s="63"/>
      <c r="L563" s="63"/>
      <c r="P563" s="63"/>
      <c r="Q563" s="63"/>
      <c r="R563" s="58"/>
      <c r="S563" s="58"/>
      <c r="T563" s="58"/>
      <c r="W563" s="63"/>
      <c r="X563" s="63"/>
      <c r="Z563" s="63"/>
      <c r="AA563" s="63"/>
      <c r="AC563" s="63"/>
      <c r="AD563" s="63"/>
      <c r="AJ563" s="63"/>
      <c r="AK563" s="63"/>
    </row>
    <row r="564" spans="2:41">
      <c r="B564" s="63"/>
      <c r="C564" s="63"/>
      <c r="D564" s="63"/>
      <c r="E564" s="66"/>
      <c r="H564" s="63"/>
      <c r="I564" s="62"/>
      <c r="J564" s="56"/>
      <c r="K564" s="63"/>
      <c r="M564" s="71"/>
      <c r="W564" s="63"/>
      <c r="Z564" s="63"/>
      <c r="AA564" s="63"/>
      <c r="AC564" s="63"/>
      <c r="AD564" s="63"/>
      <c r="AI564" s="63"/>
      <c r="AO564" s="63"/>
    </row>
    <row r="565" spans="2:41">
      <c r="B565" s="63"/>
      <c r="C565" s="63"/>
      <c r="D565" s="63"/>
      <c r="E565" s="66"/>
      <c r="H565" s="63"/>
      <c r="I565" s="62"/>
      <c r="J565" s="56"/>
      <c r="K565" s="63"/>
      <c r="M565" s="71"/>
      <c r="W565" s="63"/>
      <c r="Z565" s="63"/>
      <c r="AA565" s="63"/>
      <c r="AC565" s="63"/>
      <c r="AD565" s="63"/>
      <c r="AI565" s="63"/>
      <c r="AO565" s="63"/>
    </row>
    <row r="566" spans="2:41">
      <c r="B566" s="63"/>
      <c r="C566" s="63"/>
      <c r="D566" s="63"/>
      <c r="E566" s="66"/>
      <c r="H566" s="63"/>
      <c r="I566" s="62"/>
      <c r="J566" s="56"/>
      <c r="K566" s="63"/>
      <c r="M566" s="71"/>
      <c r="W566" s="63"/>
      <c r="Z566" s="63"/>
      <c r="AA566" s="63"/>
      <c r="AC566" s="63"/>
      <c r="AD566" s="63"/>
      <c r="AI566" s="63"/>
      <c r="AO566" s="63"/>
    </row>
    <row r="567" spans="2:41">
      <c r="B567" s="63"/>
      <c r="C567" s="63"/>
      <c r="D567" s="63"/>
      <c r="E567" s="66"/>
      <c r="H567" s="63"/>
      <c r="I567" s="62"/>
      <c r="J567" s="56"/>
      <c r="K567" s="63"/>
      <c r="M567" s="71"/>
      <c r="W567" s="63"/>
      <c r="Z567" s="63"/>
      <c r="AA567" s="63"/>
      <c r="AC567" s="63"/>
      <c r="AD567" s="63"/>
      <c r="AI567" s="63"/>
      <c r="AO567" s="63"/>
    </row>
    <row r="568" spans="2:41">
      <c r="B568" s="63"/>
      <c r="C568" s="63"/>
      <c r="D568" s="63"/>
      <c r="E568" s="66"/>
      <c r="H568" s="63"/>
      <c r="I568" s="62"/>
      <c r="J568" s="56"/>
      <c r="K568" s="63"/>
      <c r="M568" s="71"/>
      <c r="W568" s="63"/>
      <c r="Z568" s="63"/>
      <c r="AA568" s="63"/>
      <c r="AC568" s="63"/>
      <c r="AD568" s="63"/>
      <c r="AI568" s="63"/>
      <c r="AO568" s="63"/>
    </row>
    <row r="569" spans="2:41">
      <c r="B569" s="63"/>
      <c r="C569" s="63"/>
      <c r="D569" s="63"/>
      <c r="E569" s="66"/>
      <c r="H569" s="63"/>
      <c r="I569" s="62"/>
      <c r="J569" s="56"/>
      <c r="K569" s="63"/>
      <c r="M569" s="71"/>
      <c r="W569" s="63"/>
      <c r="Z569" s="63"/>
      <c r="AA569" s="63"/>
      <c r="AC569" s="63"/>
      <c r="AD569" s="63"/>
      <c r="AI569" s="63"/>
      <c r="AO569" s="63"/>
    </row>
    <row r="570" spans="2:41">
      <c r="B570" s="63"/>
      <c r="C570" s="63"/>
      <c r="D570" s="63"/>
      <c r="E570" s="66"/>
      <c r="H570" s="63"/>
      <c r="I570" s="62"/>
      <c r="J570" s="56"/>
      <c r="K570" s="63"/>
      <c r="M570" s="71"/>
      <c r="W570" s="63"/>
      <c r="Z570" s="63"/>
      <c r="AA570" s="63"/>
      <c r="AC570" s="63"/>
      <c r="AD570" s="63"/>
      <c r="AI570" s="63"/>
      <c r="AO570" s="63"/>
    </row>
    <row r="571" spans="2:41">
      <c r="B571" s="63"/>
      <c r="C571" s="63"/>
      <c r="D571" s="63"/>
      <c r="E571" s="66"/>
      <c r="H571" s="63"/>
      <c r="I571" s="62"/>
      <c r="J571" s="56"/>
      <c r="K571" s="63"/>
      <c r="M571" s="71"/>
      <c r="W571" s="63"/>
      <c r="Z571" s="63"/>
      <c r="AA571" s="63"/>
      <c r="AC571" s="63"/>
      <c r="AD571" s="63"/>
      <c r="AI571" s="63"/>
      <c r="AO571" s="63"/>
    </row>
    <row r="572" spans="2:41">
      <c r="B572" s="63"/>
      <c r="C572" s="63"/>
      <c r="D572" s="63"/>
      <c r="E572" s="66"/>
      <c r="H572" s="63"/>
      <c r="J572" s="56"/>
      <c r="K572" s="63"/>
    </row>
    <row r="573" spans="2:41">
      <c r="B573" s="63"/>
      <c r="C573" s="63"/>
      <c r="D573" s="63"/>
      <c r="E573" s="66"/>
      <c r="H573" s="63"/>
      <c r="J573" s="56"/>
      <c r="K573" s="58"/>
    </row>
    <row r="574" spans="2:41">
      <c r="E574" s="66"/>
      <c r="J574" s="56"/>
    </row>
    <row r="575" spans="2:41">
      <c r="E575" s="66"/>
      <c r="J575" s="56"/>
    </row>
    <row r="576" spans="2:41">
      <c r="E576" s="66"/>
      <c r="J576" s="56"/>
    </row>
    <row r="577" spans="5:10">
      <c r="E577" s="66"/>
      <c r="J577" s="56"/>
    </row>
    <row r="578" spans="5:10">
      <c r="E578" s="66"/>
      <c r="J578" s="56"/>
    </row>
    <row r="579" spans="5:10">
      <c r="E579" s="66"/>
      <c r="J579" s="56"/>
    </row>
    <row r="580" spans="5:10">
      <c r="E580" s="66"/>
      <c r="J580" s="56"/>
    </row>
    <row r="581" spans="5:10">
      <c r="E581" s="66"/>
      <c r="J581" s="56"/>
    </row>
    <row r="582" spans="5:10">
      <c r="E582" s="66"/>
      <c r="J582" s="56"/>
    </row>
    <row r="583" spans="5:10">
      <c r="E583" s="66"/>
      <c r="J583" s="56"/>
    </row>
    <row r="584" spans="5:10">
      <c r="E584" s="66"/>
      <c r="J584" s="56"/>
    </row>
    <row r="585" spans="5:10">
      <c r="E585" s="66"/>
      <c r="J585" s="56"/>
    </row>
    <row r="586" spans="5:10">
      <c r="E586" s="66"/>
      <c r="J586" s="56"/>
    </row>
    <row r="587" spans="5:10">
      <c r="E587" s="66"/>
      <c r="J587" s="56"/>
    </row>
    <row r="588" spans="5:10">
      <c r="E588" s="66"/>
      <c r="J588" s="56"/>
    </row>
    <row r="589" spans="5:10">
      <c r="E589" s="66"/>
      <c r="J589" s="56"/>
    </row>
    <row r="590" spans="5:10">
      <c r="E590" s="66"/>
      <c r="J590" s="56"/>
    </row>
    <row r="591" spans="5:10">
      <c r="E591" s="66"/>
      <c r="J591" s="56"/>
    </row>
    <row r="592" spans="5:10">
      <c r="E592" s="66"/>
      <c r="J592" s="56"/>
    </row>
    <row r="593" spans="5:10">
      <c r="E593" s="66"/>
      <c r="J593" s="56"/>
    </row>
    <row r="594" spans="5:10">
      <c r="E594" s="66"/>
      <c r="J594" s="56"/>
    </row>
    <row r="595" spans="5:10">
      <c r="E595" s="66"/>
      <c r="J595" s="56"/>
    </row>
    <row r="596" spans="5:10">
      <c r="E596" s="66"/>
      <c r="J596" s="56"/>
    </row>
    <row r="597" spans="5:10">
      <c r="E597" s="66"/>
      <c r="J597" s="56"/>
    </row>
    <row r="598" spans="5:10">
      <c r="E598" s="66"/>
      <c r="J598" s="56"/>
    </row>
    <row r="599" spans="5:10">
      <c r="E599" s="66"/>
      <c r="J599" s="56"/>
    </row>
    <row r="600" spans="5:10">
      <c r="E600" s="66"/>
      <c r="J600" s="56"/>
    </row>
    <row r="601" spans="5:10">
      <c r="E601" s="66"/>
      <c r="J601" s="56"/>
    </row>
    <row r="602" spans="5:10">
      <c r="E602" s="66"/>
      <c r="J602" s="56"/>
    </row>
    <row r="603" spans="5:10">
      <c r="E603" s="66"/>
      <c r="J603" s="56"/>
    </row>
    <row r="604" spans="5:10">
      <c r="E604" s="66"/>
      <c r="J604" s="56"/>
    </row>
    <row r="605" spans="5:10">
      <c r="E605" s="66"/>
      <c r="J605" s="56"/>
    </row>
    <row r="606" spans="5:10">
      <c r="E606" s="66"/>
      <c r="J606" s="56"/>
    </row>
    <row r="607" spans="5:10">
      <c r="E607" s="66"/>
      <c r="J607" s="56"/>
    </row>
    <row r="608" spans="5:10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</row>
    <row r="613" spans="5:10">
      <c r="E613" s="66"/>
    </row>
  </sheetData>
  <autoFilter ref="A1:AP611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44"/>
  <sheetViews>
    <sheetView zoomScaleNormal="100" workbookViewId="0">
      <pane xSplit="5" ySplit="2" topLeftCell="F94" activePane="bottomRight" state="frozen"/>
      <selection pane="topRight"/>
      <selection pane="bottomLeft"/>
      <selection pane="bottomRight" activeCell="S110" sqref="S110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1" t="s">
        <v>79</v>
      </c>
      <c r="G1" s="121"/>
      <c r="H1" s="121"/>
      <c r="I1" s="121"/>
      <c r="J1" s="121"/>
      <c r="K1" s="121"/>
      <c r="L1" s="121"/>
      <c r="M1" s="121"/>
      <c r="N1" s="121"/>
      <c r="O1" s="121"/>
      <c r="P1" s="122" t="s">
        <v>80</v>
      </c>
      <c r="Q1" s="123"/>
      <c r="R1" s="123"/>
      <c r="S1" s="124"/>
      <c r="T1" s="125" t="s">
        <v>7</v>
      </c>
      <c r="U1" s="125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850</v>
      </c>
      <c r="I2" s="9" t="s">
        <v>849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6000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43">
        <v>13</v>
      </c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InitUnitState('E001',1000,,,,,,,,13,)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InitEquipData('E001',,"",,E002,6000,,'','','','','','',"ReplaceableTextures\\CommandButtons\\BTNE002.blp")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|n攻击+1000|n攻速+13%|n</v>
      </c>
      <c r="CV3" s="29" t="str">
        <f>"|cffffcc00属性：|r"&amp;CU3&amp;VLOOKUP(A3,合成公式!A:P,16,FALSE)&amp;T3</f>
        <v>|cffffcc00属性：|r|n攻击+1000|n攻速+13%|n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>|n攻速+13%</v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9000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2000</v>
      </c>
      <c r="W4" s="43"/>
      <c r="X4" s="43"/>
      <c r="Y4" s="43"/>
      <c r="Z4" s="43"/>
      <c r="AA4" s="43"/>
      <c r="AB4" s="43"/>
      <c r="AC4" s="43"/>
      <c r="AD4" s="43">
        <v>13</v>
      </c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InitUnitState('E002',2000,,,,,,,,13,)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InitEquipData('E002',,"",,E003,9000,,'','','','','','',"ReplaceableTextures\\CommandButtons\\BTNE003.blp")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|n攻击+2000|n攻速+13%|n</v>
      </c>
      <c r="CV4" s="29" t="str">
        <f>"|cffffcc00属性：|r"&amp;CU4&amp;VLOOKUP(A4,合成公式!A:P,16,FALSE)&amp;T4</f>
        <v>|cffffcc00属性：|r|n攻击+2000|n攻速+13%|n</v>
      </c>
      <c r="DB4" s="30" t="str">
        <f t="shared" ref="DB4:DB7" si="82">IF(V4="","","|n"&amp;DB$2&amp;"+"&amp;V4&amp;DB$1)</f>
        <v>|n攻击+2000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>|n攻速+13%</v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12000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3000</v>
      </c>
      <c r="W5" s="43"/>
      <c r="X5" s="43"/>
      <c r="Y5" s="43"/>
      <c r="Z5" s="43"/>
      <c r="AA5" s="43"/>
      <c r="AB5" s="43"/>
      <c r="AC5" s="43"/>
      <c r="AD5" s="43">
        <v>13</v>
      </c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InitUnitState('E003',3000,,,,,,,,13,)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InitEquipData('E003',,"",,E004,12000,,'','','','','','',"ReplaceableTextures\\CommandButtons\\BTNE004.blp")</v>
      </c>
      <c r="CS5" s="44"/>
      <c r="CT5" s="44"/>
      <c r="CU5" s="45" t="str">
        <f t="shared" si="81"/>
        <v>|n攻击+3000|n攻速+13%|n</v>
      </c>
      <c r="CV5" s="29" t="str">
        <f>"|cffffcc00属性：|r"&amp;CU5&amp;VLOOKUP(A5,合成公式!A:P,16,FALSE)&amp;T5</f>
        <v>|cffffcc00属性：|r|n攻击+3000|n攻速+13%|n</v>
      </c>
      <c r="DB5" s="30" t="str">
        <f t="shared" si="82"/>
        <v>|n攻击+3000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>|n攻速+13%</v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15000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4000</v>
      </c>
      <c r="W6" s="43"/>
      <c r="X6" s="43"/>
      <c r="Y6" s="43"/>
      <c r="Z6" s="43"/>
      <c r="AA6" s="43"/>
      <c r="AB6" s="43"/>
      <c r="AC6" s="43"/>
      <c r="AD6" s="43">
        <v>13</v>
      </c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InitUnitState('E004',4000,,,,,,,,13,)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InitEquipData('E004',,"",,E005,15000,,'','','','','','',"ReplaceableTextures\\CommandButtons\\BTNE005.blp")</v>
      </c>
      <c r="CS6" s="44"/>
      <c r="CT6" s="44"/>
      <c r="CU6" s="45" t="str">
        <f t="shared" si="81"/>
        <v>|n攻击+4000|n攻速+13%|n</v>
      </c>
      <c r="CV6" s="29" t="str">
        <f>"|cffffcc00属性：|r"&amp;CU6&amp;VLOOKUP(A6,合成公式!A:P,16,FALSE)&amp;T6</f>
        <v>|cffffcc00属性：|r|n攻击+4000|n攻速+13%|n</v>
      </c>
      <c r="DB6" s="30" t="str">
        <f t="shared" si="82"/>
        <v>|n攻击+4000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>|n攻速+13%</v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18000</v>
      </c>
      <c r="G7" s="38"/>
      <c r="H7" s="38"/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5000</v>
      </c>
      <c r="W7" s="43"/>
      <c r="X7" s="43"/>
      <c r="Y7" s="43"/>
      <c r="Z7" s="43"/>
      <c r="AA7" s="43"/>
      <c r="AB7" s="43"/>
      <c r="AC7" s="43"/>
      <c r="AD7" s="43">
        <v>13</v>
      </c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InitUnitState('E005',5000,,,,,,,,13,)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InitEquipData('E005',,"",,E006,18000,,'','','','','','',"ReplaceableTextures\\CommandButtons\\BTNE006.blp")</v>
      </c>
      <c r="CS7" s="44"/>
      <c r="CT7" s="44"/>
      <c r="CU7" s="45" t="str">
        <f t="shared" si="81"/>
        <v>|n攻击+5000|n攻速+13%|n</v>
      </c>
      <c r="CV7" s="29" t="str">
        <f>"|cffffcc00属性：|r"&amp;CU7&amp;VLOOKUP(A7,合成公式!A:P,16,FALSE)&amp;T7</f>
        <v>|cffffcc00属性：|r|n攻击+5000|n攻速+13%|n</v>
      </c>
      <c r="DB7" s="30" t="str">
        <f t="shared" si="82"/>
        <v>|n攻击+5000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>|n攻速+13%</v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18600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6400</v>
      </c>
      <c r="W8" s="43"/>
      <c r="X8" s="43"/>
      <c r="Y8" s="43"/>
      <c r="Z8" s="43"/>
      <c r="AA8" s="43"/>
      <c r="AB8" s="43"/>
      <c r="AC8" s="43"/>
      <c r="AD8" s="4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>
        <v>3</v>
      </c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InitUnitState('E006',6400,,,,,,,,26,)</v>
      </c>
      <c r="CO8" s="44" t="str">
        <f t="shared" si="4"/>
        <v>InitUnitNormal('E006',,,,,,,,,3,)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InitEquipData('E006',,"",,E007,18600,,'','','','','','',"ReplaceableTextures\\CommandButtons\\BTNE007.blp")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|n攻击+6400|n攻速+26%|n暴击+3%|n</v>
      </c>
      <c r="CV8" s="29" t="str">
        <f>"|cffffcc00属性：|r"&amp;CU8&amp;VLOOKUP(A8,合成公式!A:P,16,FALSE)&amp;T8</f>
        <v>|cffffcc00属性：|r|n攻击+6400|n攻速+26%|n暴击+3%|n</v>
      </c>
      <c r="DB8" s="30" t="str">
        <f t="shared" ref="DB8:DB18" si="154">IF(V8="","","|n"&amp;DB$2&amp;"+"&amp;V8&amp;DB$1)</f>
        <v>|n攻击+6400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>|n暴击+3%</v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19200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7800</v>
      </c>
      <c r="W9" s="43"/>
      <c r="X9" s="43"/>
      <c r="Y9" s="43"/>
      <c r="Z9" s="43"/>
      <c r="AA9" s="43"/>
      <c r="AB9" s="43"/>
      <c r="AC9" s="43"/>
      <c r="AD9" s="4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>
        <v>3</v>
      </c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InitUnitState('E007',7800,,,,,,,,26,)</v>
      </c>
      <c r="CO9" s="44" t="str">
        <f t="shared" si="4"/>
        <v>InitUnitNormal('E007',,,,,,,,,3,)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InitEquipData('E007',,"",,E008,19200,,'','','','','','',"ReplaceableTextures\\CommandButtons\\BTNE008.blp")</v>
      </c>
      <c r="CS9" s="44"/>
      <c r="CT9" s="44"/>
      <c r="CU9" s="45" t="str">
        <f t="shared" si="153"/>
        <v>|n攻击+7800|n攻速+26%|n暴击+3%|n</v>
      </c>
      <c r="CV9" s="29" t="str">
        <f>"|cffffcc00属性：|r"&amp;CU9&amp;VLOOKUP(A9,合成公式!A:P,16,FALSE)&amp;T9</f>
        <v>|cffffcc00属性：|r|n攻击+7800|n攻速+26%|n暴击+3%|n</v>
      </c>
      <c r="DB9" s="30" t="str">
        <f t="shared" si="154"/>
        <v>|n攻击+7800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>|n暴击+3%</v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19800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9200</v>
      </c>
      <c r="W10" s="43"/>
      <c r="X10" s="43"/>
      <c r="Y10" s="43"/>
      <c r="Z10" s="43"/>
      <c r="AA10" s="43"/>
      <c r="AB10" s="43"/>
      <c r="AC10" s="43"/>
      <c r="AD10" s="4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>
        <v>3</v>
      </c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InitUnitState('E008',9200,,,,,,,,26,)</v>
      </c>
      <c r="CO10" s="44" t="str">
        <f t="shared" si="4"/>
        <v>InitUnitNormal('E008',,,,,,,,,3,)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InitEquipData('E008',,"",,E009,19800,,'','','','','','',"ReplaceableTextures\\CommandButtons\\BTNE009.blp")</v>
      </c>
      <c r="CS10" s="44"/>
      <c r="CT10" s="44"/>
      <c r="CU10" s="45" t="str">
        <f t="shared" si="153"/>
        <v>|n攻击+9200|n攻速+26%|n暴击+3%|n</v>
      </c>
      <c r="CV10" s="29" t="str">
        <f>"|cffffcc00属性：|r"&amp;CU10&amp;VLOOKUP(A10,合成公式!A:P,16,FALSE)&amp;T10</f>
        <v>|cffffcc00属性：|r|n攻击+9200|n攻速+26%|n暴击+3%|n</v>
      </c>
      <c r="DB10" s="30" t="str">
        <f t="shared" si="154"/>
        <v>|n攻击+9200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>|n暴击+3%</v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20400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10600</v>
      </c>
      <c r="W11" s="43"/>
      <c r="X11" s="43"/>
      <c r="Y11" s="43"/>
      <c r="Z11" s="43"/>
      <c r="AA11" s="43"/>
      <c r="AB11" s="43"/>
      <c r="AC11" s="43"/>
      <c r="AD11" s="4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>
        <v>3</v>
      </c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InitUnitState('E009',10600,,,,,,,,26,)</v>
      </c>
      <c r="CO11" s="44" t="str">
        <f t="shared" si="4"/>
        <v>InitUnitNormal('E009',,,,,,,,,3,)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InitEquipData('E009',,"",,E010,20400,,'','','','','','',"ReplaceableTextures\\CommandButtons\\BTNE010.blp")</v>
      </c>
      <c r="CS11" s="44"/>
      <c r="CT11" s="44"/>
      <c r="CU11" s="45" t="str">
        <f t="shared" si="153"/>
        <v>|n攻击+10600|n攻速+26%|n暴击+3%|n</v>
      </c>
      <c r="CV11" s="29" t="str">
        <f>"|cffffcc00属性：|r"&amp;CU11&amp;VLOOKUP(A11,合成公式!A:P,16,FALSE)&amp;T11</f>
        <v>|cffffcc00属性：|r|n攻击+10600|n攻速+26%|n暴击+3%|n</v>
      </c>
      <c r="DB11" s="30" t="str">
        <f t="shared" si="154"/>
        <v>|n攻击+10600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>|n暴击+3%</v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21000</v>
      </c>
      <c r="G12" s="38"/>
      <c r="H12" s="38"/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12000</v>
      </c>
      <c r="W12" s="43"/>
      <c r="X12" s="43"/>
      <c r="Y12" s="43"/>
      <c r="Z12" s="43"/>
      <c r="AA12" s="43"/>
      <c r="AB12" s="43"/>
      <c r="AC12" s="43"/>
      <c r="AD12" s="4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>
        <v>3</v>
      </c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InitUnitState('E010',12000,,,,,,,,26,)</v>
      </c>
      <c r="CO12" s="44" t="str">
        <f t="shared" si="4"/>
        <v>InitUnitNormal('E010',,,,,,,,,3,)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InitEquipData('E010',,"",,E011,21000,,'','','','','','',"ReplaceableTextures\\CommandButtons\\BTNE011.blp")</v>
      </c>
      <c r="CS12" s="44"/>
      <c r="CT12" s="44"/>
      <c r="CU12" s="45" t="str">
        <f t="shared" si="153"/>
        <v>|n攻击+12000|n攻速+26%|n暴击+3%|n</v>
      </c>
      <c r="CV12" s="29" t="str">
        <f>"|cffffcc00属性：|r"&amp;CU12&amp;VLOOKUP(A12,合成公式!A:P,16,FALSE)&amp;T12</f>
        <v>|cffffcc00属性：|r|n攻击+12000|n攻速+26%|n暴击+3%|n</v>
      </c>
      <c r="DB12" s="30" t="str">
        <f t="shared" si="154"/>
        <v>|n攻击+12000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>|n暴击+3%</v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21800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14200</v>
      </c>
      <c r="W13" s="43"/>
      <c r="X13" s="43"/>
      <c r="Y13" s="43"/>
      <c r="Z13" s="43"/>
      <c r="AA13" s="43"/>
      <c r="AB13" s="43"/>
      <c r="AC13" s="43"/>
      <c r="AD13" s="43">
        <v>40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InitUnitState('E011',14200,,,,,,,,40,)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InitEquipData('E011',,"",,E012,21800,,'','','','','','',"ReplaceableTextures\\CommandButtons\\BTNE012.blp")</v>
      </c>
      <c r="CS13" s="44"/>
      <c r="CT13" s="44"/>
      <c r="CU13" s="45" t="str">
        <f t="shared" si="153"/>
        <v>|n攻击+14200|n攻速+40%|n暴击+6%|n</v>
      </c>
      <c r="CV13" s="29" t="str">
        <f>"|cffffcc00属性：|r"&amp;CU13&amp;VLOOKUP(A13,合成公式!A:P,16,FALSE)&amp;T13</f>
        <v>|cffffcc00属性：|r|n攻击+14200|n攻速+40%|n暴击+6%|n</v>
      </c>
      <c r="DB13" s="30" t="str">
        <f t="shared" si="154"/>
        <v>|n攻击+14200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|n攻速+40%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22600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16400</v>
      </c>
      <c r="W14" s="43"/>
      <c r="X14" s="43"/>
      <c r="Y14" s="43"/>
      <c r="Z14" s="43"/>
      <c r="AA14" s="43"/>
      <c r="AB14" s="43"/>
      <c r="AC14" s="43"/>
      <c r="AD14" s="43">
        <v>40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InitUnitState('E012',16400,,,,,,,,40,)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InitEquipData('E012',,"",,E013,22600,,'','','','','','',"ReplaceableTextures\\CommandButtons\\BTNE013.blp")</v>
      </c>
      <c r="CS14" s="44"/>
      <c r="CT14" s="44"/>
      <c r="CU14" s="45" t="str">
        <f t="shared" si="153"/>
        <v>|n攻击+16400|n攻速+40%|n暴击+6%|n</v>
      </c>
      <c r="CV14" s="29" t="str">
        <f>"|cffffcc00属性：|r"&amp;CU14&amp;VLOOKUP(A14,合成公式!A:P,16,FALSE)&amp;T14</f>
        <v>|cffffcc00属性：|r|n攻击+16400|n攻速+40%|n暴击+6%|n</v>
      </c>
      <c r="DB14" s="30" t="str">
        <f t="shared" si="154"/>
        <v>|n攻击+16400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|n攻速+40%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23400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18600</v>
      </c>
      <c r="W15" s="43"/>
      <c r="X15" s="43"/>
      <c r="Y15" s="43"/>
      <c r="Z15" s="43"/>
      <c r="AA15" s="43"/>
      <c r="AB15" s="43"/>
      <c r="AC15" s="43"/>
      <c r="AD15" s="43">
        <v>40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InitUnitState('E013',18600,,,,,,,,40,)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InitEquipData('E013',,"",,E014,23400,,'','','','','','',"ReplaceableTextures\\CommandButtons\\BTNE014.blp")</v>
      </c>
      <c r="CS15" s="44"/>
      <c r="CT15" s="44"/>
      <c r="CU15" s="45" t="str">
        <f t="shared" si="153"/>
        <v>|n攻击+18600|n攻速+40%|n暴击+6%|n</v>
      </c>
      <c r="CV15" s="29" t="str">
        <f>"|cffffcc00属性：|r"&amp;CU15&amp;VLOOKUP(A15,合成公式!A:P,16,FALSE)&amp;T15</f>
        <v>|cffffcc00属性：|r|n攻击+18600|n攻速+40%|n暴击+6%|n</v>
      </c>
      <c r="DB15" s="30" t="str">
        <f t="shared" si="154"/>
        <v>|n攻击+18600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|n攻速+40%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24200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20800</v>
      </c>
      <c r="W16" s="43"/>
      <c r="X16" s="43"/>
      <c r="Y16" s="43"/>
      <c r="Z16" s="43"/>
      <c r="AA16" s="43"/>
      <c r="AB16" s="43"/>
      <c r="AC16" s="43"/>
      <c r="AD16" s="43">
        <v>40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InitUnitState('E014',20800,,,,,,,,40,)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InitEquipData('E014',,"",,E015,24200,,'','','','','','',"ReplaceableTextures\\CommandButtons\\BTNE015.blp")</v>
      </c>
      <c r="CS16" s="44"/>
      <c r="CT16" s="44"/>
      <c r="CU16" s="45" t="str">
        <f t="shared" si="153"/>
        <v>|n攻击+20800|n攻速+40%|n暴击+6%|n</v>
      </c>
      <c r="CV16" s="29" t="str">
        <f>"|cffffcc00属性：|r"&amp;CU16&amp;VLOOKUP(A16,合成公式!A:P,16,FALSE)&amp;T16</f>
        <v>|cffffcc00属性：|r|n攻击+20800|n攻速+40%|n暴击+6%|n</v>
      </c>
      <c r="DB16" s="30" t="str">
        <f t="shared" si="154"/>
        <v>|n攻击+20800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|n攻速+40%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25000</v>
      </c>
      <c r="G17" s="38"/>
      <c r="H17" s="38"/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23000</v>
      </c>
      <c r="W17" s="43"/>
      <c r="X17" s="43"/>
      <c r="Y17" s="43"/>
      <c r="Z17" s="43"/>
      <c r="AA17" s="43"/>
      <c r="AB17" s="43"/>
      <c r="AC17" s="43"/>
      <c r="AD17" s="43">
        <v>40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InitUnitState('E015',23000,,,,,,,,40,)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InitEquipData('E015',,"",,E016,25000,,'','','','','','',"ReplaceableTextures\\CommandButtons\\BTNE016.blp")</v>
      </c>
      <c r="CS17" s="44"/>
      <c r="CT17" s="44"/>
      <c r="CU17" s="45" t="str">
        <f t="shared" si="153"/>
        <v>|n攻击+23000|n攻速+40%|n暴击+6%|n</v>
      </c>
      <c r="CV17" s="29" t="str">
        <f>"|cffffcc00属性：|r"&amp;CU17&amp;VLOOKUP(A17,合成公式!A:P,16,FALSE)&amp;T17</f>
        <v>|cffffcc00属性：|r|n攻击+23000|n攻速+40%|n暴击+6%|n</v>
      </c>
      <c r="DB17" s="30" t="str">
        <f t="shared" si="154"/>
        <v>|n攻击+23000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|n攻速+40%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26000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27400</v>
      </c>
      <c r="W18" s="43"/>
      <c r="X18" s="43"/>
      <c r="Y18" s="43"/>
      <c r="Z18" s="43"/>
      <c r="AA18" s="43"/>
      <c r="AB18" s="43"/>
      <c r="AC18" s="43"/>
      <c r="AD18" s="43">
        <v>53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InitUnitState('E016',27400,,,,,,,,53,)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InitEquipData('E016',,"",,E017,26000,,'','','','','','',"ReplaceableTextures\\CommandButtons\\BTNE017.blp")</v>
      </c>
      <c r="CS18" s="44"/>
      <c r="CT18" s="44"/>
      <c r="CU18" s="45" t="str">
        <f t="shared" si="153"/>
        <v>|n攻击+27400|n攻速+53%|n暴击+9%|n</v>
      </c>
      <c r="CV18" s="29" t="str">
        <f>"|cffffcc00属性：|r"&amp;CU18&amp;VLOOKUP(A18,合成公式!A:P,16,FALSE)&amp;T18</f>
        <v>|cffffcc00属性：|r|n攻击+27400|n攻速+53%|n暴击+9%|n</v>
      </c>
      <c r="DB18" s="30" t="str">
        <f t="shared" si="154"/>
        <v>|n攻击+27400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|n攻速+53%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27000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31800</v>
      </c>
      <c r="W19" s="43"/>
      <c r="X19" s="43"/>
      <c r="Y19" s="43"/>
      <c r="Z19" s="43"/>
      <c r="AA19" s="43"/>
      <c r="AB19" s="43"/>
      <c r="AC19" s="43"/>
      <c r="AD19" s="43">
        <v>53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InitUnitState('E017',31800,,,,,,,,53,)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InitEquipData('E017',,"",,E018,27000,,'','','','','','',"ReplaceableTextures\\CommandButtons\\BTNE018.blp")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|n攻击+31800|n攻速+53%|n暴击+9%|n</v>
      </c>
      <c r="CV19" s="29" t="str">
        <f>"|cffffcc00属性：|r"&amp;CU19&amp;VLOOKUP(A19,合成公式!A:P,16,FALSE)&amp;T19</f>
        <v>|cffffcc00属性：|r|n攻击+31800|n攻速+53%|n暴击+9%|n</v>
      </c>
      <c r="DB19" s="30" t="str">
        <f t="shared" ref="DB19:DB35" si="226">IF(V19="","","|n"&amp;DB$2&amp;"+"&amp;V19&amp;DB$1)</f>
        <v>|n攻击+31800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|n攻速+53%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28000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36200</v>
      </c>
      <c r="W20" s="43"/>
      <c r="X20" s="43"/>
      <c r="Y20" s="43"/>
      <c r="Z20" s="43"/>
      <c r="AA20" s="43"/>
      <c r="AB20" s="43"/>
      <c r="AC20" s="43"/>
      <c r="AD20" s="43">
        <v>53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InitUnitState('E018',36200,,,,,,,,53,)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InitEquipData('E018',,"",,E019,28000,,'','','','','','',"ReplaceableTextures\\CommandButtons\\BTNE019.blp")</v>
      </c>
      <c r="CS20" s="44"/>
      <c r="CT20" s="44"/>
      <c r="CU20" s="45" t="str">
        <f t="shared" si="225"/>
        <v>|n攻击+36200|n攻速+53%|n暴击+9%|n</v>
      </c>
      <c r="CV20" s="29" t="str">
        <f>"|cffffcc00属性：|r"&amp;CU20&amp;VLOOKUP(A20,合成公式!A:P,16,FALSE)&amp;T20</f>
        <v>|cffffcc00属性：|r|n攻击+36200|n攻速+53%|n暴击+9%|n</v>
      </c>
      <c r="DB20" s="30" t="str">
        <f t="shared" si="226"/>
        <v>|n攻击+36200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|n攻速+53%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29000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40600</v>
      </c>
      <c r="W21" s="43"/>
      <c r="X21" s="43"/>
      <c r="Y21" s="43"/>
      <c r="Z21" s="43"/>
      <c r="AA21" s="43"/>
      <c r="AB21" s="43"/>
      <c r="AC21" s="43"/>
      <c r="AD21" s="43">
        <v>53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InitUnitState('E019',40600,,,,,,,,53,)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InitEquipData('E019',,"",,E020,29000,,'','','','','','',"ReplaceableTextures\\CommandButtons\\BTNE020.blp")</v>
      </c>
      <c r="CS21" s="44"/>
      <c r="CT21" s="44"/>
      <c r="CU21" s="45" t="str">
        <f t="shared" si="225"/>
        <v>|n攻击+40600|n攻速+53%|n暴击+9%|n</v>
      </c>
      <c r="CV21" s="29" t="str">
        <f>"|cffffcc00属性：|r"&amp;CU21&amp;VLOOKUP(A21,合成公式!A:P,16,FALSE)&amp;T21</f>
        <v>|cffffcc00属性：|r|n攻击+40600|n攻速+53%|n暴击+9%|n</v>
      </c>
      <c r="DB21" s="30" t="str">
        <f t="shared" si="226"/>
        <v>|n攻击+40600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|n攻速+53%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30000</v>
      </c>
      <c r="G22" s="38"/>
      <c r="H22" s="38"/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45000</v>
      </c>
      <c r="W22" s="43"/>
      <c r="X22" s="43"/>
      <c r="Y22" s="43"/>
      <c r="Z22" s="43"/>
      <c r="AA22" s="43"/>
      <c r="AB22" s="43"/>
      <c r="AC22" s="43"/>
      <c r="AD22" s="43">
        <v>53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InitUnitState('E020',45000,,,,,,,,53,)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InitEquipData('E020',,"",,E021,30000,,'','','','','','',"ReplaceableTextures\\CommandButtons\\BTNE021.blp")</v>
      </c>
      <c r="CS22" s="44"/>
      <c r="CT22" s="44"/>
      <c r="CU22" s="45" t="str">
        <f t="shared" si="225"/>
        <v>|n攻击+45000|n攻速+53%|n暴击+9%|n</v>
      </c>
      <c r="CV22" s="29" t="str">
        <f>"|cffffcc00属性：|r"&amp;CU22&amp;VLOOKUP(A22,合成公式!A:P,16,FALSE)&amp;T22</f>
        <v>|cffffcc00属性：|r|n攻击+45000|n攻速+53%|n暴击+9%|n</v>
      </c>
      <c r="DB22" s="30" t="str">
        <f t="shared" si="226"/>
        <v>|n攻击+45000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|n攻速+53%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31200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56000</v>
      </c>
      <c r="W23" s="43"/>
      <c r="X23" s="43"/>
      <c r="Y23" s="43"/>
      <c r="Z23" s="43"/>
      <c r="AA23" s="43"/>
      <c r="AB23" s="43"/>
      <c r="AC23" s="43"/>
      <c r="AD23" s="43">
        <v>66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InitUnitState('E021',56000,,,,,,,,66,)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InitEquipData('E021',,"",,E022,31200,,'','','','','','',"ReplaceableTextures\\CommandButtons\\BTNE022.blp")</v>
      </c>
      <c r="CS23" s="44"/>
      <c r="CT23" s="44"/>
      <c r="CU23" s="45" t="str">
        <f t="shared" si="225"/>
        <v>|n攻击+56000|n攻速+66%|n暴击+12%|n</v>
      </c>
      <c r="CV23" s="29" t="str">
        <f>"|cffffcc00属性：|r"&amp;CU23&amp;VLOOKUP(A23,合成公式!A:P,16,FALSE)&amp;T23</f>
        <v>|cffffcc00属性：|r|n攻击+56000|n攻速+66%|n暴击+12%|n</v>
      </c>
      <c r="DB23" s="30" t="str">
        <f t="shared" si="226"/>
        <v>|n攻击+56000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|n攻速+66%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32400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67000</v>
      </c>
      <c r="W24" s="43"/>
      <c r="X24" s="43"/>
      <c r="Y24" s="43"/>
      <c r="Z24" s="43"/>
      <c r="AA24" s="43"/>
      <c r="AB24" s="43"/>
      <c r="AC24" s="43"/>
      <c r="AD24" s="43">
        <v>66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InitUnitState('E022',67000,,,,,,,,66,)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InitEquipData('E022',,"",,E023,32400,,'','','','','','',"ReplaceableTextures\\CommandButtons\\BTNE023.blp")</v>
      </c>
      <c r="CS24" s="44"/>
      <c r="CT24" s="44"/>
      <c r="CU24" s="45" t="str">
        <f t="shared" si="225"/>
        <v>|n攻击+67000|n攻速+66%|n暴击+12%|n</v>
      </c>
      <c r="CV24" s="29" t="str">
        <f>"|cffffcc00属性：|r"&amp;CU24&amp;VLOOKUP(A24,合成公式!A:P,16,FALSE)&amp;T24</f>
        <v>|cffffcc00属性：|r|n攻击+67000|n攻速+66%|n暴击+12%|n</v>
      </c>
      <c r="DB24" s="30" t="str">
        <f t="shared" si="226"/>
        <v>|n攻击+67000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|n攻速+66%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33600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78000</v>
      </c>
      <c r="W25" s="43"/>
      <c r="X25" s="43"/>
      <c r="Y25" s="43"/>
      <c r="Z25" s="43"/>
      <c r="AA25" s="43"/>
      <c r="AB25" s="43"/>
      <c r="AC25" s="43"/>
      <c r="AD25" s="43">
        <v>66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InitUnitState('E023',78000,,,,,,,,66,)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InitEquipData('E023',,"",,E024,33600,,'','','','','','',"ReplaceableTextures\\CommandButtons\\BTNE024.blp")</v>
      </c>
      <c r="CS25" s="44"/>
      <c r="CT25" s="44"/>
      <c r="CU25" s="45" t="str">
        <f t="shared" si="225"/>
        <v>|n攻击+78000|n攻速+66%|n暴击+12%|n</v>
      </c>
      <c r="CV25" s="29" t="str">
        <f>"|cffffcc00属性：|r"&amp;CU25&amp;VLOOKUP(A25,合成公式!A:P,16,FALSE)&amp;T25</f>
        <v>|cffffcc00属性：|r|n攻击+78000|n攻速+66%|n暴击+12%|n</v>
      </c>
      <c r="DB25" s="30" t="str">
        <f t="shared" si="226"/>
        <v>|n攻击+78000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|n攻速+66%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34800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89000</v>
      </c>
      <c r="W26" s="43"/>
      <c r="X26" s="43"/>
      <c r="Y26" s="43"/>
      <c r="Z26" s="43"/>
      <c r="AA26" s="43"/>
      <c r="AB26" s="43"/>
      <c r="AC26" s="43"/>
      <c r="AD26" s="43">
        <v>66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InitUnitState('E024',89000,,,,,,,,66,)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InitEquipData('E024',,"",,E025,34800,,'','','','','','',"ReplaceableTextures\\CommandButtons\\BTNE025.blp")</v>
      </c>
      <c r="CS26" s="44"/>
      <c r="CT26" s="44"/>
      <c r="CU26" s="45" t="str">
        <f t="shared" si="225"/>
        <v>|n攻击+89000|n攻速+66%|n暴击+12%|n</v>
      </c>
      <c r="CV26" s="29" t="str">
        <f>"|cffffcc00属性：|r"&amp;CU26&amp;VLOOKUP(A26,合成公式!A:P,16,FALSE)&amp;T26</f>
        <v>|cffffcc00属性：|r|n攻击+89000|n攻速+66%|n暴击+12%|n</v>
      </c>
      <c r="DB26" s="30" t="str">
        <f t="shared" si="226"/>
        <v>|n攻击+89000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|n攻速+66%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43">
        <v>66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InitUnitState('E025',100000,,,,,,,,66,)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|n攻击+100000|n攻速+66%|n暴击+12%|n</v>
      </c>
      <c r="CV27" s="29" t="str">
        <f>"|cffffcc00属性：|r"&amp;CU27&amp;VLOOKUP(A27,合成公式!A:P,16,FALSE)&amp;T27</f>
        <v>|cffffcc00属性：|r|n攻击+100000|n攻速+66%|n暴击+12%|n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|n攻速+66%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6000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>
        <v>3</v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InitUnitMagic('E101',,,,,3,,,,,)</v>
      </c>
      <c r="CQ28" s="44" t="str">
        <f t="shared" si="6"/>
        <v>InitUnitAdd('E101',,,,,,,,,,)</v>
      </c>
      <c r="CR28" s="44" t="str">
        <f t="shared" si="7"/>
        <v>InitEquipData('E101',,"",,E102,6000,,'','','','','','',"ReplaceableTextures\\CommandButtons\\BTNE102.blp")</v>
      </c>
      <c r="CS28" s="44"/>
      <c r="CT28" s="44"/>
      <c r="CU28" s="45" t="str">
        <f t="shared" si="225"/>
        <v>|n法强+1000|n冷却缩减+3%|n</v>
      </c>
      <c r="CV28" s="29" t="str">
        <f>"|cffffcc00属性：|r"&amp;CU28&amp;VLOOKUP(A28,合成公式!A:P,16,FALSE)&amp;T28</f>
        <v>|cffffcc00属性：|r|n法强+1000|n冷却缩减+3%|n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>|n冷却缩减+3%</v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9000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2000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>
        <v>3</v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InitUnitState('E102',,2000,,,,,,,,)</v>
      </c>
      <c r="CO29" s="44" t="str">
        <f t="shared" si="4"/>
        <v>InitUnitNormal('E102',,,,,,,,,,)</v>
      </c>
      <c r="CP29" s="44" t="str">
        <f t="shared" si="5"/>
        <v>InitUnitMagic('E102',,,,,3,,,,,)</v>
      </c>
      <c r="CQ29" s="44" t="str">
        <f t="shared" si="6"/>
        <v>InitUnitAdd('E102',,,,,,,,,,)</v>
      </c>
      <c r="CR29" s="44" t="str">
        <f t="shared" si="7"/>
        <v>InitEquipData('E102',,"",,E103,9000,,'','','','','','',"ReplaceableTextures\\CommandButtons\\BTNE103.blp")</v>
      </c>
      <c r="CS29" s="44"/>
      <c r="CT29" s="44"/>
      <c r="CU29" s="45" t="str">
        <f t="shared" si="225"/>
        <v>|n法强+2000|n冷却缩减+3%|n</v>
      </c>
      <c r="CV29" s="29" t="str">
        <f>"|cffffcc00属性：|r"&amp;CU29&amp;VLOOKUP(A29,合成公式!A:P,16,FALSE)&amp;T29</f>
        <v>|cffffcc00属性：|r|n法强+2000|n冷却缩减+3%|n</v>
      </c>
      <c r="DB29" s="30" t="str">
        <f t="shared" si="226"/>
        <v/>
      </c>
      <c r="DC29" s="30" t="str">
        <f t="shared" si="227"/>
        <v>|n法强+2000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>|n冷却缩减+3%</v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12000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3000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>
        <v>3</v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InitUnitState('E103',,3000,,,,,,,,)</v>
      </c>
      <c r="CO30" s="44" t="str">
        <f t="shared" si="4"/>
        <v>InitUnitNormal('E103',,,,,,,,,,)</v>
      </c>
      <c r="CP30" s="44" t="str">
        <f t="shared" si="5"/>
        <v>InitUnitMagic('E103',,,,,3,,,,,)</v>
      </c>
      <c r="CQ30" s="44" t="str">
        <f t="shared" si="6"/>
        <v>InitUnitAdd('E103',,,,,,,,,,)</v>
      </c>
      <c r="CR30" s="44" t="str">
        <f t="shared" si="7"/>
        <v>InitEquipData('E103',,"",,E104,12000,,'','','','','','',"ReplaceableTextures\\CommandButtons\\BTNE104.blp")</v>
      </c>
      <c r="CS30" s="44"/>
      <c r="CT30" s="44"/>
      <c r="CU30" s="45" t="str">
        <f t="shared" si="225"/>
        <v>|n法强+3000|n冷却缩减+3%|n</v>
      </c>
      <c r="CV30" s="29" t="str">
        <f>"|cffffcc00属性：|r"&amp;CU30&amp;VLOOKUP(A30,合成公式!A:P,16,FALSE)&amp;T30</f>
        <v>|cffffcc00属性：|r|n法强+3000|n冷却缩减+3%|n</v>
      </c>
      <c r="DB30" s="30" t="str">
        <f t="shared" si="226"/>
        <v/>
      </c>
      <c r="DC30" s="30" t="str">
        <f t="shared" si="227"/>
        <v>|n法强+3000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>|n冷却缩减+3%</v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15000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4000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>
        <v>3</v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InitUnitState('E104',,4000,,,,,,,,)</v>
      </c>
      <c r="CO31" s="44" t="str">
        <f t="shared" si="4"/>
        <v>InitUnitNormal('E104',,,,,,,,,,)</v>
      </c>
      <c r="CP31" s="44" t="str">
        <f t="shared" si="5"/>
        <v>InitUnitMagic('E104',,,,,3,,,,,)</v>
      </c>
      <c r="CQ31" s="44" t="str">
        <f t="shared" si="6"/>
        <v>InitUnitAdd('E104',,,,,,,,,,)</v>
      </c>
      <c r="CR31" s="44" t="str">
        <f t="shared" si="7"/>
        <v>InitEquipData('E104',,"",,E105,15000,,'','','','','','',"ReplaceableTextures\\CommandButtons\\BTNE105.blp")</v>
      </c>
      <c r="CS31" s="44"/>
      <c r="CT31" s="44"/>
      <c r="CU31" s="45" t="str">
        <f t="shared" si="225"/>
        <v>|n法强+4000|n冷却缩减+3%|n</v>
      </c>
      <c r="CV31" s="29" t="str">
        <f>"|cffffcc00属性：|r"&amp;CU31&amp;VLOOKUP(A31,合成公式!A:P,16,FALSE)&amp;T31</f>
        <v>|cffffcc00属性：|r|n法强+4000|n冷却缩减+3%|n</v>
      </c>
      <c r="DB31" s="30" t="str">
        <f t="shared" si="226"/>
        <v/>
      </c>
      <c r="DC31" s="30" t="str">
        <f t="shared" si="227"/>
        <v>|n法强+4000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>|n冷却缩减+3%</v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18000</v>
      </c>
      <c r="G32" s="38"/>
      <c r="H32" s="38"/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5000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>
        <v>3</v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InitUnitState('E105',,5000,,,,,,,,)</v>
      </c>
      <c r="CO32" s="44" t="str">
        <f t="shared" si="4"/>
        <v>InitUnitNormal('E105',,,,,,,,,,)</v>
      </c>
      <c r="CP32" s="44" t="str">
        <f t="shared" si="5"/>
        <v>InitUnitMagic('E105',,,,,3,,,,,)</v>
      </c>
      <c r="CQ32" s="44" t="str">
        <f t="shared" si="6"/>
        <v>InitUnitAdd('E105',,,,,,,,,,)</v>
      </c>
      <c r="CR32" s="44" t="str">
        <f t="shared" si="7"/>
        <v>InitEquipData('E105',,"",,E106,18000,,'','','','','','',"ReplaceableTextures\\CommandButtons\\BTNE106.blp")</v>
      </c>
      <c r="CS32" s="44"/>
      <c r="CT32" s="44"/>
      <c r="CU32" s="45" t="str">
        <f t="shared" si="225"/>
        <v>|n法强+5000|n冷却缩减+3%|n</v>
      </c>
      <c r="CV32" s="29" t="str">
        <f>"|cffffcc00属性：|r"&amp;CU32&amp;VLOOKUP(A32,合成公式!A:P,16,FALSE)&amp;T32</f>
        <v>|cffffcc00属性：|r|n法强+5000|n冷却缩减+3%|n</v>
      </c>
      <c r="DB32" s="30" t="str">
        <f t="shared" si="226"/>
        <v/>
      </c>
      <c r="DC32" s="30" t="str">
        <f t="shared" si="227"/>
        <v>|n法强+5000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>|n冷却缩减+3%</v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18600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6400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>
        <v>3</v>
      </c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InitUnitState('E106',,6400,,,,,,,,)</v>
      </c>
      <c r="CO33" s="44" t="str">
        <f t="shared" si="4"/>
        <v>InitUnitNormal('E106',,,,,,,3,,,)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InitEquipData('E106',,"",,E107,18600,,'','','','','','',"ReplaceableTextures\\CommandButtons\\BTNE107.blp")</v>
      </c>
      <c r="CS33" s="44"/>
      <c r="CT33" s="44"/>
      <c r="CU33" s="45" t="str">
        <f t="shared" si="225"/>
        <v>|n法强+6400|n伤害加成+3%|n冷却缩减+6%|n</v>
      </c>
      <c r="CV33" s="29" t="str">
        <f>"|cffffcc00属性：|r"&amp;CU33&amp;VLOOKUP(A33,合成公式!A:P,16,FALSE)&amp;T33</f>
        <v>|cffffcc00属性：|r|n法强+6400|n伤害加成+3%|n冷却缩减+6%|n</v>
      </c>
      <c r="DB33" s="30" t="str">
        <f t="shared" si="226"/>
        <v/>
      </c>
      <c r="DC33" s="30" t="str">
        <f t="shared" si="227"/>
        <v>|n法强+6400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>|n伤害加成+3%</v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19200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7800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>
        <v>3</v>
      </c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InitUnitState('E107',,7800,,,,,,,,)</v>
      </c>
      <c r="CO34" s="44" t="str">
        <f t="shared" si="4"/>
        <v>InitUnitNormal('E107',,,,,,,3,,,)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InitEquipData('E107',,"",,E108,19200,,'','','','','','',"ReplaceableTextures\\CommandButtons\\BTNE108.blp")</v>
      </c>
      <c r="CS34" s="44"/>
      <c r="CT34" s="44"/>
      <c r="CU34" s="45" t="str">
        <f t="shared" si="225"/>
        <v>|n法强+7800|n伤害加成+3%|n冷却缩减+6%|n</v>
      </c>
      <c r="CV34" s="29" t="str">
        <f>"|cffffcc00属性：|r"&amp;CU34&amp;VLOOKUP(A34,合成公式!A:P,16,FALSE)&amp;T34</f>
        <v>|cffffcc00属性：|r|n法强+7800|n伤害加成+3%|n冷却缩减+6%|n</v>
      </c>
      <c r="DB34" s="30" t="str">
        <f t="shared" si="226"/>
        <v/>
      </c>
      <c r="DC34" s="30" t="str">
        <f t="shared" si="227"/>
        <v>|n法强+7800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>|n伤害加成+3%</v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19800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9200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>
        <v>3</v>
      </c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InitUnitState('E108',,9200,,,,,,,,)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InitUnitNormal('E108',,,,,,,3,,,)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InitEquipData('E108',,"",,E109,19800,,'','','','','','',"ReplaceableTextures\\CommandButtons\\BTNE109.blp")</v>
      </c>
      <c r="CS35" s="44"/>
      <c r="CT35" s="44"/>
      <c r="CU35" s="45" t="str">
        <f t="shared" si="225"/>
        <v>|n法强+9200|n伤害加成+3%|n冷却缩减+6%|n</v>
      </c>
      <c r="CV35" s="29" t="str">
        <f>"|cffffcc00属性：|r"&amp;CU35&amp;VLOOKUP(A35,合成公式!A:P,16,FALSE)&amp;T35</f>
        <v>|cffffcc00属性：|r|n法强+9200|n伤害加成+3%|n冷却缩减+6%|n</v>
      </c>
      <c r="DB35" s="30" t="str">
        <f t="shared" si="226"/>
        <v/>
      </c>
      <c r="DC35" s="30" t="str">
        <f t="shared" si="227"/>
        <v>|n法强+9200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>|n伤害加成+3%</v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20400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10600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>
        <v>3</v>
      </c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InitUnitState('E109',,10600,,,,,,,,)</v>
      </c>
      <c r="CO36" s="44" t="str">
        <f t="shared" si="298"/>
        <v>InitUnitNormal('E109',,,,,,,3,,,)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InitEquipData('E109',,"",,E110,20400,,'','','','','','',"ReplaceableTextures\\CommandButtons\\BTNE110.blp")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|n法强+10600|n伤害加成+3%|n冷却缩减+6%|n</v>
      </c>
      <c r="CV36" s="29" t="str">
        <f>"|cffffcc00属性：|r"&amp;CU36&amp;VLOOKUP(A36,合成公式!A:P,16,FALSE)&amp;T36</f>
        <v>|cffffcc00属性：|r|n法强+10600|n伤害加成+3%|n冷却缩减+6%|n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|n法强+10600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>|n伤害加成+3%</v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21000</v>
      </c>
      <c r="G37" s="38"/>
      <c r="H37" s="38"/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12000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>
        <v>3</v>
      </c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InitUnitState('E110',,12000,,,,,,,,)</v>
      </c>
      <c r="CO37" s="44" t="str">
        <f t="shared" si="298"/>
        <v>InitUnitNormal('E110',,,,,,,3,,,)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InitEquipData('E110',,"",,E111,21000,,'','','','','','',"ReplaceableTextures\\CommandButtons\\BTNE111.blp")</v>
      </c>
      <c r="CS37" s="44"/>
      <c r="CT37" s="44"/>
      <c r="CU37" s="45" t="str">
        <f t="shared" si="303"/>
        <v>|n法强+12000|n伤害加成+3%|n冷却缩减+6%|n</v>
      </c>
      <c r="CV37" s="29" t="str">
        <f>"|cffffcc00属性：|r"&amp;CU37&amp;VLOOKUP(A37,合成公式!A:P,16,FALSE)&amp;T37</f>
        <v>|cffffcc00属性：|r|n法强+12000|n伤害加成+3%|n冷却缩减+6%|n</v>
      </c>
      <c r="DB37" s="30" t="str">
        <f t="shared" si="304"/>
        <v/>
      </c>
      <c r="DC37" s="30" t="str">
        <f t="shared" si="305"/>
        <v>|n法强+12000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>|n伤害加成+3%</v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21800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14200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9</v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InitUnitState('E111',,14200,,,,,,,,)</v>
      </c>
      <c r="CO38" s="44" t="str">
        <f t="shared" si="298"/>
        <v>InitUnitNormal('E111',,,,,,,6,,,)</v>
      </c>
      <c r="CP38" s="44" t="str">
        <f t="shared" si="299"/>
        <v>InitUnitMagic('E111',,,,,9,,,,,)</v>
      </c>
      <c r="CQ38" s="44" t="str">
        <f t="shared" si="300"/>
        <v>InitUnitAdd('E111',,,,,,,,,,)</v>
      </c>
      <c r="CR38" s="44" t="str">
        <f t="shared" si="301"/>
        <v>InitEquipData('E111',,"",,E112,21800,,'','','','','','',"ReplaceableTextures\\CommandButtons\\BTNE112.blp")</v>
      </c>
      <c r="CS38" s="44"/>
      <c r="CT38" s="44"/>
      <c r="CU38" s="45" t="str">
        <f t="shared" si="303"/>
        <v>|n法强+14200|n伤害加成+6%|n冷却缩减+9%|n</v>
      </c>
      <c r="CV38" s="29" t="str">
        <f>"|cffffcc00属性：|r"&amp;CU38&amp;VLOOKUP(A38,合成公式!A:P,16,FALSE)&amp;T38</f>
        <v>|cffffcc00属性：|r|n法强+14200|n伤害加成+6%|n冷却缩减+9%|n</v>
      </c>
      <c r="DB38" s="30" t="str">
        <f t="shared" si="304"/>
        <v/>
      </c>
      <c r="DC38" s="30" t="str">
        <f t="shared" si="305"/>
        <v>|n法强+14200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|n冷却缩减+9%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22600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16400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9</v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InitUnitState('E112',,16400,,,,,,,,)</v>
      </c>
      <c r="CO39" s="44" t="str">
        <f t="shared" si="298"/>
        <v>InitUnitNormal('E112',,,,,,,6,,,)</v>
      </c>
      <c r="CP39" s="44" t="str">
        <f t="shared" si="299"/>
        <v>InitUnitMagic('E112',,,,,9,,,,,)</v>
      </c>
      <c r="CQ39" s="44" t="str">
        <f t="shared" si="300"/>
        <v>InitUnitAdd('E112',,,,,,,,,,)</v>
      </c>
      <c r="CR39" s="44" t="str">
        <f t="shared" si="301"/>
        <v>InitEquipData('E112',,"",,E113,22600,,'','','','','','',"ReplaceableTextures\\CommandButtons\\BTNE113.blp")</v>
      </c>
      <c r="CS39" s="44"/>
      <c r="CT39" s="44"/>
      <c r="CU39" s="45" t="str">
        <f t="shared" si="303"/>
        <v>|n法强+16400|n伤害加成+6%|n冷却缩减+9%|n</v>
      </c>
      <c r="CV39" s="29" t="str">
        <f>"|cffffcc00属性：|r"&amp;CU39&amp;VLOOKUP(A39,合成公式!A:P,16,FALSE)&amp;T39</f>
        <v>|cffffcc00属性：|r|n法强+16400|n伤害加成+6%|n冷却缩减+9%|n</v>
      </c>
      <c r="DB39" s="30" t="str">
        <f t="shared" si="304"/>
        <v/>
      </c>
      <c r="DC39" s="30" t="str">
        <f t="shared" si="305"/>
        <v>|n法强+16400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|n冷却缩减+9%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23400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18600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9</v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InitUnitState('E113',,18600,,,,,,,,)</v>
      </c>
      <c r="CO40" s="44" t="str">
        <f t="shared" si="298"/>
        <v>InitUnitNormal('E113',,,,,,,6,,,)</v>
      </c>
      <c r="CP40" s="44" t="str">
        <f t="shared" si="299"/>
        <v>InitUnitMagic('E113',,,,,9,,,,,)</v>
      </c>
      <c r="CQ40" s="44" t="str">
        <f t="shared" si="300"/>
        <v>InitUnitAdd('E113',,,,,,,,,,)</v>
      </c>
      <c r="CR40" s="44" t="str">
        <f t="shared" si="301"/>
        <v>InitEquipData('E113',,"",,E114,23400,,'','','','','','',"ReplaceableTextures\\CommandButtons\\BTNE114.blp")</v>
      </c>
      <c r="CS40" s="44"/>
      <c r="CT40" s="44"/>
      <c r="CU40" s="45" t="str">
        <f t="shared" si="303"/>
        <v>|n法强+18600|n伤害加成+6%|n冷却缩减+9%|n</v>
      </c>
      <c r="CV40" s="29" t="str">
        <f>"|cffffcc00属性：|r"&amp;CU40&amp;VLOOKUP(A40,合成公式!A:P,16,FALSE)&amp;T40</f>
        <v>|cffffcc00属性：|r|n法强+18600|n伤害加成+6%|n冷却缩减+9%|n</v>
      </c>
      <c r="DB40" s="30" t="str">
        <f t="shared" si="304"/>
        <v/>
      </c>
      <c r="DC40" s="30" t="str">
        <f t="shared" si="305"/>
        <v>|n法强+18600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|n冷却缩减+9%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24200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20800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9</v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InitUnitState('E114',,20800,,,,,,,,)</v>
      </c>
      <c r="CO41" s="44" t="str">
        <f t="shared" si="298"/>
        <v>InitUnitNormal('E114',,,,,,,6,,,)</v>
      </c>
      <c r="CP41" s="44" t="str">
        <f t="shared" si="299"/>
        <v>InitUnitMagic('E114',,,,,9,,,,,)</v>
      </c>
      <c r="CQ41" s="44" t="str">
        <f t="shared" si="300"/>
        <v>InitUnitAdd('E114',,,,,,,,,,)</v>
      </c>
      <c r="CR41" s="44" t="str">
        <f t="shared" si="301"/>
        <v>InitEquipData('E114',,"",,E115,24200,,'','','','','','',"ReplaceableTextures\\CommandButtons\\BTNE115.blp")</v>
      </c>
      <c r="CS41" s="44"/>
      <c r="CT41" s="44"/>
      <c r="CU41" s="45" t="str">
        <f t="shared" si="303"/>
        <v>|n法强+20800|n伤害加成+6%|n冷却缩减+9%|n</v>
      </c>
      <c r="CV41" s="29" t="str">
        <f>"|cffffcc00属性：|r"&amp;CU41&amp;VLOOKUP(A41,合成公式!A:P,16,FALSE)&amp;T41</f>
        <v>|cffffcc00属性：|r|n法强+20800|n伤害加成+6%|n冷却缩减+9%|n</v>
      </c>
      <c r="DB41" s="30" t="str">
        <f t="shared" si="304"/>
        <v/>
      </c>
      <c r="DC41" s="30" t="str">
        <f t="shared" si="305"/>
        <v>|n法强+20800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|n冷却缩减+9%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25000</v>
      </c>
      <c r="G42" s="38"/>
      <c r="H42" s="38"/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23000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9</v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InitUnitState('E115',,23000,,,,,,,,)</v>
      </c>
      <c r="CO42" s="44" t="str">
        <f t="shared" si="298"/>
        <v>InitUnitNormal('E115',,,,,,,6,,,)</v>
      </c>
      <c r="CP42" s="44" t="str">
        <f t="shared" si="299"/>
        <v>InitUnitMagic('E115',,,,,9,,,,,)</v>
      </c>
      <c r="CQ42" s="44" t="str">
        <f t="shared" si="300"/>
        <v>InitUnitAdd('E115',,,,,,,,,,)</v>
      </c>
      <c r="CR42" s="44" t="str">
        <f t="shared" si="301"/>
        <v>InitEquipData('E115',,"",,E116,25000,,'','','','','','',"ReplaceableTextures\\CommandButtons\\BTNE116.blp")</v>
      </c>
      <c r="CS42" s="44"/>
      <c r="CT42" s="44"/>
      <c r="CU42" s="45" t="str">
        <f t="shared" si="303"/>
        <v>|n法强+23000|n伤害加成+6%|n冷却缩减+9%|n</v>
      </c>
      <c r="CV42" s="29" t="str">
        <f>"|cffffcc00属性：|r"&amp;CU42&amp;VLOOKUP(A42,合成公式!A:P,16,FALSE)&amp;T42</f>
        <v>|cffffcc00属性：|r|n法强+23000|n伤害加成+6%|n冷却缩减+9%|n</v>
      </c>
      <c r="DB42" s="30" t="str">
        <f t="shared" si="304"/>
        <v/>
      </c>
      <c r="DC42" s="30" t="str">
        <f t="shared" si="305"/>
        <v>|n法强+23000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|n冷却缩减+9%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26000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27400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12</v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InitUnitState('E116',,27400,,,,,,,,)</v>
      </c>
      <c r="CO43" s="44" t="str">
        <f t="shared" si="298"/>
        <v>InitUnitNormal('E116',,,,,,,9,,,)</v>
      </c>
      <c r="CP43" s="44" t="str">
        <f t="shared" si="299"/>
        <v>InitUnitMagic('E116',,,,,12,,,,,)</v>
      </c>
      <c r="CQ43" s="44" t="str">
        <f t="shared" si="300"/>
        <v>InitUnitAdd('E116',,,,,,,,,,)</v>
      </c>
      <c r="CR43" s="44" t="str">
        <f t="shared" si="301"/>
        <v>InitEquipData('E116',,"",,E117,26000,,'','','','','','',"ReplaceableTextures\\CommandButtons\\BTNE117.blp")</v>
      </c>
      <c r="CS43" s="44"/>
      <c r="CT43" s="44"/>
      <c r="CU43" s="45" t="str">
        <f t="shared" si="303"/>
        <v>|n法强+27400|n伤害加成+9%|n冷却缩减+12%|n</v>
      </c>
      <c r="CV43" s="29" t="str">
        <f>"|cffffcc00属性：|r"&amp;CU43&amp;VLOOKUP(A43,合成公式!A:P,16,FALSE)&amp;T43</f>
        <v>|cffffcc00属性：|r|n法强+27400|n伤害加成+9%|n冷却缩减+12%|n</v>
      </c>
      <c r="DB43" s="30" t="str">
        <f t="shared" si="304"/>
        <v/>
      </c>
      <c r="DC43" s="30" t="str">
        <f t="shared" si="305"/>
        <v>|n法强+27400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|n冷却缩减+12%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27000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31800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12</v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InitUnitState('E117',,31800,,,,,,,,)</v>
      </c>
      <c r="CO44" s="44" t="str">
        <f t="shared" si="298"/>
        <v>InitUnitNormal('E117',,,,,,,9,,,)</v>
      </c>
      <c r="CP44" s="44" t="str">
        <f t="shared" si="299"/>
        <v>InitUnitMagic('E117',,,,,12,,,,,)</v>
      </c>
      <c r="CQ44" s="44" t="str">
        <f t="shared" si="300"/>
        <v>InitUnitAdd('E117',,,,,,,,,,)</v>
      </c>
      <c r="CR44" s="44" t="str">
        <f t="shared" si="301"/>
        <v>InitEquipData('E117',,"",,E118,27000,,'','','','','','',"ReplaceableTextures\\CommandButtons\\BTNE118.blp")</v>
      </c>
      <c r="CS44" s="44"/>
      <c r="CT44" s="44"/>
      <c r="CU44" s="45" t="str">
        <f t="shared" si="303"/>
        <v>|n法强+31800|n伤害加成+9%|n冷却缩减+12%|n</v>
      </c>
      <c r="CV44" s="29" t="str">
        <f>"|cffffcc00属性：|r"&amp;CU44&amp;VLOOKUP(A44,合成公式!A:P,16,FALSE)&amp;T44</f>
        <v>|cffffcc00属性：|r|n法强+31800|n伤害加成+9%|n冷却缩减+12%|n</v>
      </c>
      <c r="DB44" s="30" t="str">
        <f t="shared" si="304"/>
        <v/>
      </c>
      <c r="DC44" s="30" t="str">
        <f t="shared" si="305"/>
        <v>|n法强+31800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|n冷却缩减+12%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28000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36200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12</v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InitUnitState('E118',,36200,,,,,,,,)</v>
      </c>
      <c r="CO45" s="44" t="str">
        <f t="shared" si="298"/>
        <v>InitUnitNormal('E118',,,,,,,9,,,)</v>
      </c>
      <c r="CP45" s="44" t="str">
        <f t="shared" si="299"/>
        <v>InitUnitMagic('E118',,,,,12,,,,,)</v>
      </c>
      <c r="CQ45" s="44" t="str">
        <f t="shared" si="300"/>
        <v>InitUnitAdd('E118',,,,,,,,,,)</v>
      </c>
      <c r="CR45" s="44" t="str">
        <f t="shared" si="301"/>
        <v>InitEquipData('E118',,"",,E119,28000,,'','','','','','',"ReplaceableTextures\\CommandButtons\\BTNE119.blp")</v>
      </c>
      <c r="CS45" s="44"/>
      <c r="CT45" s="44"/>
      <c r="CU45" s="45" t="str">
        <f t="shared" si="303"/>
        <v>|n法强+36200|n伤害加成+9%|n冷却缩减+12%|n</v>
      </c>
      <c r="CV45" s="29" t="str">
        <f>"|cffffcc00属性：|r"&amp;CU45&amp;VLOOKUP(A45,合成公式!A:P,16,FALSE)&amp;T45</f>
        <v>|cffffcc00属性：|r|n法强+36200|n伤害加成+9%|n冷却缩减+12%|n</v>
      </c>
      <c r="DB45" s="30" t="str">
        <f t="shared" si="304"/>
        <v/>
      </c>
      <c r="DC45" s="30" t="str">
        <f t="shared" si="305"/>
        <v>|n法强+36200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|n冷却缩减+12%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29000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40600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12</v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InitUnitState('E119',,40600,,,,,,,,)</v>
      </c>
      <c r="CO46" s="44" t="str">
        <f t="shared" si="298"/>
        <v>InitUnitNormal('E119',,,,,,,9,,,)</v>
      </c>
      <c r="CP46" s="44" t="str">
        <f t="shared" si="299"/>
        <v>InitUnitMagic('E119',,,,,12,,,,,)</v>
      </c>
      <c r="CQ46" s="44" t="str">
        <f t="shared" si="300"/>
        <v>InitUnitAdd('E119',,,,,,,,,,)</v>
      </c>
      <c r="CR46" s="44" t="str">
        <f t="shared" si="301"/>
        <v>InitEquipData('E119',,"",,E120,29000,,'','','','','','',"ReplaceableTextures\\CommandButtons\\BTNE120.blp")</v>
      </c>
      <c r="CS46" s="44"/>
      <c r="CT46" s="44"/>
      <c r="CU46" s="45" t="str">
        <f t="shared" si="303"/>
        <v>|n法强+40600|n伤害加成+9%|n冷却缩减+12%|n</v>
      </c>
      <c r="CV46" s="29" t="str">
        <f>"|cffffcc00属性：|r"&amp;CU46&amp;VLOOKUP(A46,合成公式!A:P,16,FALSE)&amp;T46</f>
        <v>|cffffcc00属性：|r|n法强+40600|n伤害加成+9%|n冷却缩减+12%|n</v>
      </c>
      <c r="DB46" s="30" t="str">
        <f t="shared" si="304"/>
        <v/>
      </c>
      <c r="DC46" s="30" t="str">
        <f t="shared" si="305"/>
        <v>|n法强+40600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|n冷却缩减+12%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30000</v>
      </c>
      <c r="G47" s="38"/>
      <c r="H47" s="38"/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45000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12</v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InitUnitState('E120',,45000,,,,,,,,)</v>
      </c>
      <c r="CO47" s="44" t="str">
        <f t="shared" si="298"/>
        <v>InitUnitNormal('E120',,,,,,,9,,,)</v>
      </c>
      <c r="CP47" s="44" t="str">
        <f t="shared" si="299"/>
        <v>InitUnitMagic('E120',,,,,12,,,,,)</v>
      </c>
      <c r="CQ47" s="44" t="str">
        <f t="shared" si="300"/>
        <v>InitUnitAdd('E120',,,,,,,,,,)</v>
      </c>
      <c r="CR47" s="44" t="str">
        <f t="shared" si="301"/>
        <v>InitEquipData('E120',,"",,E121,30000,,'','','','','','',"ReplaceableTextures\\CommandButtons\\BTNE121.blp")</v>
      </c>
      <c r="CS47" s="44"/>
      <c r="CT47" s="44"/>
      <c r="CU47" s="45" t="str">
        <f t="shared" si="303"/>
        <v>|n法强+45000|n伤害加成+9%|n冷却缩减+12%|n</v>
      </c>
      <c r="CV47" s="29" t="str">
        <f>"|cffffcc00属性：|r"&amp;CU47&amp;VLOOKUP(A47,合成公式!A:P,16,FALSE)&amp;T47</f>
        <v>|cffffcc00属性：|r|n法强+45000|n伤害加成+9%|n冷却缩减+12%|n</v>
      </c>
      <c r="DB47" s="30" t="str">
        <f t="shared" si="304"/>
        <v/>
      </c>
      <c r="DC47" s="30" t="str">
        <f t="shared" si="305"/>
        <v>|n法强+45000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|n冷却缩减+12%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31200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56000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15</v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InitUnitState('E121',,56000,,,,,,,,)</v>
      </c>
      <c r="CO48" s="44" t="str">
        <f t="shared" si="298"/>
        <v>InitUnitNormal('E121',,,,,,,12,,,)</v>
      </c>
      <c r="CP48" s="44" t="str">
        <f t="shared" si="299"/>
        <v>InitUnitMagic('E121',,,,,15,,,,,)</v>
      </c>
      <c r="CQ48" s="44" t="str">
        <f t="shared" si="300"/>
        <v>InitUnitAdd('E121',,,,,,,,,,)</v>
      </c>
      <c r="CR48" s="44" t="str">
        <f t="shared" si="301"/>
        <v>InitEquipData('E121',,"",,E122,31200,,'','','','','','',"ReplaceableTextures\\CommandButtons\\BTNE122.blp")</v>
      </c>
      <c r="CS48" s="44"/>
      <c r="CT48" s="44"/>
      <c r="CU48" s="45" t="str">
        <f t="shared" si="303"/>
        <v>|n法强+56000|n伤害加成+12%|n冷却缩减+15%|n</v>
      </c>
      <c r="CV48" s="29" t="str">
        <f>"|cffffcc00属性：|r"&amp;CU48&amp;VLOOKUP(A48,合成公式!A:P,16,FALSE)&amp;T48</f>
        <v>|cffffcc00属性：|r|n法强+56000|n伤害加成+12%|n冷却缩减+15%|n</v>
      </c>
      <c r="DB48" s="30" t="str">
        <f t="shared" si="304"/>
        <v/>
      </c>
      <c r="DC48" s="30" t="str">
        <f t="shared" si="305"/>
        <v>|n法强+56000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|n冷却缩减+15%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32400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67000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15</v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InitUnitState('E122',,67000,,,,,,,,)</v>
      </c>
      <c r="CO49" s="44" t="str">
        <f t="shared" si="298"/>
        <v>InitUnitNormal('E122',,,,,,,12,,,)</v>
      </c>
      <c r="CP49" s="44" t="str">
        <f t="shared" si="299"/>
        <v>InitUnitMagic('E122',,,,,15,,,,,)</v>
      </c>
      <c r="CQ49" s="44" t="str">
        <f t="shared" si="300"/>
        <v>InitUnitAdd('E122',,,,,,,,,,)</v>
      </c>
      <c r="CR49" s="44" t="str">
        <f t="shared" si="301"/>
        <v>InitEquipData('E122',,"",,E123,32400,,'','','','','','',"ReplaceableTextures\\CommandButtons\\BTNE123.blp")</v>
      </c>
      <c r="CS49" s="44"/>
      <c r="CT49" s="44"/>
      <c r="CU49" s="45" t="str">
        <f t="shared" si="303"/>
        <v>|n法强+67000|n伤害加成+12%|n冷却缩减+15%|n</v>
      </c>
      <c r="CV49" s="29" t="str">
        <f>"|cffffcc00属性：|r"&amp;CU49&amp;VLOOKUP(A49,合成公式!A:P,16,FALSE)&amp;T49</f>
        <v>|cffffcc00属性：|r|n法强+67000|n伤害加成+12%|n冷却缩减+15%|n</v>
      </c>
      <c r="DB49" s="30" t="str">
        <f t="shared" si="304"/>
        <v/>
      </c>
      <c r="DC49" s="30" t="str">
        <f t="shared" si="305"/>
        <v>|n法强+67000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|n冷却缩减+15%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33600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78000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15</v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InitUnitState('E123',,78000,,,,,,,,)</v>
      </c>
      <c r="CO50" s="44" t="str">
        <f t="shared" si="298"/>
        <v>InitUnitNormal('E123',,,,,,,12,,,)</v>
      </c>
      <c r="CP50" s="44" t="str">
        <f t="shared" si="299"/>
        <v>InitUnitMagic('E123',,,,,15,,,,,)</v>
      </c>
      <c r="CQ50" s="44" t="str">
        <f t="shared" si="300"/>
        <v>InitUnitAdd('E123',,,,,,,,,,)</v>
      </c>
      <c r="CR50" s="44" t="str">
        <f t="shared" si="301"/>
        <v>InitEquipData('E123',,"",,E124,33600,,'','','','','','',"ReplaceableTextures\\CommandButtons\\BTNE124.blp")</v>
      </c>
      <c r="CS50" s="44"/>
      <c r="CT50" s="44"/>
      <c r="CU50" s="45" t="str">
        <f t="shared" si="303"/>
        <v>|n法强+78000|n伤害加成+12%|n冷却缩减+15%|n</v>
      </c>
      <c r="CV50" s="29" t="str">
        <f>"|cffffcc00属性：|r"&amp;CU50&amp;VLOOKUP(A50,合成公式!A:P,16,FALSE)&amp;T50</f>
        <v>|cffffcc00属性：|r|n法强+78000|n伤害加成+12%|n冷却缩减+15%|n</v>
      </c>
      <c r="DB50" s="30" t="str">
        <f t="shared" si="304"/>
        <v/>
      </c>
      <c r="DC50" s="30" t="str">
        <f t="shared" si="305"/>
        <v>|n法强+78000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|n冷却缩减+15%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34800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89000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15</v>
      </c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InitUnitState('E124',,89000,,,,,,,,)</v>
      </c>
      <c r="CO51" s="44" t="str">
        <f t="shared" si="298"/>
        <v>InitUnitNormal('E124',,,,,,,12,,,)</v>
      </c>
      <c r="CP51" s="44" t="str">
        <f t="shared" si="299"/>
        <v>InitUnitMagic('E124',,,,,15,,,,,)</v>
      </c>
      <c r="CQ51" s="44" t="str">
        <f t="shared" si="300"/>
        <v>InitUnitAdd('E124',,,,,,,,,,)</v>
      </c>
      <c r="CR51" s="44" t="str">
        <f t="shared" si="301"/>
        <v>InitEquipData('E124',,"",,E125,34800,,'','','','','','',"ReplaceableTextures\\CommandButtons\\BTNE125.blp")</v>
      </c>
      <c r="CS51" s="44"/>
      <c r="CT51" s="44"/>
      <c r="CU51" s="45" t="str">
        <f t="shared" si="303"/>
        <v>|n法强+89000|n伤害加成+12%|n冷却缩减+15%|n</v>
      </c>
      <c r="CV51" s="29" t="str">
        <f>"|cffffcc00属性：|r"&amp;CU51&amp;VLOOKUP(A51,合成公式!A:P,16,FALSE)&amp;T51</f>
        <v>|cffffcc00属性：|r|n法强+89000|n伤害加成+12%|n冷却缩减+15%|n</v>
      </c>
      <c r="DB51" s="30" t="str">
        <f t="shared" si="304"/>
        <v/>
      </c>
      <c r="DC51" s="30" t="str">
        <f t="shared" si="305"/>
        <v>|n法强+89000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|n冷却缩减+15%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15</v>
      </c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InitUnitMagic('E125',,,,,15,,,,,)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|n法强+100000|n伤害加成+12%|n冷却缩减+15%|n</v>
      </c>
      <c r="CV52" s="29" t="str">
        <f>"|cffffcc00属性：|r"&amp;CU52&amp;VLOOKUP(A52,合成公式!A:P,16,FALSE)&amp;T52</f>
        <v>|cffffcc00属性：|r|n法强+100000|n伤害加成+12%|n冷却缩减+15%|n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|n冷却缩减+15%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6000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InitEquipData('E201',,"",,E202,6000,,'','','','','','',"ReplaceableTextures\\CommandButtons\\BTNE211.blp")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</v>
      </c>
      <c r="CV53" s="29" t="str">
        <f>"|cffffcc00属性：|r"&amp;CU53&amp;VLOOKUP(A53,合成公式!A:P,16,FALSE)&amp;T53</f>
        <v>|cffffcc00属性：|r|n护甲+1|n生命值+2000|n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/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9000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4000</v>
      </c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InitUnitState('E202',,,2,,4000,,,,,)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InitEquipData('E202',,"",,E203,9000,,'','','','','','',"ReplaceableTextures\\CommandButtons\\BTNE211.blp")</v>
      </c>
      <c r="CS54" s="44"/>
      <c r="CT54" s="44"/>
      <c r="CU54" s="45" t="str">
        <f t="shared" si="375"/>
        <v>|n护甲+2|n生命值+4000|n</v>
      </c>
      <c r="CV54" s="29" t="str">
        <f>"|cffffcc00属性：|r"&amp;CU54&amp;VLOOKUP(A54,合成公式!A:P,16,FALSE)&amp;T54</f>
        <v>|cffffcc00属性：|r|n护甲+2|n生命值+4000|n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|n生命值+4000</v>
      </c>
      <c r="DG54" s="30" t="str">
        <f t="shared" si="381"/>
        <v/>
      </c>
      <c r="DH54" s="30" t="str">
        <f t="shared" si="382"/>
        <v/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12000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6000</v>
      </c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InitUnitState('E203',,,3,,6000,,,,,)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InitEquipData('E203',,"",,E204,12000,,'','','','','','',"ReplaceableTextures\\CommandButtons\\BTNE212.blp")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|n护甲+3|n生命值+6000|n</v>
      </c>
      <c r="CV55" s="29" t="str">
        <f>"|cffffcc00属性：|r"&amp;CU55&amp;VLOOKUP(A55,合成公式!A:P,16,FALSE)&amp;T55</f>
        <v>|cffffcc00属性：|r|n护甲+3|n生命值+6000|n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|n生命值+6000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/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15000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8000</v>
      </c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InitUnitState('E204',,,4,,8000,,,,,)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InitEquipData('E204',,"",,E205,15000,,'','','','','','',"ReplaceableTextures\\CommandButtons\\BTNE213.blp")</v>
      </c>
      <c r="CS56" s="44"/>
      <c r="CT56" s="44"/>
      <c r="CU56" s="45" t="str">
        <f t="shared" si="449"/>
        <v>|n护甲+4|n生命值+8000|n</v>
      </c>
      <c r="CV56" s="29" t="str">
        <f>"|cffffcc00属性：|r"&amp;CU56&amp;VLOOKUP(A56,合成公式!A:P,16,FALSE)&amp;T56</f>
        <v>|cffffcc00属性：|r|n护甲+4|n生命值+8000|n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|n生命值+8000</v>
      </c>
      <c r="DG56" s="30" t="str">
        <f t="shared" si="455"/>
        <v/>
      </c>
      <c r="DH56" s="30" t="str">
        <f t="shared" si="456"/>
        <v/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18000</v>
      </c>
      <c r="G57" s="38"/>
      <c r="H57" s="38"/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10000</v>
      </c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InitUnitState('E205',,,5,,10000,,,,,)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InitEquipData('E205',,"",,E206,18000,,'','','','','','',"ReplaceableTextures\\CommandButtons\\BTNE214.blp")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|n护甲+5|n生命值+10000|n</v>
      </c>
      <c r="CV57" s="29" t="str">
        <f>"|cffffcc00属性：|r"&amp;CU57&amp;VLOOKUP(A57,合成公式!A:P,16,FALSE)&amp;T57</f>
        <v>|cffffcc00属性：|r|n护甲+5|n生命值+10000|n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|n生命值+10000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/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18600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12800</v>
      </c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>
        <v>3</v>
      </c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InitUnitState('E206',,,7,,12800,,,,,)</v>
      </c>
      <c r="CO58" s="44" t="str">
        <f t="shared" si="298"/>
        <v>InitUnitNormal('E206',,,,,,,,3,,)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InitEquipData('E206',,"",,E207,18600,,'','','','','','',"ReplaceableTextures\\CommandButtons\\BTNE215.blp")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|n护甲+7|n生命值+12800|n伤害减免+3%|n</v>
      </c>
      <c r="CV58" s="29" t="str">
        <f>"|cffffcc00属性：|r"&amp;CU58&amp;VLOOKUP(A58,合成公式!A:P,16,FALSE)&amp;T58</f>
        <v>|cffffcc00属性：|r|n护甲+7|n生命值+12800|n伤害减免+3%|n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|n生命值+12800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/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>|n伤害减免+3%</v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19200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15600</v>
      </c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>
        <v>3</v>
      </c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InitUnitState('E207',,,9,,15600,,,,,)</v>
      </c>
      <c r="CO59" s="44" t="str">
        <f t="shared" si="298"/>
        <v>InitUnitNormal('E207',,,,,,,,3,,)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InitEquipData('E207',,"",,E208,19200,,'','','','','','',"ReplaceableTextures\\CommandButtons\\BTNE216.blp")</v>
      </c>
      <c r="CS59" s="44"/>
      <c r="CT59" s="44"/>
      <c r="CU59" s="45" t="str">
        <f t="shared" si="593"/>
        <v>|n护甲+9|n生命值+15600|n伤害减免+3%|n</v>
      </c>
      <c r="CV59" s="29" t="str">
        <f>"|cffffcc00属性：|r"&amp;CU59&amp;VLOOKUP(A59,合成公式!A:P,16,FALSE)&amp;T59</f>
        <v>|cffffcc00属性：|r|n护甲+9|n生命值+15600|n伤害减免+3%|n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|n生命值+15600</v>
      </c>
      <c r="DG59" s="30" t="str">
        <f t="shared" si="599"/>
        <v/>
      </c>
      <c r="DH59" s="30" t="str">
        <f t="shared" si="600"/>
        <v/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>|n伤害减免+3%</v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19800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18400</v>
      </c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>
        <v>3</v>
      </c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InitUnitState('E208',,,11,,18400,,,,,)</v>
      </c>
      <c r="CO60" s="44" t="str">
        <f t="shared" si="298"/>
        <v>InitUnitNormal('E208',,,,,,,,3,,)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InitEquipData('E208',,"",,E209,19800,,'','','','','','',"ReplaceableTextures\\CommandButtons\\BTNE217.blp")</v>
      </c>
      <c r="CS60" s="44"/>
      <c r="CT60" s="44"/>
      <c r="CU60" s="45" t="str">
        <f t="shared" si="593"/>
        <v>|n护甲+11|n生命值+18400|n伤害减免+3%|n</v>
      </c>
      <c r="CV60" s="29" t="str">
        <f>"|cffffcc00属性：|r"&amp;CU60&amp;VLOOKUP(A60,合成公式!A:P,16,FALSE)&amp;T60</f>
        <v>|cffffcc00属性：|r|n护甲+11|n生命值+18400|n伤害减免+3%|n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|n生命值+18400</v>
      </c>
      <c r="DG60" s="30" t="str">
        <f t="shared" si="599"/>
        <v/>
      </c>
      <c r="DH60" s="30" t="str">
        <f t="shared" si="600"/>
        <v/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>|n伤害减免+3%</v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20400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21200</v>
      </c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>
        <v>3</v>
      </c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InitUnitState('E209',,,13,,21200,,,,,)</v>
      </c>
      <c r="CO61" s="44" t="str">
        <f t="shared" si="298"/>
        <v>InitUnitNormal('E209',,,,,,,,3,,)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InitEquipData('E209',,"",,E210,20400,,'','','','','','',"ReplaceableTextures\\CommandButtons\\BTNE218.blp")</v>
      </c>
      <c r="CS61" s="44"/>
      <c r="CT61" s="44"/>
      <c r="CU61" s="45" t="str">
        <f t="shared" si="593"/>
        <v>|n护甲+13|n生命值+21200|n伤害减免+3%|n</v>
      </c>
      <c r="CV61" s="29" t="str">
        <f>"|cffffcc00属性：|r"&amp;CU61&amp;VLOOKUP(A61,合成公式!A:P,16,FALSE)&amp;T61</f>
        <v>|cffffcc00属性：|r|n护甲+13|n生命值+21200|n伤害减免+3%|n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|n生命值+21200</v>
      </c>
      <c r="DG61" s="30" t="str">
        <f t="shared" si="599"/>
        <v/>
      </c>
      <c r="DH61" s="30" t="str">
        <f t="shared" si="600"/>
        <v/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>|n伤害减免+3%</v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21000</v>
      </c>
      <c r="G62" s="38"/>
      <c r="H62" s="38"/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24000</v>
      </c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>
        <v>3</v>
      </c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InitUnitState('E210',,,15,,24000,,,,,)</v>
      </c>
      <c r="CO62" s="44" t="str">
        <f t="shared" si="298"/>
        <v>InitUnitNormal('E210',,,,,,,,3,,)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InitEquipData('E210',,"",,E211,21000,,'','','','','','',"ReplaceableTextures\\CommandButtons\\BTNE219.blp")</v>
      </c>
      <c r="CS62" s="44"/>
      <c r="CT62" s="44"/>
      <c r="CU62" s="45" t="str">
        <f t="shared" si="593"/>
        <v>|n护甲+15|n生命值+24000|n伤害减免+3%|n</v>
      </c>
      <c r="CV62" s="29" t="str">
        <f>"|cffffcc00属性：|r"&amp;CU62&amp;VLOOKUP(A62,合成公式!A:P,16,FALSE)&amp;T62</f>
        <v>|cffffcc00属性：|r|n护甲+15|n生命值+24000|n伤害减免+3%|n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|n生命值+24000</v>
      </c>
      <c r="DG62" s="30" t="str">
        <f t="shared" si="599"/>
        <v/>
      </c>
      <c r="DH62" s="30" t="str">
        <f t="shared" si="600"/>
        <v/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>|n伤害减免+3%</v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21800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28400</v>
      </c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>
        <v>6</v>
      </c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InitUnitState('E211',,,18,,28400,,,,,)</v>
      </c>
      <c r="CO63" s="44" t="str">
        <f t="shared" si="298"/>
        <v>InitUnitNormal('E211',,,,,,,,6,,)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InitEquipData('E211',,"",,E212,21800,,'','','','','','',"ReplaceableTextures\\CommandButtons\\BTNE212.blp")</v>
      </c>
      <c r="CS63" s="44"/>
      <c r="CT63" s="44"/>
      <c r="CU63" s="45" t="str">
        <f t="shared" ref="CU63:CU87" si="665">CONCATENATE(DB63,DC63,DD63,DE63,DF63,DG63,DH63,DI63,DJ63,DK63,DL63,DM63,DN63,DO63,DP63,DQ63,DR63,DS63,DT63,DU63,DV63,DW63,DX63,DY63,DZ63,EA63,EB63,EC63,ED63,EE63,EF63,EG63,EH63,EI63,EJ63,EK63,EL63,EM63,EN63,EO63,EP63&amp;"|n")</f>
        <v>|n护甲+18|n生命值+28400|n伤害减免+6%|n</v>
      </c>
      <c r="CV63" s="29" t="str">
        <f>"|cffffcc00属性：|r"&amp;CU63&amp;VLOOKUP(A63,合成公式!A:P,16,FALSE)&amp;T63</f>
        <v>|cffffcc00属性：|r|n护甲+18|n生命值+28400|n伤害减免+6%|n</v>
      </c>
      <c r="DB63" s="30" t="str">
        <f t="shared" ref="DB63:DB87" si="666">IF(V63="","","|n"&amp;DB$2&amp;"+"&amp;V63&amp;DB$1)</f>
        <v/>
      </c>
      <c r="DC63" s="30" t="str">
        <f t="shared" ref="DC63:DC87" si="667">IF(W63="","","|n"&amp;DC$2&amp;"+"&amp;W63&amp;DC$1)</f>
        <v/>
      </c>
      <c r="DD63" s="30" t="str">
        <f t="shared" ref="DD63:DD87" si="668">IF(X63="","","|n"&amp;DD$2&amp;"+"&amp;X63&amp;DD$1)</f>
        <v>|n护甲+18</v>
      </c>
      <c r="DE63" s="30" t="str">
        <f t="shared" ref="DE63:DE87" si="669">IF(Y63="","","|n"&amp;DE$2&amp;"+"&amp;Y63&amp;DE$1)</f>
        <v/>
      </c>
      <c r="DF63" s="30" t="str">
        <f t="shared" ref="DF63:DF87" si="670">IF(Z63="","","|n"&amp;DF$2&amp;"+"&amp;Z63&amp;DF$1)</f>
        <v>|n生命值+28400</v>
      </c>
      <c r="DG63" s="30" t="str">
        <f t="shared" ref="DG63:DG87" si="671">IF(AA63="","","|n"&amp;DG$2&amp;"+"&amp;AA63&amp;DG$1)</f>
        <v/>
      </c>
      <c r="DH63" s="30" t="str">
        <f t="shared" ref="DH63:DH87" si="672">IF(AB63="","","|n"&amp;DH$2&amp;"+"&amp;AB63&amp;DH$1)</f>
        <v/>
      </c>
      <c r="DI63" s="30" t="str">
        <f t="shared" ref="DI63:DI87" si="673">IF(AC63="","","|n"&amp;DI$2&amp;"+"&amp;AC63&amp;DI$1)</f>
        <v/>
      </c>
      <c r="DJ63" s="30" t="str">
        <f t="shared" ref="DJ63:DJ87" si="674">IF(AD63="","","|n"&amp;DJ$2&amp;"+"&amp;AD63&amp;DJ$1)</f>
        <v/>
      </c>
      <c r="DK63" s="30" t="str">
        <f t="shared" ref="DK63:DK87" si="675">IF(AE63="","","|n"&amp;DK$2&amp;"+"&amp;AE63&amp;DK$1)</f>
        <v/>
      </c>
      <c r="DL63" s="30" t="str">
        <f t="shared" ref="DL63:DL87" si="676">IF(AF63="","","|n"&amp;DL$2&amp;"+"&amp;AF63&amp;DL$1)</f>
        <v/>
      </c>
      <c r="DM63" s="30" t="str">
        <f t="shared" ref="DM63:DM87" si="677">IF(AG63="","","|n"&amp;DM$2&amp;"+"&amp;AG63&amp;DM$1)</f>
        <v/>
      </c>
      <c r="DN63" s="30" t="str">
        <f t="shared" ref="DN63:DN87" si="678">IF(AH63="","","|n"&amp;DN$2&amp;"+"&amp;AH63&amp;DN$1)</f>
        <v/>
      </c>
      <c r="DO63" s="30" t="str">
        <f t="shared" ref="DO63:DO87" si="679">IF(AI63="","","|n"&amp;DO$2&amp;"+"&amp;AI63&amp;DO$1)</f>
        <v/>
      </c>
      <c r="DP63" s="30" t="str">
        <f t="shared" ref="DP63:DP87" si="680">IF(AJ63="","","|n"&amp;DP$2&amp;"+"&amp;AJ63&amp;DP$1)</f>
        <v/>
      </c>
      <c r="DQ63" s="30" t="str">
        <f t="shared" ref="DQ63:DQ87" si="681">IF(AK63="","","|n"&amp;DQ$2&amp;"+"&amp;AK63&amp;DQ$1)</f>
        <v/>
      </c>
      <c r="DR63" s="30" t="str">
        <f t="shared" ref="DR63:DR87" si="682">IF(AL63="","","|n"&amp;DR$2&amp;"+"&amp;AL63&amp;DR$1)</f>
        <v/>
      </c>
      <c r="DS63" s="30" t="str">
        <f t="shared" ref="DS63:DS87" si="683">IF(AM63="","","|n"&amp;DS$2&amp;"+"&amp;AM63&amp;DS$1)</f>
        <v>|n伤害减免+6%</v>
      </c>
      <c r="DT63" s="30" t="str">
        <f t="shared" ref="DT63:DT87" si="684">IF(AN63="","","|n"&amp;DT$2&amp;"+"&amp;AN63&amp;DT$1)</f>
        <v/>
      </c>
      <c r="DU63" s="30" t="str">
        <f t="shared" ref="DU63:DU87" si="685">IF(AO63="","","|n"&amp;DU$2&amp;"+"&amp;AO63&amp;DU$1)</f>
        <v/>
      </c>
      <c r="DV63" s="30" t="str">
        <f t="shared" ref="DV63:DV87" si="686">IF(AP63="","","|n"&amp;DV$2&amp;"+"&amp;AP63&amp;DV$1)</f>
        <v/>
      </c>
      <c r="DW63" s="30" t="str">
        <f t="shared" ref="DW63:DW87" si="687">IF(AQ63="","","|n"&amp;DW$2&amp;"+"&amp;AQ63&amp;DW$1)</f>
        <v/>
      </c>
      <c r="DX63" s="30" t="str">
        <f t="shared" ref="DX63:DX87" si="688">IF(AR63="","","|n"&amp;DX$2&amp;"+"&amp;AR63&amp;DX$1)</f>
        <v/>
      </c>
      <c r="DY63" s="30" t="str">
        <f t="shared" ref="DY63:DY87" si="689">IF(AS63="","","|n"&amp;DY$2&amp;"+"&amp;AS63&amp;DY$1)</f>
        <v/>
      </c>
      <c r="DZ63" s="30" t="str">
        <f t="shared" ref="DZ63:DZ87" si="690">IF(AT63="","","|n"&amp;DZ$2&amp;"+"&amp;AT63&amp;DZ$1)</f>
        <v/>
      </c>
      <c r="EA63" s="30" t="str">
        <f t="shared" ref="EA63:EA87" si="691">IF(AU63="","","|n"&amp;EA$2&amp;"+"&amp;AU63&amp;EA$1)</f>
        <v/>
      </c>
      <c r="EB63" s="30" t="str">
        <f t="shared" ref="EB63:EB87" si="692">IF(AV63="","","|n"&amp;EB$2&amp;"+"&amp;AV63&amp;EB$1)</f>
        <v/>
      </c>
      <c r="EC63" s="30" t="str">
        <f t="shared" ref="EC63:EC87" si="693">IF(AW63="","","|n"&amp;EC$2&amp;"+"&amp;AW63&amp;EC$1)</f>
        <v/>
      </c>
      <c r="ED63" s="30" t="str">
        <f t="shared" ref="ED63:ED87" si="694">IF(AX63="","","|n"&amp;ED$2&amp;"+"&amp;AX63&amp;ED$1)</f>
        <v/>
      </c>
      <c r="EE63" s="30" t="str">
        <f t="shared" ref="EE63:EE87" si="695">IF(AY63="","","|n"&amp;EE$2&amp;"+"&amp;AY63&amp;EE$1)</f>
        <v/>
      </c>
      <c r="EF63" s="30" t="str">
        <f t="shared" ref="EF63:EF87" si="696">IF(AZ63="","","|n"&amp;EF$2&amp;"+"&amp;AZ63&amp;EF$1)</f>
        <v/>
      </c>
      <c r="EG63" s="30" t="str">
        <f t="shared" ref="EG63:EG87" si="697">IF(BA63="","","|n"&amp;EG$2&amp;"+"&amp;BA63&amp;EG$1)</f>
        <v/>
      </c>
      <c r="EH63" s="30" t="str">
        <f t="shared" ref="EH63:EH87" si="698">IF(BB63="","","|n"&amp;EH$2&amp;"+"&amp;BB63&amp;EH$1)</f>
        <v/>
      </c>
      <c r="EI63" s="30" t="str">
        <f t="shared" ref="EI63:EI87" si="699">IF(BC63="","","|n"&amp;EI$2&amp;"+"&amp;BC63&amp;EI$1)</f>
        <v/>
      </c>
      <c r="EJ63" s="30" t="str">
        <f t="shared" ref="EJ63:EJ87" si="700">IF(BD63="","","|n"&amp;EJ$2&amp;"+"&amp;BD63&amp;EJ$1)</f>
        <v/>
      </c>
      <c r="EK63" s="30" t="str">
        <f t="shared" ref="EK63:EK87" si="701">IF(BE63="","","|n"&amp;EK$2&amp;"+"&amp;BE63&amp;EK$1)</f>
        <v/>
      </c>
      <c r="EL63" s="30" t="str">
        <f t="shared" ref="EL63:EL87" si="702">IF(BF63="","","|n"&amp;EL$2&amp;"+"&amp;BF63&amp;EL$1)</f>
        <v/>
      </c>
      <c r="EM63" s="30" t="str">
        <f t="shared" ref="EM63:EM87" si="703">IF(BG63="","","|n"&amp;EM$2&amp;"+"&amp;BG63&amp;EM$1)</f>
        <v/>
      </c>
      <c r="EN63" s="30" t="str">
        <f t="shared" ref="EN63:EN87" si="704">IF(BH63="","","|n"&amp;EN$2&amp;"+"&amp;BH63&amp;EN$1)</f>
        <v/>
      </c>
      <c r="EO63" s="30" t="str">
        <f t="shared" ref="EO63:EO87" si="705">IF(BI63="","","|n"&amp;EO$2&amp;"+"&amp;BI63&amp;EO$1)</f>
        <v/>
      </c>
      <c r="EP63" s="30" t="str">
        <f t="shared" ref="EP63:EP87" si="706">IF(BJ63="","","|n"&amp;EP$2&amp;"+"&amp;BJ63&amp;EP$1)</f>
        <v/>
      </c>
      <c r="EQ63" s="30" t="str">
        <f t="shared" ref="EQ63:EQ87" si="707">IF(BK63="","","|n"&amp;EQ$2&amp;"+"&amp;BK63&amp;EQ$1)</f>
        <v/>
      </c>
      <c r="ER63" s="30" t="str">
        <f t="shared" ref="ER63:ER87" si="708">IF(BL63="","","|n"&amp;ER$2&amp;"+"&amp;BL63&amp;ER$1)</f>
        <v/>
      </c>
      <c r="ES63" s="30" t="str">
        <f t="shared" ref="ES63:ES87" si="709">IF(BM63="","","|n"&amp;ES$2&amp;"+"&amp;BM63&amp;ES$1)</f>
        <v/>
      </c>
      <c r="ET63" s="30" t="str">
        <f t="shared" ref="ET63:ET87" si="710">IF(BN63="","","|n"&amp;ET$2&amp;"+"&amp;BN63&amp;ET$1)</f>
        <v/>
      </c>
      <c r="EU63" s="30" t="str">
        <f t="shared" ref="EU63:EU87" si="711">IF(BO63="","","|n"&amp;EU$2&amp;"+"&amp;BO63&amp;EU$1)</f>
        <v/>
      </c>
      <c r="EV63" s="30" t="str">
        <f t="shared" ref="EV63:EV87" si="712">IF(BP63="","","|n"&amp;EV$2&amp;"+"&amp;BP63&amp;EV$1)</f>
        <v/>
      </c>
      <c r="EW63" s="30" t="str">
        <f t="shared" ref="EW63:EW87" si="713">IF(BQ63="","","|n"&amp;EW$2&amp;"+"&amp;BQ63&amp;EW$1)</f>
        <v/>
      </c>
      <c r="EX63" s="30" t="str">
        <f t="shared" ref="EX63:EX87" si="714">IF(BR63="","","|n"&amp;EX$2&amp;"+"&amp;BR63&amp;EX$1)</f>
        <v/>
      </c>
      <c r="EY63" s="30" t="str">
        <f t="shared" ref="EY63:EY87" si="715">IF(BS63="","","|n"&amp;EY$2&amp;"+"&amp;BS63&amp;EY$1)</f>
        <v/>
      </c>
      <c r="EZ63" s="30" t="str">
        <f t="shared" ref="EZ63:EZ87" si="716">IF(BT63="","","|n"&amp;EZ$2&amp;"+"&amp;BT63&amp;EZ$1)</f>
        <v/>
      </c>
      <c r="FA63" s="30" t="str">
        <f t="shared" ref="FA63:FA87" si="717">IF(BU63="","","|n"&amp;FA$2&amp;"+"&amp;BU63&amp;FA$1)</f>
        <v/>
      </c>
      <c r="FB63" s="30" t="str">
        <f t="shared" ref="FB63:FB87" si="718">IF(BV63="","","|n"&amp;FB$2&amp;"+"&amp;BV63&amp;FB$1)</f>
        <v/>
      </c>
      <c r="FC63" s="30" t="str">
        <f t="shared" ref="FC63:FC87" si="719">IF(BW63="","","|n"&amp;FC$2&amp;"+"&amp;BW63&amp;FC$1)</f>
        <v/>
      </c>
      <c r="FD63" s="30" t="str">
        <f t="shared" ref="FD63:FD87" si="720">IF(BX63="","","|n"&amp;FD$2&amp;"+"&amp;BX63&amp;FD$1)</f>
        <v/>
      </c>
      <c r="FE63" s="30" t="str">
        <f t="shared" ref="FE63:FE87" si="721">IF(BY63="","","|n"&amp;FE$2&amp;"+"&amp;BY63&amp;FE$1)</f>
        <v/>
      </c>
      <c r="FF63" s="30" t="str">
        <f t="shared" ref="FF63:FF87" si="722">IF(BZ63="","","|n"&amp;FF$2&amp;"+"&amp;BZ63&amp;FF$1)</f>
        <v/>
      </c>
      <c r="FG63" s="30" t="str">
        <f t="shared" ref="FG63:FG87" si="723">IF(CA63="","","|n"&amp;FG$2&amp;"+"&amp;CA63&amp;FG$1)</f>
        <v/>
      </c>
      <c r="FH63" s="30" t="str">
        <f t="shared" ref="FH63:FH87" si="724">IF(CB63="","","|n"&amp;FH$2&amp;"+"&amp;CB63&amp;FH$1)</f>
        <v/>
      </c>
      <c r="FI63" s="30" t="str">
        <f t="shared" ref="FI63:FI87" si="725">IF(CC63="","","|n"&amp;FI$2&amp;"+"&amp;CC63&amp;FI$1)</f>
        <v/>
      </c>
      <c r="FJ63" s="30" t="str">
        <f t="shared" ref="FJ63:FJ87" si="726">IF(CD63="","","|n"&amp;FJ$2&amp;"+"&amp;CD63&amp;FJ$1)</f>
        <v/>
      </c>
      <c r="FK63" s="30" t="str">
        <f t="shared" ref="FK63:FK87" si="727">IF(CE63="","","|n"&amp;FK$2&amp;"+"&amp;CE63&amp;FK$1)</f>
        <v/>
      </c>
      <c r="FL63" s="30" t="str">
        <f t="shared" ref="FL63:FL87" si="728">IF(CF63="","","|n"&amp;FL$2&amp;"+"&amp;CF63&amp;FL$1)</f>
        <v/>
      </c>
      <c r="FM63" s="30" t="str">
        <f t="shared" ref="FM63:FM87" si="729">IF(CG63="","","|n"&amp;FM$2&amp;"+"&amp;CG63&amp;FM$1)</f>
        <v/>
      </c>
      <c r="FN63" s="30" t="str">
        <f t="shared" ref="FN63:FN87" si="730">IF(CH63="","","|n"&amp;FN$2&amp;"+"&amp;CH63&amp;FN$1)</f>
        <v/>
      </c>
      <c r="FO63" s="30" t="str">
        <f t="shared" ref="FO63:FO87" si="731">IF(CI63="","","|n"&amp;FO$2&amp;"+"&amp;CI63&amp;FO$1)</f>
        <v/>
      </c>
      <c r="FP63" s="30" t="str">
        <f t="shared" ref="FP63:FP87" si="732">IF(CJ63="","","|n"&amp;FP$2&amp;"+"&amp;CJ63&amp;FP$1)</f>
        <v/>
      </c>
      <c r="FQ63" s="30" t="str">
        <f t="shared" ref="FQ63:FQ87" si="733">IF(CK63="","","|n"&amp;FQ$2&amp;"+"&amp;CK63&amp;FQ$1)</f>
        <v/>
      </c>
      <c r="FR63" s="30" t="str">
        <f t="shared" ref="FR63:FR87" si="734">IF(CL63="","","|n"&amp;FR$2&amp;"+"&amp;CL63&amp;FR$1)</f>
        <v/>
      </c>
      <c r="FS63" s="30" t="str">
        <f t="shared" ref="FS63:FS87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22600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32800</v>
      </c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>
        <v>6</v>
      </c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InitUnitState('E212',,,21,,32800,,,,,)</v>
      </c>
      <c r="CO64" s="44" t="str">
        <f t="shared" si="298"/>
        <v>InitUnitNormal('E212',,,,,,,,6,,)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InitEquipData('E212',,"",,E213,22600,,'','','','','','',"ReplaceableTextures\\CommandButtons\\BTNE213.blp")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|n护甲+21|n生命值+32800|n伤害减免+6%|n</v>
      </c>
      <c r="CV64" s="29" t="str">
        <f>"|cffffcc00属性：|r"&amp;CU64&amp;VLOOKUP(A64,合成公式!A:P,16,FALSE)&amp;T64</f>
        <v>|cffffcc00属性：|r|n护甲+21|n生命值+32800|n伤害减免+6%|n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|n生命值+32800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/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>|n伤害减免+6%</v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23400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37200</v>
      </c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>
        <v>6</v>
      </c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InitUnitState('E213',,,24,,37200,,,,,)</v>
      </c>
      <c r="CO65" s="44" t="str">
        <f t="shared" si="298"/>
        <v>InitUnitNormal('E213',,,,,,,,6,,)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InitEquipData('E213',,"",,E214,23400,,'','','','','','',"ReplaceableTextures\\CommandButtons\\BTNE214.blp")</v>
      </c>
      <c r="CS65" s="44"/>
      <c r="CT65" s="44"/>
      <c r="CU65" s="45" t="str">
        <f t="shared" si="737"/>
        <v>|n护甲+24|n生命值+37200|n伤害减免+6%|n</v>
      </c>
      <c r="CV65" s="29" t="str">
        <f>"|cffffcc00属性：|r"&amp;CU65&amp;VLOOKUP(A65,合成公式!A:P,16,FALSE)&amp;T65</f>
        <v>|cffffcc00属性：|r|n护甲+24|n生命值+37200|n伤害减免+6%|n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|n生命值+37200</v>
      </c>
      <c r="DG65" s="30" t="str">
        <f t="shared" si="743"/>
        <v/>
      </c>
      <c r="DH65" s="30" t="str">
        <f t="shared" si="744"/>
        <v/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>|n伤害减免+6%</v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24200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41600</v>
      </c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>
        <v>6</v>
      </c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InitUnitState('E214',,,27,,41600,,,,,)</v>
      </c>
      <c r="CO66" s="44" t="str">
        <f t="shared" si="298"/>
        <v>InitUnitNormal('E214',,,,,,,,6,,)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InitEquipData('E214',,"",,E215,24200,,'','','','','','',"ReplaceableTextures\\CommandButtons\\BTNE215.blp")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|n护甲+27|n生命值+41600|n伤害减免+6%|n</v>
      </c>
      <c r="CV66" s="29" t="str">
        <f>"|cffffcc00属性：|r"&amp;CU66&amp;VLOOKUP(A66,合成公式!A:P,16,FALSE)&amp;T66</f>
        <v>|cffffcc00属性：|r|n护甲+27|n生命值+41600|n伤害减免+6%|n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|n生命值+41600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/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>|n伤害减免+6%</v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25000</v>
      </c>
      <c r="G67" s="38"/>
      <c r="H67" s="38"/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46000</v>
      </c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>
        <v>6</v>
      </c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InitUnitState('E215',,,30,,46000,,,,,)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InitUnitNormal('E215',,,,,,,,6,,)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InitEquipData('E215',,"",,E216,25000,,'','','','','','',"ReplaceableTextures\\CommandButtons\\BTNE216.blp")</v>
      </c>
      <c r="CS67" s="44"/>
      <c r="CT67" s="44"/>
      <c r="CU67" s="45" t="str">
        <f t="shared" si="809"/>
        <v>|n护甲+30|n生命值+46000|n伤害减免+6%|n</v>
      </c>
      <c r="CV67" s="29" t="str">
        <f>"|cffffcc00属性：|r"&amp;CU67&amp;VLOOKUP(A67,合成公式!A:P,16,FALSE)&amp;T67</f>
        <v>|cffffcc00属性：|r|n护甲+30|n生命值+46000|n伤害减免+6%|n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|n生命值+46000</v>
      </c>
      <c r="DG67" s="30" t="str">
        <f t="shared" si="815"/>
        <v/>
      </c>
      <c r="DH67" s="30" t="str">
        <f t="shared" si="816"/>
        <v/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>|n伤害减免+6%</v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26000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54800</v>
      </c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>
        <v>9</v>
      </c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InitUnitState('E216',,,34,,54800,,,,,)</v>
      </c>
      <c r="CO68" s="44" t="str">
        <f t="shared" si="881"/>
        <v>InitUnitNormal('E216',,,,,,,,9,,)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InitEquipData('E216',,"",,E217,26000,,'','','','','','',"ReplaceableTextures\\CommandButtons\\BTNE217.blp")</v>
      </c>
      <c r="CS68" s="44"/>
      <c r="CT68" s="44"/>
      <c r="CU68" s="45" t="str">
        <f t="shared" si="809"/>
        <v>|n护甲+34|n生命值+54800|n伤害减免+9%|n</v>
      </c>
      <c r="CV68" s="29" t="str">
        <f>"|cffffcc00属性：|r"&amp;CU68&amp;VLOOKUP(A68,合成公式!A:P,16,FALSE)&amp;T68</f>
        <v>|cffffcc00属性：|r|n护甲+34|n生命值+54800|n伤害减免+9%|n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|n生命值+54800</v>
      </c>
      <c r="DG68" s="30" t="str">
        <f t="shared" si="815"/>
        <v/>
      </c>
      <c r="DH68" s="30" t="str">
        <f t="shared" si="816"/>
        <v/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>|n伤害减免+9%</v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27000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63600</v>
      </c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>
        <v>9</v>
      </c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InitUnitState('E217',,,38,,63600,,,,,)</v>
      </c>
      <c r="CO69" s="44" t="str">
        <f t="shared" si="881"/>
        <v>InitUnitNormal('E217',,,,,,,,9,,)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InitEquipData('E217',,"",,E218,27000,,'','','','','','',"ReplaceableTextures\\CommandButtons\\BTNE218.blp")</v>
      </c>
      <c r="CS69" s="44"/>
      <c r="CT69" s="44"/>
      <c r="CU69" s="45" t="str">
        <f t="shared" si="809"/>
        <v>|n护甲+38|n生命值+63600|n伤害减免+9%|n</v>
      </c>
      <c r="CV69" s="29" t="str">
        <f>"|cffffcc00属性：|r"&amp;CU69&amp;VLOOKUP(A69,合成公式!A:P,16,FALSE)&amp;T69</f>
        <v>|cffffcc00属性：|r|n护甲+38|n生命值+63600|n伤害减免+9%|n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|n生命值+63600</v>
      </c>
      <c r="DG69" s="30" t="str">
        <f t="shared" si="815"/>
        <v/>
      </c>
      <c r="DH69" s="30" t="str">
        <f t="shared" si="816"/>
        <v/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>|n伤害减免+9%</v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28000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72400</v>
      </c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>
        <v>9</v>
      </c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InitUnitState('E218',,,42,,72400,,,,,)</v>
      </c>
      <c r="CO70" s="44" t="str">
        <f t="shared" si="881"/>
        <v>InitUnitNormal('E218',,,,,,,,9,,)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InitEquipData('E218',,"",,E219,28000,,'','','','','','',"ReplaceableTextures\\CommandButtons\\BTNE219.blp")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|n护甲+42|n生命值+72400|n伤害减免+9%|n</v>
      </c>
      <c r="CV70" s="29" t="str">
        <f>"|cffffcc00属性：|r"&amp;CU70&amp;VLOOKUP(A70,合成公式!A:P,16,FALSE)&amp;T70</f>
        <v>|cffffcc00属性：|r|n护甲+42|n生命值+72400|n伤害减免+9%|n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|n生命值+72400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/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>|n伤害减免+9%</v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29000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81200</v>
      </c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>
        <v>9</v>
      </c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InitUnitState('E219',,,46,,81200,,,,,)</v>
      </c>
      <c r="CO71" s="44" t="str">
        <f t="shared" si="881"/>
        <v>InitUnitNormal('E219',,,,,,,,9,,)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InitEquipData('E219',,"",,E220,29000,,'','','','','','',"ReplaceableTextures\\CommandButtons\\BTNE220.blp")</v>
      </c>
      <c r="CS71" s="44"/>
      <c r="CT71" s="44"/>
      <c r="CU71" s="45" t="str">
        <f t="shared" si="885"/>
        <v>|n护甲+46|n生命值+81200|n伤害减免+9%|n</v>
      </c>
      <c r="CV71" s="29" t="str">
        <f>"|cffffcc00属性：|r"&amp;CU71&amp;VLOOKUP(A71,合成公式!A:P,16,FALSE)&amp;T71</f>
        <v>|cffffcc00属性：|r|n护甲+46|n生命值+81200|n伤害减免+9%|n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|n生命值+81200</v>
      </c>
      <c r="DG71" s="30" t="str">
        <f t="shared" si="891"/>
        <v/>
      </c>
      <c r="DH71" s="30" t="str">
        <f t="shared" si="892"/>
        <v/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>|n伤害减免+9%</v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30000</v>
      </c>
      <c r="G72" s="38"/>
      <c r="H72" s="38"/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90000</v>
      </c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>
        <v>9</v>
      </c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InitUnitState('E220',,,50,,90000,,,,,)</v>
      </c>
      <c r="CO72" s="44" t="str">
        <f t="shared" si="881"/>
        <v>InitUnitNormal('E220',,,,,,,,9,,)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InitEquipData('E220',,"",,E221,30000,,'','','','','','',"ReplaceableTextures\\CommandButtons\\BTNE221.blp")</v>
      </c>
      <c r="CS72" s="44"/>
      <c r="CT72" s="44"/>
      <c r="CU72" s="45" t="str">
        <f t="shared" si="885"/>
        <v>|n护甲+50|n生命值+90000|n伤害减免+9%|n</v>
      </c>
      <c r="CV72" s="29" t="str">
        <f>"|cffffcc00属性：|r"&amp;CU72&amp;VLOOKUP(A72,合成公式!A:P,16,FALSE)&amp;T72</f>
        <v>|cffffcc00属性：|r|n护甲+50|n生命值+90000|n伤害减免+9%|n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|n生命值+90000</v>
      </c>
      <c r="DG72" s="30" t="str">
        <f t="shared" si="891"/>
        <v/>
      </c>
      <c r="DH72" s="30" t="str">
        <f t="shared" si="892"/>
        <v/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>|n伤害减免+9%</v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31200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112000</v>
      </c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>
        <v>12</v>
      </c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InitUnitState('E221',,,55,,112000,,,,,)</v>
      </c>
      <c r="CO73" s="44" t="str">
        <f t="shared" si="881"/>
        <v>InitUnitNormal('E221',,,,,,,,12,,)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InitEquipData('E221',,"",,E222,31200,,'','','','','','',"ReplaceableTextures\\CommandButtons\\BTNE222.blp")</v>
      </c>
      <c r="CS73" s="44"/>
      <c r="CT73" s="44"/>
      <c r="CU73" s="45" t="str">
        <f t="shared" si="885"/>
        <v>|n护甲+55|n生命值+112000|n伤害减免+12%|n</v>
      </c>
      <c r="CV73" s="29" t="str">
        <f>"|cffffcc00属性：|r"&amp;CU73&amp;VLOOKUP(A73,合成公式!A:P,16,FALSE)&amp;T73</f>
        <v>|cffffcc00属性：|r|n护甲+55|n生命值+112000|n伤害减免+12%|n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|n生命值+112000</v>
      </c>
      <c r="DG73" s="30" t="str">
        <f t="shared" si="891"/>
        <v/>
      </c>
      <c r="DH73" s="30" t="str">
        <f t="shared" si="892"/>
        <v/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>|n伤害减免+12%</v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32400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134000</v>
      </c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>
        <v>12</v>
      </c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InitUnitState('E222',,,60,,134000,,,,,)</v>
      </c>
      <c r="CO74" s="44" t="str">
        <f t="shared" si="881"/>
        <v>InitUnitNormal('E222',,,,,,,,12,,)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InitEquipData('E222',,"",,E223,32400,,'','','','','','',"ReplaceableTextures\\CommandButtons\\BTNE223.blp")</v>
      </c>
      <c r="CS74" s="44"/>
      <c r="CT74" s="44"/>
      <c r="CU74" s="45" t="str">
        <f t="shared" si="885"/>
        <v>|n护甲+60|n生命值+134000|n伤害减免+12%|n</v>
      </c>
      <c r="CV74" s="29" t="str">
        <f>"|cffffcc00属性：|r"&amp;CU74&amp;VLOOKUP(A74,合成公式!A:P,16,FALSE)&amp;T74</f>
        <v>|cffffcc00属性：|r|n护甲+60|n生命值+134000|n伤害减免+12%|n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|n生命值+134000</v>
      </c>
      <c r="DG74" s="30" t="str">
        <f t="shared" si="891"/>
        <v/>
      </c>
      <c r="DH74" s="30" t="str">
        <f t="shared" si="892"/>
        <v/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>|n伤害减免+12%</v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33600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156000</v>
      </c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>
        <v>12</v>
      </c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InitUnitState('E223',,,65,,156000,,,,,)</v>
      </c>
      <c r="CO75" s="44" t="str">
        <f t="shared" si="881"/>
        <v>InitUnitNormal('E223',,,,,,,,12,,)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InitEquipData('E223',,"",,E224,33600,,'','','','','','',"ReplaceableTextures\\CommandButtons\\BTNE224.blp")</v>
      </c>
      <c r="CS75" s="44"/>
      <c r="CT75" s="44"/>
      <c r="CU75" s="45" t="str">
        <f t="shared" si="885"/>
        <v>|n护甲+65|n生命值+156000|n伤害减免+12%|n</v>
      </c>
      <c r="CV75" s="29" t="str">
        <f>"|cffffcc00属性：|r"&amp;CU75&amp;VLOOKUP(A75,合成公式!A:P,16,FALSE)&amp;T75</f>
        <v>|cffffcc00属性：|r|n护甲+65|n生命值+156000|n伤害减免+12%|n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|n生命值+156000</v>
      </c>
      <c r="DG75" s="30" t="str">
        <f t="shared" si="891"/>
        <v/>
      </c>
      <c r="DH75" s="30" t="str">
        <f t="shared" si="892"/>
        <v/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>|n伤害减免+12%</v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34800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178000</v>
      </c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>
        <v>12</v>
      </c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InitUnitState('E224',,,70,,178000,,,,,)</v>
      </c>
      <c r="CO76" s="44" t="str">
        <f t="shared" si="881"/>
        <v>InitUnitNormal('E224',,,,,,,,12,,)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InitEquipData('E224',,"",,E225,34800,,'','','','','','',"ReplaceableTextures\\CommandButtons\\BTNE225.blp")</v>
      </c>
      <c r="CS76" s="44"/>
      <c r="CT76" s="44"/>
      <c r="CU76" s="45" t="str">
        <f t="shared" si="885"/>
        <v>|n护甲+70|n生命值+178000|n伤害减免+12%|n</v>
      </c>
      <c r="CV76" s="29" t="str">
        <f>"|cffffcc00属性：|r"&amp;CU76&amp;VLOOKUP(A76,合成公式!A:P,16,FALSE)&amp;T76</f>
        <v>|cffffcc00属性：|r|n护甲+70|n生命值+178000|n伤害减免+12%|n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|n生命值+178000</v>
      </c>
      <c r="DG76" s="30" t="str">
        <f t="shared" si="891"/>
        <v/>
      </c>
      <c r="DH76" s="30" t="str">
        <f t="shared" si="892"/>
        <v/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>|n伤害减免+12%</v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>
        <v>12</v>
      </c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InitUnitState('E225',,,75,,200000,,,,,)</v>
      </c>
      <c r="CO77" s="44" t="str">
        <f t="shared" si="881"/>
        <v>InitUnitNormal('E225',,,,,,,,12,,)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|n护甲+75|n生命值+200000|n伤害减免+12%|n</v>
      </c>
      <c r="CV77" s="29" t="str">
        <f>"|cffffcc00属性：|r"&amp;CU77&amp;VLOOKUP(A77,合成公式!A:P,16,FALSE)&amp;T77</f>
        <v>|cffffcc00属性：|r|n护甲+75|n生命值+200000|n伤害减免+12%|n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/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>|n伤害减免+12%</v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854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855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856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857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858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859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860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861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862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825</v>
      </c>
      <c r="C88" s="111" t="s">
        <v>826</v>
      </c>
      <c r="T88" s="114" t="s">
        <v>827</v>
      </c>
      <c r="U88" s="37" t="s">
        <v>822</v>
      </c>
      <c r="CN88" s="7" t="str">
        <f t="shared" ref="CN88:CN95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:CO95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:CP95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:CQ95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ref="CU88" si="960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29" t="str">
        <f t="shared" ref="CV88" si="961">T88</f>
        <v>随机技能</v>
      </c>
      <c r="CW88" s="24"/>
      <c r="CX88" s="24"/>
      <c r="CY88" s="24"/>
      <c r="CZ88" s="24"/>
      <c r="DA88" s="24"/>
      <c r="DB88" s="30" t="str">
        <f t="shared" ref="DB88" si="962">IF(V88="","","|n"&amp;DB$2&amp;"+"&amp;V88&amp;DB$1)</f>
        <v/>
      </c>
      <c r="DC88" s="30" t="str">
        <f t="shared" ref="DC88" si="963">IF(W88="","","|n"&amp;DC$2&amp;"+"&amp;W88&amp;DC$1)</f>
        <v/>
      </c>
      <c r="DD88" s="30" t="str">
        <f t="shared" ref="DD88" si="964">IF(X88="","","|n"&amp;DD$2&amp;"+"&amp;X88&amp;DD$1)</f>
        <v/>
      </c>
      <c r="DE88" s="30" t="str">
        <f t="shared" ref="DE88" si="965">IF(Y88="","","|n"&amp;DE$2&amp;"+"&amp;Y88&amp;DE$1)</f>
        <v/>
      </c>
      <c r="DF88" s="30" t="str">
        <f t="shared" ref="DF88" si="966">IF(Z88="","","|n"&amp;DF$2&amp;"+"&amp;Z88&amp;DF$1)</f>
        <v/>
      </c>
      <c r="DG88" s="30" t="str">
        <f t="shared" ref="DG88" si="967">IF(AA88="","","|n"&amp;DG$2&amp;"+"&amp;AA88&amp;DG$1)</f>
        <v/>
      </c>
      <c r="DH88" s="30" t="str">
        <f t="shared" ref="DH88" si="968">IF(AB88="","","|n"&amp;DH$2&amp;"+"&amp;AB88&amp;DH$1)</f>
        <v/>
      </c>
      <c r="DI88" s="30" t="str">
        <f t="shared" ref="DI88" si="969">IF(AC88="","","|n"&amp;DI$2&amp;"+"&amp;AC88&amp;DI$1)</f>
        <v/>
      </c>
      <c r="DJ88" s="30" t="str">
        <f t="shared" ref="DJ88" si="970">IF(AD88="","","|n"&amp;DJ$2&amp;"+"&amp;AD88&amp;DJ$1)</f>
        <v/>
      </c>
      <c r="DK88" s="30" t="str">
        <f t="shared" ref="DK88" si="971">IF(AE88="","","|n"&amp;DK$2&amp;"+"&amp;AE88&amp;DK$1)</f>
        <v/>
      </c>
      <c r="DL88" s="30" t="str">
        <f t="shared" ref="DL88" si="972">IF(AF88="","","|n"&amp;DL$2&amp;"+"&amp;AF88&amp;DL$1)</f>
        <v/>
      </c>
      <c r="DM88" s="30" t="str">
        <f t="shared" ref="DM88" si="973">IF(AG88="","","|n"&amp;DM$2&amp;"+"&amp;AG88&amp;DM$1)</f>
        <v/>
      </c>
      <c r="DN88" s="30" t="str">
        <f t="shared" ref="DN88" si="974">IF(AH88="","","|n"&amp;DN$2&amp;"+"&amp;AH88&amp;DN$1)</f>
        <v/>
      </c>
      <c r="DO88" s="30" t="str">
        <f t="shared" ref="DO88" si="975">IF(AI88="","","|n"&amp;DO$2&amp;"+"&amp;AI88&amp;DO$1)</f>
        <v/>
      </c>
      <c r="DP88" s="30" t="str">
        <f t="shared" ref="DP88" si="976">IF(AJ88="","","|n"&amp;DP$2&amp;"+"&amp;AJ88&amp;DP$1)</f>
        <v/>
      </c>
      <c r="DQ88" s="30" t="str">
        <f t="shared" ref="DQ88" si="977">IF(AK88="","","|n"&amp;DQ$2&amp;"+"&amp;AK88&amp;DQ$1)</f>
        <v/>
      </c>
      <c r="DR88" s="30" t="str">
        <f t="shared" ref="DR88" si="978">IF(AL88="","","|n"&amp;DR$2&amp;"+"&amp;AL88&amp;DR$1)</f>
        <v/>
      </c>
      <c r="DS88" s="30" t="str">
        <f t="shared" ref="DS88" si="979">IF(AM88="","","|n"&amp;DS$2&amp;"+"&amp;AM88&amp;DS$1)</f>
        <v/>
      </c>
      <c r="DT88" s="30" t="str">
        <f t="shared" ref="DT88" si="980">IF(AN88="","","|n"&amp;DT$2&amp;"+"&amp;AN88&amp;DT$1)</f>
        <v/>
      </c>
      <c r="DU88" s="30" t="str">
        <f t="shared" ref="DU88" si="981">IF(AO88="","","|n"&amp;DU$2&amp;"+"&amp;AO88&amp;DU$1)</f>
        <v/>
      </c>
      <c r="DV88" s="30" t="str">
        <f t="shared" ref="DV88" si="982">IF(AP88="","","|n"&amp;DV$2&amp;"+"&amp;AP88&amp;DV$1)</f>
        <v/>
      </c>
      <c r="DW88" s="30" t="str">
        <f t="shared" ref="DW88" si="983">IF(AQ88="","","|n"&amp;DW$2&amp;"+"&amp;AQ88&amp;DW$1)</f>
        <v/>
      </c>
      <c r="DX88" s="30" t="str">
        <f t="shared" ref="DX88" si="984">IF(AR88="","","|n"&amp;DX$2&amp;"+"&amp;AR88&amp;DX$1)</f>
        <v/>
      </c>
      <c r="DY88" s="30" t="str">
        <f t="shared" ref="DY88" si="985">IF(AS88="","","|n"&amp;DY$2&amp;"+"&amp;AS88&amp;DY$1)</f>
        <v/>
      </c>
      <c r="DZ88" s="30" t="str">
        <f t="shared" ref="DZ88" si="986">IF(AT88="","","|n"&amp;DZ$2&amp;"+"&amp;AT88&amp;DZ$1)</f>
        <v/>
      </c>
      <c r="EA88" s="30" t="str">
        <f t="shared" ref="EA88" si="987">IF(AU88="","","|n"&amp;EA$2&amp;"+"&amp;AU88&amp;EA$1)</f>
        <v/>
      </c>
      <c r="EB88" s="30" t="str">
        <f t="shared" ref="EB88" si="988">IF(AV88="","","|n"&amp;EB$2&amp;"+"&amp;AV88&amp;EB$1)</f>
        <v/>
      </c>
      <c r="EC88" s="30" t="str">
        <f t="shared" ref="EC88" si="989">IF(AW88="","","|n"&amp;EC$2&amp;"+"&amp;AW88&amp;EC$1)</f>
        <v/>
      </c>
      <c r="ED88" s="30" t="str">
        <f t="shared" ref="ED88" si="990">IF(AX88="","","|n"&amp;ED$2&amp;"+"&amp;AX88&amp;ED$1)</f>
        <v/>
      </c>
      <c r="EE88" s="30" t="str">
        <f t="shared" ref="EE88" si="991">IF(AY88="","","|n"&amp;EE$2&amp;"+"&amp;AY88&amp;EE$1)</f>
        <v/>
      </c>
      <c r="EF88" s="30" t="str">
        <f t="shared" ref="EF88" si="992">IF(AZ88="","","|n"&amp;EF$2&amp;"+"&amp;AZ88&amp;EF$1)</f>
        <v/>
      </c>
      <c r="EG88" s="30" t="str">
        <f t="shared" ref="EG88" si="993">IF(BA88="","","|n"&amp;EG$2&amp;"+"&amp;BA88&amp;EG$1)</f>
        <v/>
      </c>
      <c r="EH88" s="30" t="str">
        <f t="shared" ref="EH88" si="994">IF(BB88="","","|n"&amp;EH$2&amp;"+"&amp;BB88&amp;EH$1)</f>
        <v/>
      </c>
      <c r="EI88" s="30" t="str">
        <f t="shared" ref="EI88" si="995">IF(BC88="","","|n"&amp;EI$2&amp;"+"&amp;BC88&amp;EI$1)</f>
        <v/>
      </c>
      <c r="EJ88" s="30" t="str">
        <f t="shared" ref="EJ88" si="996">IF(BD88="","","|n"&amp;EJ$2&amp;"+"&amp;BD88&amp;EJ$1)</f>
        <v/>
      </c>
      <c r="EK88" s="30" t="str">
        <f t="shared" ref="EK88" si="997">IF(BE88="","","|n"&amp;EK$2&amp;"+"&amp;BE88&amp;EK$1)</f>
        <v/>
      </c>
      <c r="EL88" s="30" t="str">
        <f t="shared" ref="EL88" si="998">IF(BF88="","","|n"&amp;EL$2&amp;"+"&amp;BF88&amp;EL$1)</f>
        <v/>
      </c>
      <c r="EM88" s="30" t="str">
        <f t="shared" ref="EM88" si="999">IF(BG88="","","|n"&amp;EM$2&amp;"+"&amp;BG88&amp;EM$1)</f>
        <v/>
      </c>
      <c r="EN88" s="30" t="str">
        <f t="shared" ref="EN88" si="1000">IF(BH88="","","|n"&amp;EN$2&amp;"+"&amp;BH88&amp;EN$1)</f>
        <v/>
      </c>
      <c r="EO88" s="30" t="str">
        <f t="shared" ref="EO88" si="1001">IF(BI88="","","|n"&amp;EO$2&amp;"+"&amp;BI88&amp;EO$1)</f>
        <v/>
      </c>
      <c r="EP88" s="30" t="str">
        <f t="shared" ref="EP88" si="1002">IF(BJ88="","","|n"&amp;EP$2&amp;"+"&amp;BJ88&amp;EP$1)</f>
        <v/>
      </c>
      <c r="EQ88" s="30" t="str">
        <f t="shared" ref="EQ88" si="1003">IF(BK88="","","|n"&amp;EQ$2&amp;"+"&amp;BK88&amp;EQ$1)</f>
        <v/>
      </c>
      <c r="ER88" s="30" t="str">
        <f t="shared" ref="ER88" si="1004">IF(BL88="","","|n"&amp;ER$2&amp;"+"&amp;BL88&amp;ER$1)</f>
        <v/>
      </c>
      <c r="ES88" s="30" t="str">
        <f t="shared" ref="ES88" si="1005">IF(BM88="","","|n"&amp;ES$2&amp;"+"&amp;BM88&amp;ES$1)</f>
        <v/>
      </c>
      <c r="ET88" s="30" t="str">
        <f t="shared" ref="ET88" si="1006">IF(BN88="","","|n"&amp;ET$2&amp;"+"&amp;BN88&amp;ET$1)</f>
        <v/>
      </c>
      <c r="EU88" s="30" t="str">
        <f t="shared" ref="EU88" si="1007">IF(BO88="","","|n"&amp;EU$2&amp;"+"&amp;BO88&amp;EU$1)</f>
        <v/>
      </c>
      <c r="EV88" s="30" t="str">
        <f t="shared" ref="EV88" si="1008">IF(BP88="","","|n"&amp;EV$2&amp;"+"&amp;BP88&amp;EV$1)</f>
        <v/>
      </c>
      <c r="EW88" s="30" t="str">
        <f t="shared" ref="EW88" si="1009">IF(BQ88="","","|n"&amp;EW$2&amp;"+"&amp;BQ88&amp;EW$1)</f>
        <v/>
      </c>
      <c r="EX88" s="30" t="str">
        <f t="shared" ref="EX88" si="1010">IF(BR88="","","|n"&amp;EX$2&amp;"+"&amp;BR88&amp;EX$1)</f>
        <v/>
      </c>
      <c r="EY88" s="30" t="str">
        <f t="shared" ref="EY88" si="1011">IF(BS88="","","|n"&amp;EY$2&amp;"+"&amp;BS88&amp;EY$1)</f>
        <v/>
      </c>
      <c r="EZ88" s="30" t="str">
        <f t="shared" ref="EZ88" si="1012">IF(BT88="","","|n"&amp;EZ$2&amp;"+"&amp;BT88&amp;EZ$1)</f>
        <v/>
      </c>
      <c r="FA88" s="30" t="str">
        <f t="shared" ref="FA88" si="1013">IF(BU88="","","|n"&amp;FA$2&amp;"+"&amp;BU88&amp;FA$1)</f>
        <v/>
      </c>
      <c r="FB88" s="30" t="str">
        <f t="shared" ref="FB88" si="1014">IF(BV88="","","|n"&amp;FB$2&amp;"+"&amp;BV88&amp;FB$1)</f>
        <v/>
      </c>
      <c r="FC88" s="30" t="str">
        <f t="shared" ref="FC88" si="1015">IF(BW88="","","|n"&amp;FC$2&amp;"+"&amp;BW88&amp;FC$1)</f>
        <v/>
      </c>
      <c r="FD88" s="30" t="str">
        <f t="shared" ref="FD88" si="1016">IF(BX88="","","|n"&amp;FD$2&amp;"+"&amp;BX88&amp;FD$1)</f>
        <v/>
      </c>
      <c r="FE88" s="30" t="str">
        <f t="shared" ref="FE88" si="1017">IF(BY88="","","|n"&amp;FE$2&amp;"+"&amp;BY88&amp;FE$1)</f>
        <v/>
      </c>
      <c r="FF88" s="30" t="str">
        <f t="shared" ref="FF88" si="1018">IF(BZ88="","","|n"&amp;FF$2&amp;"+"&amp;BZ88&amp;FF$1)</f>
        <v/>
      </c>
      <c r="FG88" s="30" t="str">
        <f t="shared" ref="FG88" si="1019">IF(CA88="","","|n"&amp;FG$2&amp;"+"&amp;CA88&amp;FG$1)</f>
        <v/>
      </c>
      <c r="FH88" s="30" t="str">
        <f t="shared" ref="FH88" si="1020">IF(CB88="","","|n"&amp;FH$2&amp;"+"&amp;CB88&amp;FH$1)</f>
        <v/>
      </c>
      <c r="FI88" s="30" t="str">
        <f t="shared" ref="FI88" si="1021">IF(CC88="","","|n"&amp;FI$2&amp;"+"&amp;CC88&amp;FI$1)</f>
        <v/>
      </c>
      <c r="FJ88" s="30" t="str">
        <f t="shared" ref="FJ88" si="1022">IF(CD88="","","|n"&amp;FJ$2&amp;"+"&amp;CD88&amp;FJ$1)</f>
        <v/>
      </c>
      <c r="FK88" s="30" t="str">
        <f t="shared" ref="FK88" si="1023">IF(CE88="","","|n"&amp;FK$2&amp;"+"&amp;CE88&amp;FK$1)</f>
        <v/>
      </c>
      <c r="FL88" s="30" t="str">
        <f t="shared" ref="FL88" si="1024">IF(CF88="","","|n"&amp;FL$2&amp;"+"&amp;CF88&amp;FL$1)</f>
        <v/>
      </c>
      <c r="FM88" s="30" t="str">
        <f t="shared" ref="FM88" si="1025">IF(CG88="","","|n"&amp;FM$2&amp;"+"&amp;CG88&amp;FM$1)</f>
        <v/>
      </c>
      <c r="FN88" s="30" t="str">
        <f t="shared" ref="FN88" si="1026">IF(CH88="","","|n"&amp;FN$2&amp;"+"&amp;CH88&amp;FN$1)</f>
        <v/>
      </c>
      <c r="FO88" s="30" t="str">
        <f t="shared" ref="FO88" si="1027">IF(CI88="","","|n"&amp;FO$2&amp;"+"&amp;CI88&amp;FO$1)</f>
        <v/>
      </c>
      <c r="FP88" s="30" t="str">
        <f t="shared" ref="FP88" si="1028">IF(CJ88="","","|n"&amp;FP$2&amp;"+"&amp;CJ88&amp;FP$1)</f>
        <v/>
      </c>
      <c r="FQ88" s="30" t="str">
        <f t="shared" ref="FQ88" si="1029">IF(CK88="","","|n"&amp;FQ$2&amp;"+"&amp;CK88&amp;FQ$1)</f>
        <v/>
      </c>
      <c r="FR88" s="30" t="str">
        <f t="shared" ref="FR88" si="1030">IF(CL88="","","|n"&amp;FR$2&amp;"+"&amp;CL88&amp;FR$1)</f>
        <v/>
      </c>
      <c r="FS88" s="30" t="str">
        <f t="shared" ref="FS88" si="1031">IF(CM88="","","|n"&amp;FS$2&amp;"+"&amp;CM88&amp;FS$1)</f>
        <v/>
      </c>
    </row>
    <row r="89" spans="1:175" ht="16.5">
      <c r="A89" s="111"/>
      <c r="B89" s="111" t="s">
        <v>828</v>
      </c>
      <c r="C89" s="111" t="s">
        <v>830</v>
      </c>
      <c r="T89" s="114" t="s">
        <v>827</v>
      </c>
      <c r="U89" s="37" t="s">
        <v>822</v>
      </c>
      <c r="CN89" s="7" t="str">
        <f t="shared" si="956"/>
        <v>InitUnitState('CS02',,,,,,,,,,)</v>
      </c>
      <c r="CO89" s="7" t="str">
        <f t="shared" si="957"/>
        <v>InitUnitNormal('CS02',,,,,,,,,,)</v>
      </c>
      <c r="CP89" s="7" t="str">
        <f t="shared" si="958"/>
        <v>InitUnitMagic('CS02',,,,,,,,,,)</v>
      </c>
      <c r="CQ89" s="7" t="str">
        <f t="shared" si="959"/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:CU90" si="1032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:CV90" si="1033">T89</f>
        <v>随机技能</v>
      </c>
      <c r="CW89" s="24"/>
      <c r="CX89" s="24"/>
      <c r="CY89" s="24"/>
      <c r="CZ89" s="24"/>
      <c r="DA89" s="24"/>
      <c r="DB89" s="30" t="str">
        <f t="shared" ref="DB89:DB90" si="1034">IF(V89="","","|n"&amp;DB$2&amp;"+"&amp;V89&amp;DB$1)</f>
        <v/>
      </c>
      <c r="DC89" s="30" t="str">
        <f t="shared" ref="DC89:DC90" si="1035">IF(W89="","","|n"&amp;DC$2&amp;"+"&amp;W89&amp;DC$1)</f>
        <v/>
      </c>
      <c r="DD89" s="30" t="str">
        <f t="shared" ref="DD89:DD90" si="1036">IF(X89="","","|n"&amp;DD$2&amp;"+"&amp;X89&amp;DD$1)</f>
        <v/>
      </c>
      <c r="DE89" s="30" t="str">
        <f t="shared" ref="DE89:DE90" si="1037">IF(Y89="","","|n"&amp;DE$2&amp;"+"&amp;Y89&amp;DE$1)</f>
        <v/>
      </c>
      <c r="DF89" s="30" t="str">
        <f t="shared" ref="DF89:DF90" si="1038">IF(Z89="","","|n"&amp;DF$2&amp;"+"&amp;Z89&amp;DF$1)</f>
        <v/>
      </c>
      <c r="DG89" s="30" t="str">
        <f t="shared" ref="DG89:DG90" si="1039">IF(AA89="","","|n"&amp;DG$2&amp;"+"&amp;AA89&amp;DG$1)</f>
        <v/>
      </c>
      <c r="DH89" s="30" t="str">
        <f t="shared" ref="DH89:DH90" si="1040">IF(AB89="","","|n"&amp;DH$2&amp;"+"&amp;AB89&amp;DH$1)</f>
        <v/>
      </c>
      <c r="DI89" s="30" t="str">
        <f t="shared" ref="DI89:DI90" si="1041">IF(AC89="","","|n"&amp;DI$2&amp;"+"&amp;AC89&amp;DI$1)</f>
        <v/>
      </c>
      <c r="DJ89" s="30" t="str">
        <f t="shared" ref="DJ89:DJ90" si="1042">IF(AD89="","","|n"&amp;DJ$2&amp;"+"&amp;AD89&amp;DJ$1)</f>
        <v/>
      </c>
      <c r="DK89" s="30" t="str">
        <f t="shared" ref="DK89:DK90" si="1043">IF(AE89="","","|n"&amp;DK$2&amp;"+"&amp;AE89&amp;DK$1)</f>
        <v/>
      </c>
      <c r="DL89" s="30" t="str">
        <f t="shared" ref="DL89:DL90" si="1044">IF(AF89="","","|n"&amp;DL$2&amp;"+"&amp;AF89&amp;DL$1)</f>
        <v/>
      </c>
      <c r="DM89" s="30" t="str">
        <f t="shared" ref="DM89:DM90" si="1045">IF(AG89="","","|n"&amp;DM$2&amp;"+"&amp;AG89&amp;DM$1)</f>
        <v/>
      </c>
      <c r="DN89" s="30" t="str">
        <f t="shared" ref="DN89:DN90" si="1046">IF(AH89="","","|n"&amp;DN$2&amp;"+"&amp;AH89&amp;DN$1)</f>
        <v/>
      </c>
      <c r="DO89" s="30" t="str">
        <f t="shared" ref="DO89:DO90" si="1047">IF(AI89="","","|n"&amp;DO$2&amp;"+"&amp;AI89&amp;DO$1)</f>
        <v/>
      </c>
      <c r="DP89" s="30" t="str">
        <f t="shared" ref="DP89:DP90" si="1048">IF(AJ89="","","|n"&amp;DP$2&amp;"+"&amp;AJ89&amp;DP$1)</f>
        <v/>
      </c>
      <c r="DQ89" s="30" t="str">
        <f t="shared" ref="DQ89:DQ90" si="1049">IF(AK89="","","|n"&amp;DQ$2&amp;"+"&amp;AK89&amp;DQ$1)</f>
        <v/>
      </c>
      <c r="DR89" s="30" t="str">
        <f t="shared" ref="DR89:DR90" si="1050">IF(AL89="","","|n"&amp;DR$2&amp;"+"&amp;AL89&amp;DR$1)</f>
        <v/>
      </c>
      <c r="DS89" s="30" t="str">
        <f t="shared" ref="DS89:DS90" si="1051">IF(AM89="","","|n"&amp;DS$2&amp;"+"&amp;AM89&amp;DS$1)</f>
        <v/>
      </c>
      <c r="DT89" s="30" t="str">
        <f t="shared" ref="DT89:DT90" si="1052">IF(AN89="","","|n"&amp;DT$2&amp;"+"&amp;AN89&amp;DT$1)</f>
        <v/>
      </c>
      <c r="DU89" s="30" t="str">
        <f t="shared" ref="DU89:DU90" si="1053">IF(AO89="","","|n"&amp;DU$2&amp;"+"&amp;AO89&amp;DU$1)</f>
        <v/>
      </c>
      <c r="DV89" s="30" t="str">
        <f t="shared" ref="DV89:DV90" si="1054">IF(AP89="","","|n"&amp;DV$2&amp;"+"&amp;AP89&amp;DV$1)</f>
        <v/>
      </c>
      <c r="DW89" s="30" t="str">
        <f t="shared" ref="DW89:DW90" si="1055">IF(AQ89="","","|n"&amp;DW$2&amp;"+"&amp;AQ89&amp;DW$1)</f>
        <v/>
      </c>
      <c r="DX89" s="30" t="str">
        <f t="shared" ref="DX89:DX90" si="1056">IF(AR89="","","|n"&amp;DX$2&amp;"+"&amp;AR89&amp;DX$1)</f>
        <v/>
      </c>
      <c r="DY89" s="30" t="str">
        <f t="shared" ref="DY89:DY90" si="1057">IF(AS89="","","|n"&amp;DY$2&amp;"+"&amp;AS89&amp;DY$1)</f>
        <v/>
      </c>
      <c r="DZ89" s="30" t="str">
        <f t="shared" ref="DZ89:DZ90" si="1058">IF(AT89="","","|n"&amp;DZ$2&amp;"+"&amp;AT89&amp;DZ$1)</f>
        <v/>
      </c>
      <c r="EA89" s="30" t="str">
        <f t="shared" ref="EA89:EA90" si="1059">IF(AU89="","","|n"&amp;EA$2&amp;"+"&amp;AU89&amp;EA$1)</f>
        <v/>
      </c>
      <c r="EB89" s="30" t="str">
        <f t="shared" ref="EB89:EB90" si="1060">IF(AV89="","","|n"&amp;EB$2&amp;"+"&amp;AV89&amp;EB$1)</f>
        <v/>
      </c>
      <c r="EC89" s="30" t="str">
        <f t="shared" ref="EC89:EC90" si="1061">IF(AW89="","","|n"&amp;EC$2&amp;"+"&amp;AW89&amp;EC$1)</f>
        <v/>
      </c>
      <c r="ED89" s="30" t="str">
        <f t="shared" ref="ED89:ED90" si="1062">IF(AX89="","","|n"&amp;ED$2&amp;"+"&amp;AX89&amp;ED$1)</f>
        <v/>
      </c>
      <c r="EE89" s="30" t="str">
        <f t="shared" ref="EE89:EE90" si="1063">IF(AY89="","","|n"&amp;EE$2&amp;"+"&amp;AY89&amp;EE$1)</f>
        <v/>
      </c>
      <c r="EF89" s="30" t="str">
        <f t="shared" ref="EF89:EF90" si="1064">IF(AZ89="","","|n"&amp;EF$2&amp;"+"&amp;AZ89&amp;EF$1)</f>
        <v/>
      </c>
      <c r="EG89" s="30" t="str">
        <f t="shared" ref="EG89:EG90" si="1065">IF(BA89="","","|n"&amp;EG$2&amp;"+"&amp;BA89&amp;EG$1)</f>
        <v/>
      </c>
      <c r="EH89" s="30" t="str">
        <f t="shared" ref="EH89:EH90" si="1066">IF(BB89="","","|n"&amp;EH$2&amp;"+"&amp;BB89&amp;EH$1)</f>
        <v/>
      </c>
      <c r="EI89" s="30" t="str">
        <f t="shared" ref="EI89:EI90" si="1067">IF(BC89="","","|n"&amp;EI$2&amp;"+"&amp;BC89&amp;EI$1)</f>
        <v/>
      </c>
      <c r="EJ89" s="30" t="str">
        <f t="shared" ref="EJ89:EJ90" si="1068">IF(BD89="","","|n"&amp;EJ$2&amp;"+"&amp;BD89&amp;EJ$1)</f>
        <v/>
      </c>
      <c r="EK89" s="30" t="str">
        <f t="shared" ref="EK89:EK90" si="1069">IF(BE89="","","|n"&amp;EK$2&amp;"+"&amp;BE89&amp;EK$1)</f>
        <v/>
      </c>
      <c r="EL89" s="30" t="str">
        <f t="shared" ref="EL89:EL90" si="1070">IF(BF89="","","|n"&amp;EL$2&amp;"+"&amp;BF89&amp;EL$1)</f>
        <v/>
      </c>
      <c r="EM89" s="30" t="str">
        <f t="shared" ref="EM89:EM90" si="1071">IF(BG89="","","|n"&amp;EM$2&amp;"+"&amp;BG89&amp;EM$1)</f>
        <v/>
      </c>
      <c r="EN89" s="30" t="str">
        <f t="shared" ref="EN89:EN90" si="1072">IF(BH89="","","|n"&amp;EN$2&amp;"+"&amp;BH89&amp;EN$1)</f>
        <v/>
      </c>
      <c r="EO89" s="30" t="str">
        <f t="shared" ref="EO89:EO90" si="1073">IF(BI89="","","|n"&amp;EO$2&amp;"+"&amp;BI89&amp;EO$1)</f>
        <v/>
      </c>
      <c r="EP89" s="30" t="str">
        <f t="shared" ref="EP89:EP90" si="1074">IF(BJ89="","","|n"&amp;EP$2&amp;"+"&amp;BJ89&amp;EP$1)</f>
        <v/>
      </c>
      <c r="EQ89" s="30" t="str">
        <f t="shared" ref="EQ89:EQ90" si="1075">IF(BK89="","","|n"&amp;EQ$2&amp;"+"&amp;BK89&amp;EQ$1)</f>
        <v/>
      </c>
      <c r="ER89" s="30" t="str">
        <f t="shared" ref="ER89:ER90" si="1076">IF(BL89="","","|n"&amp;ER$2&amp;"+"&amp;BL89&amp;ER$1)</f>
        <v/>
      </c>
      <c r="ES89" s="30" t="str">
        <f t="shared" ref="ES89:ES90" si="1077">IF(BM89="","","|n"&amp;ES$2&amp;"+"&amp;BM89&amp;ES$1)</f>
        <v/>
      </c>
      <c r="ET89" s="30" t="str">
        <f t="shared" ref="ET89:ET90" si="1078">IF(BN89="","","|n"&amp;ET$2&amp;"+"&amp;BN89&amp;ET$1)</f>
        <v/>
      </c>
      <c r="EU89" s="30" t="str">
        <f t="shared" ref="EU89:EU90" si="1079">IF(BO89="","","|n"&amp;EU$2&amp;"+"&amp;BO89&amp;EU$1)</f>
        <v/>
      </c>
      <c r="EV89" s="30" t="str">
        <f t="shared" ref="EV89:EV90" si="1080">IF(BP89="","","|n"&amp;EV$2&amp;"+"&amp;BP89&amp;EV$1)</f>
        <v/>
      </c>
      <c r="EW89" s="30" t="str">
        <f t="shared" ref="EW89:EW90" si="1081">IF(BQ89="","","|n"&amp;EW$2&amp;"+"&amp;BQ89&amp;EW$1)</f>
        <v/>
      </c>
      <c r="EX89" s="30" t="str">
        <f t="shared" ref="EX89:EX90" si="1082">IF(BR89="","","|n"&amp;EX$2&amp;"+"&amp;BR89&amp;EX$1)</f>
        <v/>
      </c>
      <c r="EY89" s="30" t="str">
        <f t="shared" ref="EY89:EY90" si="1083">IF(BS89="","","|n"&amp;EY$2&amp;"+"&amp;BS89&amp;EY$1)</f>
        <v/>
      </c>
      <c r="EZ89" s="30" t="str">
        <f t="shared" ref="EZ89:EZ90" si="1084">IF(BT89="","","|n"&amp;EZ$2&amp;"+"&amp;BT89&amp;EZ$1)</f>
        <v/>
      </c>
      <c r="FA89" s="30" t="str">
        <f t="shared" ref="FA89:FA90" si="1085">IF(BU89="","","|n"&amp;FA$2&amp;"+"&amp;BU89&amp;FA$1)</f>
        <v/>
      </c>
      <c r="FB89" s="30" t="str">
        <f t="shared" ref="FB89:FB90" si="1086">IF(BV89="","","|n"&amp;FB$2&amp;"+"&amp;BV89&amp;FB$1)</f>
        <v/>
      </c>
      <c r="FC89" s="30" t="str">
        <f t="shared" ref="FC89:FC90" si="1087">IF(BW89="","","|n"&amp;FC$2&amp;"+"&amp;BW89&amp;FC$1)</f>
        <v/>
      </c>
      <c r="FD89" s="30" t="str">
        <f t="shared" ref="FD89:FD90" si="1088">IF(BX89="","","|n"&amp;FD$2&amp;"+"&amp;BX89&amp;FD$1)</f>
        <v/>
      </c>
      <c r="FE89" s="30" t="str">
        <f t="shared" ref="FE89:FE90" si="1089">IF(BY89="","","|n"&amp;FE$2&amp;"+"&amp;BY89&amp;FE$1)</f>
        <v/>
      </c>
      <c r="FF89" s="30" t="str">
        <f t="shared" ref="FF89:FF90" si="1090">IF(BZ89="","","|n"&amp;FF$2&amp;"+"&amp;BZ89&amp;FF$1)</f>
        <v/>
      </c>
      <c r="FG89" s="30" t="str">
        <f t="shared" ref="FG89:FG90" si="1091">IF(CA89="","","|n"&amp;FG$2&amp;"+"&amp;CA89&amp;FG$1)</f>
        <v/>
      </c>
      <c r="FH89" s="30" t="str">
        <f t="shared" ref="FH89:FH90" si="1092">IF(CB89="","","|n"&amp;FH$2&amp;"+"&amp;CB89&amp;FH$1)</f>
        <v/>
      </c>
      <c r="FI89" s="30" t="str">
        <f t="shared" ref="FI89:FI90" si="1093">IF(CC89="","","|n"&amp;FI$2&amp;"+"&amp;CC89&amp;FI$1)</f>
        <v/>
      </c>
      <c r="FJ89" s="30" t="str">
        <f t="shared" ref="FJ89:FJ90" si="1094">IF(CD89="","","|n"&amp;FJ$2&amp;"+"&amp;CD89&amp;FJ$1)</f>
        <v/>
      </c>
      <c r="FK89" s="30" t="str">
        <f t="shared" ref="FK89:FK90" si="1095">IF(CE89="","","|n"&amp;FK$2&amp;"+"&amp;CE89&amp;FK$1)</f>
        <v/>
      </c>
      <c r="FL89" s="30" t="str">
        <f t="shared" ref="FL89:FL90" si="1096">IF(CF89="","","|n"&amp;FL$2&amp;"+"&amp;CF89&amp;FL$1)</f>
        <v/>
      </c>
      <c r="FM89" s="30" t="str">
        <f t="shared" ref="FM89:FM90" si="1097">IF(CG89="","","|n"&amp;FM$2&amp;"+"&amp;CG89&amp;FM$1)</f>
        <v/>
      </c>
      <c r="FN89" s="30" t="str">
        <f t="shared" ref="FN89:FN90" si="1098">IF(CH89="","","|n"&amp;FN$2&amp;"+"&amp;CH89&amp;FN$1)</f>
        <v/>
      </c>
      <c r="FO89" s="30" t="str">
        <f t="shared" ref="FO89:FO90" si="1099">IF(CI89="","","|n"&amp;FO$2&amp;"+"&amp;CI89&amp;FO$1)</f>
        <v/>
      </c>
      <c r="FP89" s="30" t="str">
        <f t="shared" ref="FP89:FP90" si="1100">IF(CJ89="","","|n"&amp;FP$2&amp;"+"&amp;CJ89&amp;FP$1)</f>
        <v/>
      </c>
      <c r="FQ89" s="30" t="str">
        <f t="shared" ref="FQ89:FQ90" si="1101">IF(CK89="","","|n"&amp;FQ$2&amp;"+"&amp;CK89&amp;FQ$1)</f>
        <v/>
      </c>
      <c r="FR89" s="30" t="str">
        <f t="shared" ref="FR89:FR90" si="1102">IF(CL89="","","|n"&amp;FR$2&amp;"+"&amp;CL89&amp;FR$1)</f>
        <v/>
      </c>
      <c r="FS89" s="30" t="str">
        <f t="shared" ref="FS89:FS90" si="1103">IF(CM89="","","|n"&amp;FS$2&amp;"+"&amp;CM89&amp;FS$1)</f>
        <v/>
      </c>
    </row>
    <row r="90" spans="1:175" ht="16.5">
      <c r="A90" s="111"/>
      <c r="B90" s="111" t="s">
        <v>829</v>
      </c>
      <c r="C90" s="111" t="s">
        <v>831</v>
      </c>
      <c r="T90" s="114" t="s">
        <v>827</v>
      </c>
      <c r="U90" s="37" t="s">
        <v>822</v>
      </c>
      <c r="CN90" s="7" t="str">
        <f t="shared" si="956"/>
        <v>InitUnitState('CS03',,,,,,,,,,)</v>
      </c>
      <c r="CO90" s="7" t="str">
        <f t="shared" si="957"/>
        <v>InitUnitNormal('CS03',,,,,,,,,,)</v>
      </c>
      <c r="CP90" s="7" t="str">
        <f t="shared" si="958"/>
        <v>InitUnitMagic('CS03',,,,,,,,,,)</v>
      </c>
      <c r="CQ90" s="7" t="str">
        <f t="shared" si="959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93&amp;CR$1&amp;")"</f>
        <v>InitEquipData('CS03',,"",,,,,'','','','','','',"ReplaceableTextures\\CommandButtons\\BTNTome.blp")</v>
      </c>
      <c r="CU90" s="45" t="str">
        <f t="shared" si="1032"/>
        <v>|n</v>
      </c>
      <c r="CV90" s="29" t="str">
        <f t="shared" si="1033"/>
        <v>随机技能</v>
      </c>
      <c r="CW90" s="24"/>
      <c r="CX90" s="24"/>
      <c r="CY90" s="24"/>
      <c r="CZ90" s="24"/>
      <c r="DA90" s="24"/>
      <c r="DB90" s="30" t="str">
        <f t="shared" si="1034"/>
        <v/>
      </c>
      <c r="DC90" s="30" t="str">
        <f t="shared" si="1035"/>
        <v/>
      </c>
      <c r="DD90" s="30" t="str">
        <f t="shared" si="1036"/>
        <v/>
      </c>
      <c r="DE90" s="30" t="str">
        <f t="shared" si="1037"/>
        <v/>
      </c>
      <c r="DF90" s="30" t="str">
        <f t="shared" si="1038"/>
        <v/>
      </c>
      <c r="DG90" s="30" t="str">
        <f t="shared" si="1039"/>
        <v/>
      </c>
      <c r="DH90" s="30" t="str">
        <f t="shared" si="1040"/>
        <v/>
      </c>
      <c r="DI90" s="30" t="str">
        <f t="shared" si="1041"/>
        <v/>
      </c>
      <c r="DJ90" s="30" t="str">
        <f t="shared" si="1042"/>
        <v/>
      </c>
      <c r="DK90" s="30" t="str">
        <f t="shared" si="1043"/>
        <v/>
      </c>
      <c r="DL90" s="30" t="str">
        <f t="shared" si="1044"/>
        <v/>
      </c>
      <c r="DM90" s="30" t="str">
        <f t="shared" si="1045"/>
        <v/>
      </c>
      <c r="DN90" s="30" t="str">
        <f t="shared" si="1046"/>
        <v/>
      </c>
      <c r="DO90" s="30" t="str">
        <f t="shared" si="1047"/>
        <v/>
      </c>
      <c r="DP90" s="30" t="str">
        <f t="shared" si="1048"/>
        <v/>
      </c>
      <c r="DQ90" s="30" t="str">
        <f t="shared" si="1049"/>
        <v/>
      </c>
      <c r="DR90" s="30" t="str">
        <f t="shared" si="1050"/>
        <v/>
      </c>
      <c r="DS90" s="30" t="str">
        <f t="shared" si="1051"/>
        <v/>
      </c>
      <c r="DT90" s="30" t="str">
        <f t="shared" si="1052"/>
        <v/>
      </c>
      <c r="DU90" s="30" t="str">
        <f t="shared" si="1053"/>
        <v/>
      </c>
      <c r="DV90" s="30" t="str">
        <f t="shared" si="1054"/>
        <v/>
      </c>
      <c r="DW90" s="30" t="str">
        <f t="shared" si="1055"/>
        <v/>
      </c>
      <c r="DX90" s="30" t="str">
        <f t="shared" si="1056"/>
        <v/>
      </c>
      <c r="DY90" s="30" t="str">
        <f t="shared" si="1057"/>
        <v/>
      </c>
      <c r="DZ90" s="30" t="str">
        <f t="shared" si="1058"/>
        <v/>
      </c>
      <c r="EA90" s="30" t="str">
        <f t="shared" si="1059"/>
        <v/>
      </c>
      <c r="EB90" s="30" t="str">
        <f t="shared" si="1060"/>
        <v/>
      </c>
      <c r="EC90" s="30" t="str">
        <f t="shared" si="1061"/>
        <v/>
      </c>
      <c r="ED90" s="30" t="str">
        <f t="shared" si="1062"/>
        <v/>
      </c>
      <c r="EE90" s="30" t="str">
        <f t="shared" si="1063"/>
        <v/>
      </c>
      <c r="EF90" s="30" t="str">
        <f t="shared" si="1064"/>
        <v/>
      </c>
      <c r="EG90" s="30" t="str">
        <f t="shared" si="1065"/>
        <v/>
      </c>
      <c r="EH90" s="30" t="str">
        <f t="shared" si="1066"/>
        <v/>
      </c>
      <c r="EI90" s="30" t="str">
        <f t="shared" si="1067"/>
        <v/>
      </c>
      <c r="EJ90" s="30" t="str">
        <f t="shared" si="1068"/>
        <v/>
      </c>
      <c r="EK90" s="30" t="str">
        <f t="shared" si="1069"/>
        <v/>
      </c>
      <c r="EL90" s="30" t="str">
        <f t="shared" si="1070"/>
        <v/>
      </c>
      <c r="EM90" s="30" t="str">
        <f t="shared" si="1071"/>
        <v/>
      </c>
      <c r="EN90" s="30" t="str">
        <f t="shared" si="1072"/>
        <v/>
      </c>
      <c r="EO90" s="30" t="str">
        <f t="shared" si="1073"/>
        <v/>
      </c>
      <c r="EP90" s="30" t="str">
        <f t="shared" si="1074"/>
        <v/>
      </c>
      <c r="EQ90" s="30" t="str">
        <f t="shared" si="1075"/>
        <v/>
      </c>
      <c r="ER90" s="30" t="str">
        <f t="shared" si="1076"/>
        <v/>
      </c>
      <c r="ES90" s="30" t="str">
        <f t="shared" si="1077"/>
        <v/>
      </c>
      <c r="ET90" s="30" t="str">
        <f t="shared" si="1078"/>
        <v/>
      </c>
      <c r="EU90" s="30" t="str">
        <f t="shared" si="1079"/>
        <v/>
      </c>
      <c r="EV90" s="30" t="str">
        <f t="shared" si="1080"/>
        <v/>
      </c>
      <c r="EW90" s="30" t="str">
        <f t="shared" si="1081"/>
        <v/>
      </c>
      <c r="EX90" s="30" t="str">
        <f t="shared" si="1082"/>
        <v/>
      </c>
      <c r="EY90" s="30" t="str">
        <f t="shared" si="1083"/>
        <v/>
      </c>
      <c r="EZ90" s="30" t="str">
        <f t="shared" si="1084"/>
        <v/>
      </c>
      <c r="FA90" s="30" t="str">
        <f t="shared" si="1085"/>
        <v/>
      </c>
      <c r="FB90" s="30" t="str">
        <f t="shared" si="1086"/>
        <v/>
      </c>
      <c r="FC90" s="30" t="str">
        <f t="shared" si="1087"/>
        <v/>
      </c>
      <c r="FD90" s="30" t="str">
        <f t="shared" si="1088"/>
        <v/>
      </c>
      <c r="FE90" s="30" t="str">
        <f t="shared" si="1089"/>
        <v/>
      </c>
      <c r="FF90" s="30" t="str">
        <f t="shared" si="1090"/>
        <v/>
      </c>
      <c r="FG90" s="30" t="str">
        <f t="shared" si="1091"/>
        <v/>
      </c>
      <c r="FH90" s="30" t="str">
        <f t="shared" si="1092"/>
        <v/>
      </c>
      <c r="FI90" s="30" t="str">
        <f t="shared" si="1093"/>
        <v/>
      </c>
      <c r="FJ90" s="30" t="str">
        <f t="shared" si="1094"/>
        <v/>
      </c>
      <c r="FK90" s="30" t="str">
        <f t="shared" si="1095"/>
        <v/>
      </c>
      <c r="FL90" s="30" t="str">
        <f t="shared" si="1096"/>
        <v/>
      </c>
      <c r="FM90" s="30" t="str">
        <f t="shared" si="1097"/>
        <v/>
      </c>
      <c r="FN90" s="30" t="str">
        <f t="shared" si="1098"/>
        <v/>
      </c>
      <c r="FO90" s="30" t="str">
        <f t="shared" si="1099"/>
        <v/>
      </c>
      <c r="FP90" s="30" t="str">
        <f t="shared" si="1100"/>
        <v/>
      </c>
      <c r="FQ90" s="30" t="str">
        <f t="shared" si="1101"/>
        <v/>
      </c>
      <c r="FR90" s="30" t="str">
        <f t="shared" si="1102"/>
        <v/>
      </c>
      <c r="FS90" s="30" t="str">
        <f t="shared" si="1103"/>
        <v/>
      </c>
    </row>
    <row r="91" spans="1:175" ht="16.5">
      <c r="A91" s="111"/>
      <c r="B91" s="111" t="s">
        <v>845</v>
      </c>
      <c r="C91" s="111" t="s">
        <v>844</v>
      </c>
      <c r="T91" s="114" t="s">
        <v>827</v>
      </c>
      <c r="U91" s="37" t="s">
        <v>822</v>
      </c>
      <c r="CN91" s="7" t="str">
        <f t="shared" si="956"/>
        <v>InitUnitState('CS04',,,,,,,,,,)</v>
      </c>
      <c r="CO91" s="7" t="str">
        <f t="shared" si="957"/>
        <v>InitUnitNormal('CS04',,,,,,,,,,)</v>
      </c>
      <c r="CP91" s="7" t="str">
        <f t="shared" si="958"/>
        <v>InitUnitMagic('CS04',,,,,,,,,,)</v>
      </c>
      <c r="CQ91" s="7" t="str">
        <f t="shared" si="959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94&amp;CR$1&amp;")"</f>
        <v>InitEquipData('CS04',,"",,,,,'','','','','','',"ReplaceableTextures\\CommandButtons\\BTNTome.blp")</v>
      </c>
      <c r="CU91" s="45" t="str">
        <f t="shared" ref="CU91:CU92" si="1104">CONCATENATE(DB91,DC91,DD91,DE91,DF91,DG91,DH91,DI91,DJ91,DK91,DL91,DM91,DN91,DO91,DP91,DQ91,DR91,DS91,DT91,DU91,DV91,DW91,DX91,DY91,DZ91,EA91,EB91,EC91,ED91,EE91,EF91,EG91,EH91,EI91,EJ91,EK91,EL91,EM91,EN91,EO91,EP91&amp;"|n")</f>
        <v>|n</v>
      </c>
      <c r="CV91" s="29" t="str">
        <f t="shared" ref="CV91:CV92" si="1105">T91</f>
        <v>随机技能</v>
      </c>
      <c r="CW91" s="24"/>
      <c r="CX91" s="24"/>
      <c r="CY91" s="24"/>
      <c r="CZ91" s="24"/>
      <c r="DA91" s="24"/>
      <c r="DB91" s="30" t="str">
        <f t="shared" ref="DB91:DB92" si="1106">IF(V91="","","|n"&amp;DB$2&amp;"+"&amp;V91&amp;DB$1)</f>
        <v/>
      </c>
      <c r="DC91" s="30" t="str">
        <f t="shared" ref="DC91:DC92" si="1107">IF(W91="","","|n"&amp;DC$2&amp;"+"&amp;W91&amp;DC$1)</f>
        <v/>
      </c>
      <c r="DD91" s="30" t="str">
        <f t="shared" ref="DD91:DD92" si="1108">IF(X91="","","|n"&amp;DD$2&amp;"+"&amp;X91&amp;DD$1)</f>
        <v/>
      </c>
      <c r="DE91" s="30" t="str">
        <f t="shared" ref="DE91:DE92" si="1109">IF(Y91="","","|n"&amp;DE$2&amp;"+"&amp;Y91&amp;DE$1)</f>
        <v/>
      </c>
      <c r="DF91" s="30" t="str">
        <f t="shared" ref="DF91:DF92" si="1110">IF(Z91="","","|n"&amp;DF$2&amp;"+"&amp;Z91&amp;DF$1)</f>
        <v/>
      </c>
      <c r="DG91" s="30" t="str">
        <f t="shared" ref="DG91:DG92" si="1111">IF(AA91="","","|n"&amp;DG$2&amp;"+"&amp;AA91&amp;DG$1)</f>
        <v/>
      </c>
      <c r="DH91" s="30" t="str">
        <f t="shared" ref="DH91:DH92" si="1112">IF(AB91="","","|n"&amp;DH$2&amp;"+"&amp;AB91&amp;DH$1)</f>
        <v/>
      </c>
      <c r="DI91" s="30" t="str">
        <f t="shared" ref="DI91:DI92" si="1113">IF(AC91="","","|n"&amp;DI$2&amp;"+"&amp;AC91&amp;DI$1)</f>
        <v/>
      </c>
      <c r="DJ91" s="30" t="str">
        <f t="shared" ref="DJ91:DJ92" si="1114">IF(AD91="","","|n"&amp;DJ$2&amp;"+"&amp;AD91&amp;DJ$1)</f>
        <v/>
      </c>
      <c r="DK91" s="30" t="str">
        <f t="shared" ref="DK91:DK92" si="1115">IF(AE91="","","|n"&amp;DK$2&amp;"+"&amp;AE91&amp;DK$1)</f>
        <v/>
      </c>
      <c r="DL91" s="30" t="str">
        <f t="shared" ref="DL91:DL92" si="1116">IF(AF91="","","|n"&amp;DL$2&amp;"+"&amp;AF91&amp;DL$1)</f>
        <v/>
      </c>
      <c r="DM91" s="30" t="str">
        <f t="shared" ref="DM91:DM92" si="1117">IF(AG91="","","|n"&amp;DM$2&amp;"+"&amp;AG91&amp;DM$1)</f>
        <v/>
      </c>
      <c r="DN91" s="30" t="str">
        <f t="shared" ref="DN91:DN92" si="1118">IF(AH91="","","|n"&amp;DN$2&amp;"+"&amp;AH91&amp;DN$1)</f>
        <v/>
      </c>
      <c r="DO91" s="30" t="str">
        <f t="shared" ref="DO91:DO92" si="1119">IF(AI91="","","|n"&amp;DO$2&amp;"+"&amp;AI91&amp;DO$1)</f>
        <v/>
      </c>
      <c r="DP91" s="30" t="str">
        <f t="shared" ref="DP91:DP92" si="1120">IF(AJ91="","","|n"&amp;DP$2&amp;"+"&amp;AJ91&amp;DP$1)</f>
        <v/>
      </c>
      <c r="DQ91" s="30" t="str">
        <f t="shared" ref="DQ91:DQ92" si="1121">IF(AK91="","","|n"&amp;DQ$2&amp;"+"&amp;AK91&amp;DQ$1)</f>
        <v/>
      </c>
      <c r="DR91" s="30" t="str">
        <f t="shared" ref="DR91:DR92" si="1122">IF(AL91="","","|n"&amp;DR$2&amp;"+"&amp;AL91&amp;DR$1)</f>
        <v/>
      </c>
      <c r="DS91" s="30" t="str">
        <f t="shared" ref="DS91:DS92" si="1123">IF(AM91="","","|n"&amp;DS$2&amp;"+"&amp;AM91&amp;DS$1)</f>
        <v/>
      </c>
      <c r="DT91" s="30" t="str">
        <f t="shared" ref="DT91:DT92" si="1124">IF(AN91="","","|n"&amp;DT$2&amp;"+"&amp;AN91&amp;DT$1)</f>
        <v/>
      </c>
      <c r="DU91" s="30" t="str">
        <f t="shared" ref="DU91:DU92" si="1125">IF(AO91="","","|n"&amp;DU$2&amp;"+"&amp;AO91&amp;DU$1)</f>
        <v/>
      </c>
      <c r="DV91" s="30" t="str">
        <f t="shared" ref="DV91:DV92" si="1126">IF(AP91="","","|n"&amp;DV$2&amp;"+"&amp;AP91&amp;DV$1)</f>
        <v/>
      </c>
      <c r="DW91" s="30" t="str">
        <f t="shared" ref="DW91:DW92" si="1127">IF(AQ91="","","|n"&amp;DW$2&amp;"+"&amp;AQ91&amp;DW$1)</f>
        <v/>
      </c>
      <c r="DX91" s="30" t="str">
        <f t="shared" ref="DX91:DX92" si="1128">IF(AR91="","","|n"&amp;DX$2&amp;"+"&amp;AR91&amp;DX$1)</f>
        <v/>
      </c>
      <c r="DY91" s="30" t="str">
        <f t="shared" ref="DY91:DY92" si="1129">IF(AS91="","","|n"&amp;DY$2&amp;"+"&amp;AS91&amp;DY$1)</f>
        <v/>
      </c>
      <c r="DZ91" s="30" t="str">
        <f t="shared" ref="DZ91:DZ92" si="1130">IF(AT91="","","|n"&amp;DZ$2&amp;"+"&amp;AT91&amp;DZ$1)</f>
        <v/>
      </c>
      <c r="EA91" s="30" t="str">
        <f t="shared" ref="EA91:EA92" si="1131">IF(AU91="","","|n"&amp;EA$2&amp;"+"&amp;AU91&amp;EA$1)</f>
        <v/>
      </c>
      <c r="EB91" s="30" t="str">
        <f t="shared" ref="EB91:EB92" si="1132">IF(AV91="","","|n"&amp;EB$2&amp;"+"&amp;AV91&amp;EB$1)</f>
        <v/>
      </c>
      <c r="EC91" s="30" t="str">
        <f t="shared" ref="EC91:EC92" si="1133">IF(AW91="","","|n"&amp;EC$2&amp;"+"&amp;AW91&amp;EC$1)</f>
        <v/>
      </c>
      <c r="ED91" s="30" t="str">
        <f t="shared" ref="ED91:ED92" si="1134">IF(AX91="","","|n"&amp;ED$2&amp;"+"&amp;AX91&amp;ED$1)</f>
        <v/>
      </c>
      <c r="EE91" s="30" t="str">
        <f t="shared" ref="EE91:EE92" si="1135">IF(AY91="","","|n"&amp;EE$2&amp;"+"&amp;AY91&amp;EE$1)</f>
        <v/>
      </c>
      <c r="EF91" s="30" t="str">
        <f t="shared" ref="EF91:EF92" si="1136">IF(AZ91="","","|n"&amp;EF$2&amp;"+"&amp;AZ91&amp;EF$1)</f>
        <v/>
      </c>
      <c r="EG91" s="30" t="str">
        <f t="shared" ref="EG91:EG92" si="1137">IF(BA91="","","|n"&amp;EG$2&amp;"+"&amp;BA91&amp;EG$1)</f>
        <v/>
      </c>
      <c r="EH91" s="30" t="str">
        <f t="shared" ref="EH91:EH92" si="1138">IF(BB91="","","|n"&amp;EH$2&amp;"+"&amp;BB91&amp;EH$1)</f>
        <v/>
      </c>
      <c r="EI91" s="30" t="str">
        <f t="shared" ref="EI91:EI92" si="1139">IF(BC91="","","|n"&amp;EI$2&amp;"+"&amp;BC91&amp;EI$1)</f>
        <v/>
      </c>
      <c r="EJ91" s="30" t="str">
        <f t="shared" ref="EJ91:EJ92" si="1140">IF(BD91="","","|n"&amp;EJ$2&amp;"+"&amp;BD91&amp;EJ$1)</f>
        <v/>
      </c>
      <c r="EK91" s="30" t="str">
        <f t="shared" ref="EK91:EK92" si="1141">IF(BE91="","","|n"&amp;EK$2&amp;"+"&amp;BE91&amp;EK$1)</f>
        <v/>
      </c>
      <c r="EL91" s="30" t="str">
        <f t="shared" ref="EL91:EL92" si="1142">IF(BF91="","","|n"&amp;EL$2&amp;"+"&amp;BF91&amp;EL$1)</f>
        <v/>
      </c>
      <c r="EM91" s="30" t="str">
        <f t="shared" ref="EM91:EM92" si="1143">IF(BG91="","","|n"&amp;EM$2&amp;"+"&amp;BG91&amp;EM$1)</f>
        <v/>
      </c>
      <c r="EN91" s="30" t="str">
        <f t="shared" ref="EN91:EN92" si="1144">IF(BH91="","","|n"&amp;EN$2&amp;"+"&amp;BH91&amp;EN$1)</f>
        <v/>
      </c>
      <c r="EO91" s="30" t="str">
        <f t="shared" ref="EO91:EO92" si="1145">IF(BI91="","","|n"&amp;EO$2&amp;"+"&amp;BI91&amp;EO$1)</f>
        <v/>
      </c>
      <c r="EP91" s="30" t="str">
        <f t="shared" ref="EP91:EP92" si="1146">IF(BJ91="","","|n"&amp;EP$2&amp;"+"&amp;BJ91&amp;EP$1)</f>
        <v/>
      </c>
      <c r="EQ91" s="30" t="str">
        <f t="shared" ref="EQ91:EQ92" si="1147">IF(BK91="","","|n"&amp;EQ$2&amp;"+"&amp;BK91&amp;EQ$1)</f>
        <v/>
      </c>
      <c r="ER91" s="30" t="str">
        <f t="shared" ref="ER91:ER92" si="1148">IF(BL91="","","|n"&amp;ER$2&amp;"+"&amp;BL91&amp;ER$1)</f>
        <v/>
      </c>
      <c r="ES91" s="30" t="str">
        <f t="shared" ref="ES91:ES92" si="1149">IF(BM91="","","|n"&amp;ES$2&amp;"+"&amp;BM91&amp;ES$1)</f>
        <v/>
      </c>
      <c r="ET91" s="30" t="str">
        <f t="shared" ref="ET91:ET92" si="1150">IF(BN91="","","|n"&amp;ET$2&amp;"+"&amp;BN91&amp;ET$1)</f>
        <v/>
      </c>
      <c r="EU91" s="30" t="str">
        <f t="shared" ref="EU91:EU92" si="1151">IF(BO91="","","|n"&amp;EU$2&amp;"+"&amp;BO91&amp;EU$1)</f>
        <v/>
      </c>
      <c r="EV91" s="30" t="str">
        <f t="shared" ref="EV91:EV92" si="1152">IF(BP91="","","|n"&amp;EV$2&amp;"+"&amp;BP91&amp;EV$1)</f>
        <v/>
      </c>
      <c r="EW91" s="30" t="str">
        <f t="shared" ref="EW91:EW92" si="1153">IF(BQ91="","","|n"&amp;EW$2&amp;"+"&amp;BQ91&amp;EW$1)</f>
        <v/>
      </c>
      <c r="EX91" s="30" t="str">
        <f t="shared" ref="EX91:EX92" si="1154">IF(BR91="","","|n"&amp;EX$2&amp;"+"&amp;BR91&amp;EX$1)</f>
        <v/>
      </c>
      <c r="EY91" s="30" t="str">
        <f t="shared" ref="EY91:EY92" si="1155">IF(BS91="","","|n"&amp;EY$2&amp;"+"&amp;BS91&amp;EY$1)</f>
        <v/>
      </c>
      <c r="EZ91" s="30" t="str">
        <f t="shared" ref="EZ91:EZ92" si="1156">IF(BT91="","","|n"&amp;EZ$2&amp;"+"&amp;BT91&amp;EZ$1)</f>
        <v/>
      </c>
      <c r="FA91" s="30" t="str">
        <f t="shared" ref="FA91:FA92" si="1157">IF(BU91="","","|n"&amp;FA$2&amp;"+"&amp;BU91&amp;FA$1)</f>
        <v/>
      </c>
      <c r="FB91" s="30" t="str">
        <f t="shared" ref="FB91:FB92" si="1158">IF(BV91="","","|n"&amp;FB$2&amp;"+"&amp;BV91&amp;FB$1)</f>
        <v/>
      </c>
      <c r="FC91" s="30" t="str">
        <f t="shared" ref="FC91:FC92" si="1159">IF(BW91="","","|n"&amp;FC$2&amp;"+"&amp;BW91&amp;FC$1)</f>
        <v/>
      </c>
      <c r="FD91" s="30" t="str">
        <f t="shared" ref="FD91:FD92" si="1160">IF(BX91="","","|n"&amp;FD$2&amp;"+"&amp;BX91&amp;FD$1)</f>
        <v/>
      </c>
      <c r="FE91" s="30" t="str">
        <f t="shared" ref="FE91:FE92" si="1161">IF(BY91="","","|n"&amp;FE$2&amp;"+"&amp;BY91&amp;FE$1)</f>
        <v/>
      </c>
      <c r="FF91" s="30" t="str">
        <f t="shared" ref="FF91:FF92" si="1162">IF(BZ91="","","|n"&amp;FF$2&amp;"+"&amp;BZ91&amp;FF$1)</f>
        <v/>
      </c>
      <c r="FG91" s="30" t="str">
        <f t="shared" ref="FG91:FG92" si="1163">IF(CA91="","","|n"&amp;FG$2&amp;"+"&amp;CA91&amp;FG$1)</f>
        <v/>
      </c>
      <c r="FH91" s="30" t="str">
        <f t="shared" ref="FH91:FH92" si="1164">IF(CB91="","","|n"&amp;FH$2&amp;"+"&amp;CB91&amp;FH$1)</f>
        <v/>
      </c>
      <c r="FI91" s="30" t="str">
        <f t="shared" ref="FI91:FI92" si="1165">IF(CC91="","","|n"&amp;FI$2&amp;"+"&amp;CC91&amp;FI$1)</f>
        <v/>
      </c>
      <c r="FJ91" s="30" t="str">
        <f t="shared" ref="FJ91:FJ92" si="1166">IF(CD91="","","|n"&amp;FJ$2&amp;"+"&amp;CD91&amp;FJ$1)</f>
        <v/>
      </c>
      <c r="FK91" s="30" t="str">
        <f t="shared" ref="FK91:FK92" si="1167">IF(CE91="","","|n"&amp;FK$2&amp;"+"&amp;CE91&amp;FK$1)</f>
        <v/>
      </c>
      <c r="FL91" s="30" t="str">
        <f t="shared" ref="FL91:FL92" si="1168">IF(CF91="","","|n"&amp;FL$2&amp;"+"&amp;CF91&amp;FL$1)</f>
        <v/>
      </c>
      <c r="FM91" s="30" t="str">
        <f t="shared" ref="FM91:FM92" si="1169">IF(CG91="","","|n"&amp;FM$2&amp;"+"&amp;CG91&amp;FM$1)</f>
        <v/>
      </c>
      <c r="FN91" s="30" t="str">
        <f t="shared" ref="FN91:FN92" si="1170">IF(CH91="","","|n"&amp;FN$2&amp;"+"&amp;CH91&amp;FN$1)</f>
        <v/>
      </c>
      <c r="FO91" s="30" t="str">
        <f t="shared" ref="FO91:FO92" si="1171">IF(CI91="","","|n"&amp;FO$2&amp;"+"&amp;CI91&amp;FO$1)</f>
        <v/>
      </c>
      <c r="FP91" s="30" t="str">
        <f t="shared" ref="FP91:FP92" si="1172">IF(CJ91="","","|n"&amp;FP$2&amp;"+"&amp;CJ91&amp;FP$1)</f>
        <v/>
      </c>
      <c r="FQ91" s="30" t="str">
        <f t="shared" ref="FQ91:FQ92" si="1173">IF(CK91="","","|n"&amp;FQ$2&amp;"+"&amp;CK91&amp;FQ$1)</f>
        <v/>
      </c>
      <c r="FR91" s="30" t="str">
        <f t="shared" ref="FR91:FR92" si="1174">IF(CL91="","","|n"&amp;FR$2&amp;"+"&amp;CL91&amp;FR$1)</f>
        <v/>
      </c>
      <c r="FS91" s="30" t="str">
        <f t="shared" ref="FS91:FS92" si="1175">IF(CM91="","","|n"&amp;FS$2&amp;"+"&amp;CM91&amp;FS$1)</f>
        <v/>
      </c>
    </row>
    <row r="92" spans="1:175" ht="16.5">
      <c r="A92" s="119"/>
      <c r="B92" s="111" t="s">
        <v>846</v>
      </c>
      <c r="C92" s="119" t="s">
        <v>847</v>
      </c>
      <c r="T92" s="114" t="s">
        <v>848</v>
      </c>
      <c r="U92" s="37" t="s">
        <v>822</v>
      </c>
      <c r="CN92" s="7" t="str">
        <f t="shared" si="956"/>
        <v>InitUnitState('CF01',,,,,,,,,,)</v>
      </c>
      <c r="CO92" s="7" t="str">
        <f t="shared" si="957"/>
        <v>InitUnitNormal('CF01',,,,,,,,,,)</v>
      </c>
      <c r="CP92" s="7" t="str">
        <f t="shared" si="958"/>
        <v>InitUnitMagic('CF01',,,,,,,,,,)</v>
      </c>
      <c r="CQ92" s="7" t="str">
        <f t="shared" si="959"/>
        <v>InitUnitAdd('CF01',,,,,,,,,,)</v>
      </c>
      <c r="CR92" s="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U92" s="45" t="str">
        <f t="shared" si="1104"/>
        <v>|n</v>
      </c>
      <c r="CV92" s="29" t="str">
        <f t="shared" si="1105"/>
        <v>随机法宝</v>
      </c>
      <c r="CW92" s="24"/>
      <c r="CX92" s="24"/>
      <c r="CY92" s="24"/>
      <c r="CZ92" s="24"/>
      <c r="DA92" s="24"/>
      <c r="DB92" s="30" t="str">
        <f t="shared" si="1106"/>
        <v/>
      </c>
      <c r="DC92" s="30" t="str">
        <f t="shared" si="1107"/>
        <v/>
      </c>
      <c r="DD92" s="30" t="str">
        <f t="shared" si="1108"/>
        <v/>
      </c>
      <c r="DE92" s="30" t="str">
        <f t="shared" si="1109"/>
        <v/>
      </c>
      <c r="DF92" s="30" t="str">
        <f t="shared" si="1110"/>
        <v/>
      </c>
      <c r="DG92" s="30" t="str">
        <f t="shared" si="1111"/>
        <v/>
      </c>
      <c r="DH92" s="30" t="str">
        <f t="shared" si="1112"/>
        <v/>
      </c>
      <c r="DI92" s="30" t="str">
        <f t="shared" si="1113"/>
        <v/>
      </c>
      <c r="DJ92" s="30" t="str">
        <f t="shared" si="1114"/>
        <v/>
      </c>
      <c r="DK92" s="30" t="str">
        <f t="shared" si="1115"/>
        <v/>
      </c>
      <c r="DL92" s="30" t="str">
        <f t="shared" si="1116"/>
        <v/>
      </c>
      <c r="DM92" s="30" t="str">
        <f t="shared" si="1117"/>
        <v/>
      </c>
      <c r="DN92" s="30" t="str">
        <f t="shared" si="1118"/>
        <v/>
      </c>
      <c r="DO92" s="30" t="str">
        <f t="shared" si="1119"/>
        <v/>
      </c>
      <c r="DP92" s="30" t="str">
        <f t="shared" si="1120"/>
        <v/>
      </c>
      <c r="DQ92" s="30" t="str">
        <f t="shared" si="1121"/>
        <v/>
      </c>
      <c r="DR92" s="30" t="str">
        <f t="shared" si="1122"/>
        <v/>
      </c>
      <c r="DS92" s="30" t="str">
        <f t="shared" si="1123"/>
        <v/>
      </c>
      <c r="DT92" s="30" t="str">
        <f t="shared" si="1124"/>
        <v/>
      </c>
      <c r="DU92" s="30" t="str">
        <f t="shared" si="1125"/>
        <v/>
      </c>
      <c r="DV92" s="30" t="str">
        <f t="shared" si="1126"/>
        <v/>
      </c>
      <c r="DW92" s="30" t="str">
        <f t="shared" si="1127"/>
        <v/>
      </c>
      <c r="DX92" s="30" t="str">
        <f t="shared" si="1128"/>
        <v/>
      </c>
      <c r="DY92" s="30" t="str">
        <f t="shared" si="1129"/>
        <v/>
      </c>
      <c r="DZ92" s="30" t="str">
        <f t="shared" si="1130"/>
        <v/>
      </c>
      <c r="EA92" s="30" t="str">
        <f t="shared" si="1131"/>
        <v/>
      </c>
      <c r="EB92" s="30" t="str">
        <f t="shared" si="1132"/>
        <v/>
      </c>
      <c r="EC92" s="30" t="str">
        <f t="shared" si="1133"/>
        <v/>
      </c>
      <c r="ED92" s="30" t="str">
        <f t="shared" si="1134"/>
        <v/>
      </c>
      <c r="EE92" s="30" t="str">
        <f t="shared" si="1135"/>
        <v/>
      </c>
      <c r="EF92" s="30" t="str">
        <f t="shared" si="1136"/>
        <v/>
      </c>
      <c r="EG92" s="30" t="str">
        <f t="shared" si="1137"/>
        <v/>
      </c>
      <c r="EH92" s="30" t="str">
        <f t="shared" si="1138"/>
        <v/>
      </c>
      <c r="EI92" s="30" t="str">
        <f t="shared" si="1139"/>
        <v/>
      </c>
      <c r="EJ92" s="30" t="str">
        <f t="shared" si="1140"/>
        <v/>
      </c>
      <c r="EK92" s="30" t="str">
        <f t="shared" si="1141"/>
        <v/>
      </c>
      <c r="EL92" s="30" t="str">
        <f t="shared" si="1142"/>
        <v/>
      </c>
      <c r="EM92" s="30" t="str">
        <f t="shared" si="1143"/>
        <v/>
      </c>
      <c r="EN92" s="30" t="str">
        <f t="shared" si="1144"/>
        <v/>
      </c>
      <c r="EO92" s="30" t="str">
        <f t="shared" si="1145"/>
        <v/>
      </c>
      <c r="EP92" s="30" t="str">
        <f t="shared" si="1146"/>
        <v/>
      </c>
      <c r="EQ92" s="30" t="str">
        <f t="shared" si="1147"/>
        <v/>
      </c>
      <c r="ER92" s="30" t="str">
        <f t="shared" si="1148"/>
        <v/>
      </c>
      <c r="ES92" s="30" t="str">
        <f t="shared" si="1149"/>
        <v/>
      </c>
      <c r="ET92" s="30" t="str">
        <f t="shared" si="1150"/>
        <v/>
      </c>
      <c r="EU92" s="30" t="str">
        <f t="shared" si="1151"/>
        <v/>
      </c>
      <c r="EV92" s="30" t="str">
        <f t="shared" si="1152"/>
        <v/>
      </c>
      <c r="EW92" s="30" t="str">
        <f t="shared" si="1153"/>
        <v/>
      </c>
      <c r="EX92" s="30" t="str">
        <f t="shared" si="1154"/>
        <v/>
      </c>
      <c r="EY92" s="30" t="str">
        <f t="shared" si="1155"/>
        <v/>
      </c>
      <c r="EZ92" s="30" t="str">
        <f t="shared" si="1156"/>
        <v/>
      </c>
      <c r="FA92" s="30" t="str">
        <f t="shared" si="1157"/>
        <v/>
      </c>
      <c r="FB92" s="30" t="str">
        <f t="shared" si="1158"/>
        <v/>
      </c>
      <c r="FC92" s="30" t="str">
        <f t="shared" si="1159"/>
        <v/>
      </c>
      <c r="FD92" s="30" t="str">
        <f t="shared" si="1160"/>
        <v/>
      </c>
      <c r="FE92" s="30" t="str">
        <f t="shared" si="1161"/>
        <v/>
      </c>
      <c r="FF92" s="30" t="str">
        <f t="shared" si="1162"/>
        <v/>
      </c>
      <c r="FG92" s="30" t="str">
        <f t="shared" si="1163"/>
        <v/>
      </c>
      <c r="FH92" s="30" t="str">
        <f t="shared" si="1164"/>
        <v/>
      </c>
      <c r="FI92" s="30" t="str">
        <f t="shared" si="1165"/>
        <v/>
      </c>
      <c r="FJ92" s="30" t="str">
        <f t="shared" si="1166"/>
        <v/>
      </c>
      <c r="FK92" s="30" t="str">
        <f t="shared" si="1167"/>
        <v/>
      </c>
      <c r="FL92" s="30" t="str">
        <f t="shared" si="1168"/>
        <v/>
      </c>
      <c r="FM92" s="30" t="str">
        <f t="shared" si="1169"/>
        <v/>
      </c>
      <c r="FN92" s="30" t="str">
        <f t="shared" si="1170"/>
        <v/>
      </c>
      <c r="FO92" s="30" t="str">
        <f t="shared" si="1171"/>
        <v/>
      </c>
      <c r="FP92" s="30" t="str">
        <f t="shared" si="1172"/>
        <v/>
      </c>
      <c r="FQ92" s="30" t="str">
        <f t="shared" si="1173"/>
        <v/>
      </c>
      <c r="FR92" s="30" t="str">
        <f t="shared" si="1174"/>
        <v/>
      </c>
      <c r="FS92" s="30" t="str">
        <f t="shared" si="1175"/>
        <v/>
      </c>
    </row>
    <row r="93" spans="1:175" ht="16.5">
      <c r="A93" s="111"/>
      <c r="B93" s="111" t="s">
        <v>832</v>
      </c>
      <c r="C93" s="111" t="s">
        <v>833</v>
      </c>
      <c r="T93" s="116" t="s">
        <v>834</v>
      </c>
      <c r="U93" s="37" t="s">
        <v>822</v>
      </c>
      <c r="CN93" s="7" t="str">
        <f t="shared" si="956"/>
        <v>InitUnitState('IP01',,,,,,,,,,)</v>
      </c>
      <c r="CO93" s="7" t="str">
        <f t="shared" si="957"/>
        <v>InitUnitNormal('IP01',,,,,,,,,,)</v>
      </c>
      <c r="CP93" s="7" t="str">
        <f t="shared" si="958"/>
        <v>InitUnitMagic('IP01',,,,,,,,,,)</v>
      </c>
      <c r="CQ93" s="7" t="str">
        <f t="shared" si="959"/>
        <v>InitUnitAdd('IP01',,,,,,,,,,)</v>
      </c>
      <c r="CR93" s="7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InitEquipData('IP01',,"",,,,,'','','','','','',"ReplaceableTextures\\CommandButtons\\BTNTome.blp")</v>
      </c>
      <c r="CU93" s="45" t="str">
        <f t="shared" ref="CU93" si="1176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29" t="str">
        <f t="shared" ref="CV93" si="1177">T93</f>
        <v>进入时渊副本消耗时渊碎片</v>
      </c>
      <c r="CW93" s="24"/>
      <c r="CX93" s="24"/>
      <c r="CY93" s="24"/>
      <c r="CZ93" s="24"/>
      <c r="DA93" s="24"/>
      <c r="DB93" s="30" t="str">
        <f t="shared" ref="DB93" si="1178">IF(V93="","","|n"&amp;DB$2&amp;"+"&amp;V93&amp;DB$1)</f>
        <v/>
      </c>
      <c r="DC93" s="30" t="str">
        <f t="shared" ref="DC93" si="1179">IF(W93="","","|n"&amp;DC$2&amp;"+"&amp;W93&amp;DC$1)</f>
        <v/>
      </c>
      <c r="DD93" s="30" t="str">
        <f t="shared" ref="DD93" si="1180">IF(X93="","","|n"&amp;DD$2&amp;"+"&amp;X93&amp;DD$1)</f>
        <v/>
      </c>
      <c r="DE93" s="30" t="str">
        <f t="shared" ref="DE93" si="1181">IF(Y93="","","|n"&amp;DE$2&amp;"+"&amp;Y93&amp;DE$1)</f>
        <v/>
      </c>
      <c r="DF93" s="30" t="str">
        <f t="shared" ref="DF93" si="1182">IF(Z93="","","|n"&amp;DF$2&amp;"+"&amp;Z93&amp;DF$1)</f>
        <v/>
      </c>
      <c r="DG93" s="30" t="str">
        <f t="shared" ref="DG93" si="1183">IF(AA93="","","|n"&amp;DG$2&amp;"+"&amp;AA93&amp;DG$1)</f>
        <v/>
      </c>
      <c r="DH93" s="30" t="str">
        <f t="shared" ref="DH93" si="1184">IF(AB93="","","|n"&amp;DH$2&amp;"+"&amp;AB93&amp;DH$1)</f>
        <v/>
      </c>
      <c r="DI93" s="30" t="str">
        <f t="shared" ref="DI93" si="1185">IF(AC93="","","|n"&amp;DI$2&amp;"+"&amp;AC93&amp;DI$1)</f>
        <v/>
      </c>
      <c r="DJ93" s="30" t="str">
        <f t="shared" ref="DJ93" si="1186">IF(AD93="","","|n"&amp;DJ$2&amp;"+"&amp;AD93&amp;DJ$1)</f>
        <v/>
      </c>
      <c r="DK93" s="30" t="str">
        <f t="shared" ref="DK93" si="1187">IF(AE93="","","|n"&amp;DK$2&amp;"+"&amp;AE93&amp;DK$1)</f>
        <v/>
      </c>
      <c r="DL93" s="30" t="str">
        <f t="shared" ref="DL93" si="1188">IF(AF93="","","|n"&amp;DL$2&amp;"+"&amp;AF93&amp;DL$1)</f>
        <v/>
      </c>
      <c r="DM93" s="30" t="str">
        <f t="shared" ref="DM93" si="1189">IF(AG93="","","|n"&amp;DM$2&amp;"+"&amp;AG93&amp;DM$1)</f>
        <v/>
      </c>
      <c r="DN93" s="30" t="str">
        <f t="shared" ref="DN93" si="1190">IF(AH93="","","|n"&amp;DN$2&amp;"+"&amp;AH93&amp;DN$1)</f>
        <v/>
      </c>
      <c r="DO93" s="30" t="str">
        <f t="shared" ref="DO93" si="1191">IF(AI93="","","|n"&amp;DO$2&amp;"+"&amp;AI93&amp;DO$1)</f>
        <v/>
      </c>
      <c r="DP93" s="30" t="str">
        <f t="shared" ref="DP93" si="1192">IF(AJ93="","","|n"&amp;DP$2&amp;"+"&amp;AJ93&amp;DP$1)</f>
        <v/>
      </c>
      <c r="DQ93" s="30" t="str">
        <f t="shared" ref="DQ93" si="1193">IF(AK93="","","|n"&amp;DQ$2&amp;"+"&amp;AK93&amp;DQ$1)</f>
        <v/>
      </c>
      <c r="DR93" s="30" t="str">
        <f t="shared" ref="DR93" si="1194">IF(AL93="","","|n"&amp;DR$2&amp;"+"&amp;AL93&amp;DR$1)</f>
        <v/>
      </c>
      <c r="DS93" s="30" t="str">
        <f t="shared" ref="DS93" si="1195">IF(AM93="","","|n"&amp;DS$2&amp;"+"&amp;AM93&amp;DS$1)</f>
        <v/>
      </c>
      <c r="DT93" s="30" t="str">
        <f t="shared" ref="DT93" si="1196">IF(AN93="","","|n"&amp;DT$2&amp;"+"&amp;AN93&amp;DT$1)</f>
        <v/>
      </c>
      <c r="DU93" s="30" t="str">
        <f t="shared" ref="DU93" si="1197">IF(AO93="","","|n"&amp;DU$2&amp;"+"&amp;AO93&amp;DU$1)</f>
        <v/>
      </c>
      <c r="DV93" s="30" t="str">
        <f t="shared" ref="DV93" si="1198">IF(AP93="","","|n"&amp;DV$2&amp;"+"&amp;AP93&amp;DV$1)</f>
        <v/>
      </c>
      <c r="DW93" s="30" t="str">
        <f t="shared" ref="DW93" si="1199">IF(AQ93="","","|n"&amp;DW$2&amp;"+"&amp;AQ93&amp;DW$1)</f>
        <v/>
      </c>
      <c r="DX93" s="30" t="str">
        <f t="shared" ref="DX93" si="1200">IF(AR93="","","|n"&amp;DX$2&amp;"+"&amp;AR93&amp;DX$1)</f>
        <v/>
      </c>
      <c r="DY93" s="30" t="str">
        <f t="shared" ref="DY93" si="1201">IF(AS93="","","|n"&amp;DY$2&amp;"+"&amp;AS93&amp;DY$1)</f>
        <v/>
      </c>
      <c r="DZ93" s="30" t="str">
        <f t="shared" ref="DZ93" si="1202">IF(AT93="","","|n"&amp;DZ$2&amp;"+"&amp;AT93&amp;DZ$1)</f>
        <v/>
      </c>
      <c r="EA93" s="30" t="str">
        <f t="shared" ref="EA93" si="1203">IF(AU93="","","|n"&amp;EA$2&amp;"+"&amp;AU93&amp;EA$1)</f>
        <v/>
      </c>
      <c r="EB93" s="30" t="str">
        <f t="shared" ref="EB93" si="1204">IF(AV93="","","|n"&amp;EB$2&amp;"+"&amp;AV93&amp;EB$1)</f>
        <v/>
      </c>
      <c r="EC93" s="30" t="str">
        <f t="shared" ref="EC93" si="1205">IF(AW93="","","|n"&amp;EC$2&amp;"+"&amp;AW93&amp;EC$1)</f>
        <v/>
      </c>
      <c r="ED93" s="30" t="str">
        <f t="shared" ref="ED93" si="1206">IF(AX93="","","|n"&amp;ED$2&amp;"+"&amp;AX93&amp;ED$1)</f>
        <v/>
      </c>
      <c r="EE93" s="30" t="str">
        <f t="shared" ref="EE93" si="1207">IF(AY93="","","|n"&amp;EE$2&amp;"+"&amp;AY93&amp;EE$1)</f>
        <v/>
      </c>
      <c r="EF93" s="30" t="str">
        <f t="shared" ref="EF93" si="1208">IF(AZ93="","","|n"&amp;EF$2&amp;"+"&amp;AZ93&amp;EF$1)</f>
        <v/>
      </c>
      <c r="EG93" s="30" t="str">
        <f t="shared" ref="EG93" si="1209">IF(BA93="","","|n"&amp;EG$2&amp;"+"&amp;BA93&amp;EG$1)</f>
        <v/>
      </c>
      <c r="EH93" s="30" t="str">
        <f t="shared" ref="EH93" si="1210">IF(BB93="","","|n"&amp;EH$2&amp;"+"&amp;BB93&amp;EH$1)</f>
        <v/>
      </c>
      <c r="EI93" s="30" t="str">
        <f t="shared" ref="EI93" si="1211">IF(BC93="","","|n"&amp;EI$2&amp;"+"&amp;BC93&amp;EI$1)</f>
        <v/>
      </c>
      <c r="EJ93" s="30" t="str">
        <f t="shared" ref="EJ93" si="1212">IF(BD93="","","|n"&amp;EJ$2&amp;"+"&amp;BD93&amp;EJ$1)</f>
        <v/>
      </c>
      <c r="EK93" s="30" t="str">
        <f t="shared" ref="EK93" si="1213">IF(BE93="","","|n"&amp;EK$2&amp;"+"&amp;BE93&amp;EK$1)</f>
        <v/>
      </c>
      <c r="EL93" s="30" t="str">
        <f t="shared" ref="EL93" si="1214">IF(BF93="","","|n"&amp;EL$2&amp;"+"&amp;BF93&amp;EL$1)</f>
        <v/>
      </c>
      <c r="EM93" s="30" t="str">
        <f t="shared" ref="EM93" si="1215">IF(BG93="","","|n"&amp;EM$2&amp;"+"&amp;BG93&amp;EM$1)</f>
        <v/>
      </c>
      <c r="EN93" s="30" t="str">
        <f t="shared" ref="EN93" si="1216">IF(BH93="","","|n"&amp;EN$2&amp;"+"&amp;BH93&amp;EN$1)</f>
        <v/>
      </c>
      <c r="EO93" s="30" t="str">
        <f t="shared" ref="EO93" si="1217">IF(BI93="","","|n"&amp;EO$2&amp;"+"&amp;BI93&amp;EO$1)</f>
        <v/>
      </c>
      <c r="EP93" s="30" t="str">
        <f t="shared" ref="EP93" si="1218">IF(BJ93="","","|n"&amp;EP$2&amp;"+"&amp;BJ93&amp;EP$1)</f>
        <v/>
      </c>
      <c r="EQ93" s="30" t="str">
        <f t="shared" ref="EQ93" si="1219">IF(BK93="","","|n"&amp;EQ$2&amp;"+"&amp;BK93&amp;EQ$1)</f>
        <v/>
      </c>
      <c r="ER93" s="30" t="str">
        <f t="shared" ref="ER93" si="1220">IF(BL93="","","|n"&amp;ER$2&amp;"+"&amp;BL93&amp;ER$1)</f>
        <v/>
      </c>
      <c r="ES93" s="30" t="str">
        <f t="shared" ref="ES93" si="1221">IF(BM93="","","|n"&amp;ES$2&amp;"+"&amp;BM93&amp;ES$1)</f>
        <v/>
      </c>
      <c r="ET93" s="30" t="str">
        <f t="shared" ref="ET93" si="1222">IF(BN93="","","|n"&amp;ET$2&amp;"+"&amp;BN93&amp;ET$1)</f>
        <v/>
      </c>
      <c r="EU93" s="30" t="str">
        <f t="shared" ref="EU93" si="1223">IF(BO93="","","|n"&amp;EU$2&amp;"+"&amp;BO93&amp;EU$1)</f>
        <v/>
      </c>
      <c r="EV93" s="30" t="str">
        <f t="shared" ref="EV93" si="1224">IF(BP93="","","|n"&amp;EV$2&amp;"+"&amp;BP93&amp;EV$1)</f>
        <v/>
      </c>
      <c r="EW93" s="30" t="str">
        <f t="shared" ref="EW93" si="1225">IF(BQ93="","","|n"&amp;EW$2&amp;"+"&amp;BQ93&amp;EW$1)</f>
        <v/>
      </c>
      <c r="EX93" s="30" t="str">
        <f t="shared" ref="EX93" si="1226">IF(BR93="","","|n"&amp;EX$2&amp;"+"&amp;BR93&amp;EX$1)</f>
        <v/>
      </c>
      <c r="EY93" s="30" t="str">
        <f t="shared" ref="EY93" si="1227">IF(BS93="","","|n"&amp;EY$2&amp;"+"&amp;BS93&amp;EY$1)</f>
        <v/>
      </c>
      <c r="EZ93" s="30" t="str">
        <f t="shared" ref="EZ93" si="1228">IF(BT93="","","|n"&amp;EZ$2&amp;"+"&amp;BT93&amp;EZ$1)</f>
        <v/>
      </c>
      <c r="FA93" s="30" t="str">
        <f t="shared" ref="FA93" si="1229">IF(BU93="","","|n"&amp;FA$2&amp;"+"&amp;BU93&amp;FA$1)</f>
        <v/>
      </c>
      <c r="FB93" s="30" t="str">
        <f t="shared" ref="FB93" si="1230">IF(BV93="","","|n"&amp;FB$2&amp;"+"&amp;BV93&amp;FB$1)</f>
        <v/>
      </c>
      <c r="FC93" s="30" t="str">
        <f t="shared" ref="FC93" si="1231">IF(BW93="","","|n"&amp;FC$2&amp;"+"&amp;BW93&amp;FC$1)</f>
        <v/>
      </c>
      <c r="FD93" s="30" t="str">
        <f t="shared" ref="FD93" si="1232">IF(BX93="","","|n"&amp;FD$2&amp;"+"&amp;BX93&amp;FD$1)</f>
        <v/>
      </c>
      <c r="FE93" s="30" t="str">
        <f t="shared" ref="FE93" si="1233">IF(BY93="","","|n"&amp;FE$2&amp;"+"&amp;BY93&amp;FE$1)</f>
        <v/>
      </c>
      <c r="FF93" s="30" t="str">
        <f t="shared" ref="FF93" si="1234">IF(BZ93="","","|n"&amp;FF$2&amp;"+"&amp;BZ93&amp;FF$1)</f>
        <v/>
      </c>
      <c r="FG93" s="30" t="str">
        <f t="shared" ref="FG93" si="1235">IF(CA93="","","|n"&amp;FG$2&amp;"+"&amp;CA93&amp;FG$1)</f>
        <v/>
      </c>
      <c r="FH93" s="30" t="str">
        <f t="shared" ref="FH93" si="1236">IF(CB93="","","|n"&amp;FH$2&amp;"+"&amp;CB93&amp;FH$1)</f>
        <v/>
      </c>
      <c r="FI93" s="30" t="str">
        <f t="shared" ref="FI93" si="1237">IF(CC93="","","|n"&amp;FI$2&amp;"+"&amp;CC93&amp;FI$1)</f>
        <v/>
      </c>
      <c r="FJ93" s="30" t="str">
        <f t="shared" ref="FJ93" si="1238">IF(CD93="","","|n"&amp;FJ$2&amp;"+"&amp;CD93&amp;FJ$1)</f>
        <v/>
      </c>
      <c r="FK93" s="30" t="str">
        <f t="shared" ref="FK93" si="1239">IF(CE93="","","|n"&amp;FK$2&amp;"+"&amp;CE93&amp;FK$1)</f>
        <v/>
      </c>
      <c r="FL93" s="30" t="str">
        <f t="shared" ref="FL93" si="1240">IF(CF93="","","|n"&amp;FL$2&amp;"+"&amp;CF93&amp;FL$1)</f>
        <v/>
      </c>
      <c r="FM93" s="30" t="str">
        <f t="shared" ref="FM93" si="1241">IF(CG93="","","|n"&amp;FM$2&amp;"+"&amp;CG93&amp;FM$1)</f>
        <v/>
      </c>
      <c r="FN93" s="30" t="str">
        <f t="shared" ref="FN93" si="1242">IF(CH93="","","|n"&amp;FN$2&amp;"+"&amp;CH93&amp;FN$1)</f>
        <v/>
      </c>
      <c r="FO93" s="30" t="str">
        <f t="shared" ref="FO93" si="1243">IF(CI93="","","|n"&amp;FO$2&amp;"+"&amp;CI93&amp;FO$1)</f>
        <v/>
      </c>
      <c r="FP93" s="30" t="str">
        <f t="shared" ref="FP93" si="1244">IF(CJ93="","","|n"&amp;FP$2&amp;"+"&amp;CJ93&amp;FP$1)</f>
        <v/>
      </c>
      <c r="FQ93" s="30" t="str">
        <f t="shared" ref="FQ93" si="1245">IF(CK93="","","|n"&amp;FQ$2&amp;"+"&amp;CK93&amp;FQ$1)</f>
        <v/>
      </c>
      <c r="FR93" s="30" t="str">
        <f t="shared" ref="FR93" si="1246">IF(CL93="","","|n"&amp;FR$2&amp;"+"&amp;CL93&amp;FR$1)</f>
        <v/>
      </c>
      <c r="FS93" s="30" t="str">
        <f t="shared" ref="FS93" si="1247">IF(CM93="","","|n"&amp;FS$2&amp;"+"&amp;CM93&amp;FS$1)</f>
        <v/>
      </c>
    </row>
    <row r="94" spans="1:175" ht="16.5">
      <c r="A94" s="117"/>
      <c r="B94" s="111" t="s">
        <v>837</v>
      </c>
      <c r="C94" s="117" t="s">
        <v>839</v>
      </c>
      <c r="T94" s="118" t="s">
        <v>841</v>
      </c>
      <c r="U94" s="37" t="s">
        <v>822</v>
      </c>
      <c r="CN94" s="7" t="str">
        <f t="shared" si="956"/>
        <v>InitUnitState('IP02',,,,,,,,,,)</v>
      </c>
      <c r="CO94" s="7" t="str">
        <f t="shared" si="957"/>
        <v>InitUnitNormal('IP02',,,,,,,,,,)</v>
      </c>
      <c r="CP94" s="7" t="str">
        <f t="shared" si="958"/>
        <v>InitUnitMagic('IP02',,,,,,,,,,)</v>
      </c>
      <c r="CQ94" s="7" t="str">
        <f t="shared" si="959"/>
        <v>InitUnitAdd('IP02',,,,,,,,,,)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InitEquipData('IP02',,"",,,,,'','','','','','',"ReplaceableTextures\\CommandButtons\\BTNTome.blp")</v>
      </c>
      <c r="CU94" s="45" t="str">
        <f t="shared" ref="CU94:CU95" si="1248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29" t="str">
        <f t="shared" ref="CV94:CV95" si="1249">T94</f>
        <v>消耗补天石，可重铸指定法宝</v>
      </c>
      <c r="CW94" s="24"/>
      <c r="CX94" s="24"/>
      <c r="CY94" s="24"/>
      <c r="CZ94" s="24"/>
      <c r="DA94" s="24"/>
      <c r="DB94" s="30" t="str">
        <f t="shared" ref="DB94:DB95" si="1250">IF(V94="","","|n"&amp;DB$2&amp;"+"&amp;V94&amp;DB$1)</f>
        <v/>
      </c>
      <c r="DC94" s="30" t="str">
        <f t="shared" ref="DC94:DC95" si="1251">IF(W94="","","|n"&amp;DC$2&amp;"+"&amp;W94&amp;DC$1)</f>
        <v/>
      </c>
      <c r="DD94" s="30" t="str">
        <f t="shared" ref="DD94:DD95" si="1252">IF(X94="","","|n"&amp;DD$2&amp;"+"&amp;X94&amp;DD$1)</f>
        <v/>
      </c>
      <c r="DE94" s="30" t="str">
        <f t="shared" ref="DE94:DE95" si="1253">IF(Y94="","","|n"&amp;DE$2&amp;"+"&amp;Y94&amp;DE$1)</f>
        <v/>
      </c>
      <c r="DF94" s="30" t="str">
        <f t="shared" ref="DF94:DF95" si="1254">IF(Z94="","","|n"&amp;DF$2&amp;"+"&amp;Z94&amp;DF$1)</f>
        <v/>
      </c>
      <c r="DG94" s="30" t="str">
        <f t="shared" ref="DG94:DG95" si="1255">IF(AA94="","","|n"&amp;DG$2&amp;"+"&amp;AA94&amp;DG$1)</f>
        <v/>
      </c>
      <c r="DH94" s="30" t="str">
        <f t="shared" ref="DH94:DH95" si="1256">IF(AB94="","","|n"&amp;DH$2&amp;"+"&amp;AB94&amp;DH$1)</f>
        <v/>
      </c>
      <c r="DI94" s="30" t="str">
        <f t="shared" ref="DI94:DI95" si="1257">IF(AC94="","","|n"&amp;DI$2&amp;"+"&amp;AC94&amp;DI$1)</f>
        <v/>
      </c>
      <c r="DJ94" s="30" t="str">
        <f t="shared" ref="DJ94:DJ95" si="1258">IF(AD94="","","|n"&amp;DJ$2&amp;"+"&amp;AD94&amp;DJ$1)</f>
        <v/>
      </c>
      <c r="DK94" s="30" t="str">
        <f t="shared" ref="DK94:DK95" si="1259">IF(AE94="","","|n"&amp;DK$2&amp;"+"&amp;AE94&amp;DK$1)</f>
        <v/>
      </c>
      <c r="DL94" s="30" t="str">
        <f t="shared" ref="DL94:DL95" si="1260">IF(AF94="","","|n"&amp;DL$2&amp;"+"&amp;AF94&amp;DL$1)</f>
        <v/>
      </c>
      <c r="DM94" s="30" t="str">
        <f t="shared" ref="DM94:DM95" si="1261">IF(AG94="","","|n"&amp;DM$2&amp;"+"&amp;AG94&amp;DM$1)</f>
        <v/>
      </c>
      <c r="DN94" s="30" t="str">
        <f t="shared" ref="DN94:DN95" si="1262">IF(AH94="","","|n"&amp;DN$2&amp;"+"&amp;AH94&amp;DN$1)</f>
        <v/>
      </c>
      <c r="DO94" s="30" t="str">
        <f t="shared" ref="DO94:DO95" si="1263">IF(AI94="","","|n"&amp;DO$2&amp;"+"&amp;AI94&amp;DO$1)</f>
        <v/>
      </c>
      <c r="DP94" s="30" t="str">
        <f t="shared" ref="DP94:DP95" si="1264">IF(AJ94="","","|n"&amp;DP$2&amp;"+"&amp;AJ94&amp;DP$1)</f>
        <v/>
      </c>
      <c r="DQ94" s="30" t="str">
        <f t="shared" ref="DQ94:DQ95" si="1265">IF(AK94="","","|n"&amp;DQ$2&amp;"+"&amp;AK94&amp;DQ$1)</f>
        <v/>
      </c>
      <c r="DR94" s="30" t="str">
        <f t="shared" ref="DR94:DR95" si="1266">IF(AL94="","","|n"&amp;DR$2&amp;"+"&amp;AL94&amp;DR$1)</f>
        <v/>
      </c>
      <c r="DS94" s="30" t="str">
        <f t="shared" ref="DS94:DS95" si="1267">IF(AM94="","","|n"&amp;DS$2&amp;"+"&amp;AM94&amp;DS$1)</f>
        <v/>
      </c>
      <c r="DT94" s="30" t="str">
        <f t="shared" ref="DT94:DT95" si="1268">IF(AN94="","","|n"&amp;DT$2&amp;"+"&amp;AN94&amp;DT$1)</f>
        <v/>
      </c>
      <c r="DU94" s="30" t="str">
        <f t="shared" ref="DU94:DU95" si="1269">IF(AO94="","","|n"&amp;DU$2&amp;"+"&amp;AO94&amp;DU$1)</f>
        <v/>
      </c>
      <c r="DV94" s="30" t="str">
        <f t="shared" ref="DV94:DV95" si="1270">IF(AP94="","","|n"&amp;DV$2&amp;"+"&amp;AP94&amp;DV$1)</f>
        <v/>
      </c>
      <c r="DW94" s="30" t="str">
        <f t="shared" ref="DW94:DW95" si="1271">IF(AQ94="","","|n"&amp;DW$2&amp;"+"&amp;AQ94&amp;DW$1)</f>
        <v/>
      </c>
      <c r="DX94" s="30" t="str">
        <f t="shared" ref="DX94:DX95" si="1272">IF(AR94="","","|n"&amp;DX$2&amp;"+"&amp;AR94&amp;DX$1)</f>
        <v/>
      </c>
      <c r="DY94" s="30" t="str">
        <f t="shared" ref="DY94:DY95" si="1273">IF(AS94="","","|n"&amp;DY$2&amp;"+"&amp;AS94&amp;DY$1)</f>
        <v/>
      </c>
      <c r="DZ94" s="30" t="str">
        <f t="shared" ref="DZ94:DZ95" si="1274">IF(AT94="","","|n"&amp;DZ$2&amp;"+"&amp;AT94&amp;DZ$1)</f>
        <v/>
      </c>
      <c r="EA94" s="30" t="str">
        <f t="shared" ref="EA94:EA95" si="1275">IF(AU94="","","|n"&amp;EA$2&amp;"+"&amp;AU94&amp;EA$1)</f>
        <v/>
      </c>
      <c r="EB94" s="30" t="str">
        <f t="shared" ref="EB94:EB95" si="1276">IF(AV94="","","|n"&amp;EB$2&amp;"+"&amp;AV94&amp;EB$1)</f>
        <v/>
      </c>
      <c r="EC94" s="30" t="str">
        <f t="shared" ref="EC94:EC95" si="1277">IF(AW94="","","|n"&amp;EC$2&amp;"+"&amp;AW94&amp;EC$1)</f>
        <v/>
      </c>
      <c r="ED94" s="30" t="str">
        <f t="shared" ref="ED94:ED95" si="1278">IF(AX94="","","|n"&amp;ED$2&amp;"+"&amp;AX94&amp;ED$1)</f>
        <v/>
      </c>
      <c r="EE94" s="30" t="str">
        <f t="shared" ref="EE94:EE95" si="1279">IF(AY94="","","|n"&amp;EE$2&amp;"+"&amp;AY94&amp;EE$1)</f>
        <v/>
      </c>
      <c r="EF94" s="30" t="str">
        <f t="shared" ref="EF94:EF95" si="1280">IF(AZ94="","","|n"&amp;EF$2&amp;"+"&amp;AZ94&amp;EF$1)</f>
        <v/>
      </c>
      <c r="EG94" s="30" t="str">
        <f t="shared" ref="EG94:EG95" si="1281">IF(BA94="","","|n"&amp;EG$2&amp;"+"&amp;BA94&amp;EG$1)</f>
        <v/>
      </c>
      <c r="EH94" s="30" t="str">
        <f t="shared" ref="EH94:EH95" si="1282">IF(BB94="","","|n"&amp;EH$2&amp;"+"&amp;BB94&amp;EH$1)</f>
        <v/>
      </c>
      <c r="EI94" s="30" t="str">
        <f t="shared" ref="EI94:EI95" si="1283">IF(BC94="","","|n"&amp;EI$2&amp;"+"&amp;BC94&amp;EI$1)</f>
        <v/>
      </c>
      <c r="EJ94" s="30" t="str">
        <f t="shared" ref="EJ94:EJ95" si="1284">IF(BD94="","","|n"&amp;EJ$2&amp;"+"&amp;BD94&amp;EJ$1)</f>
        <v/>
      </c>
      <c r="EK94" s="30" t="str">
        <f t="shared" ref="EK94:EK95" si="1285">IF(BE94="","","|n"&amp;EK$2&amp;"+"&amp;BE94&amp;EK$1)</f>
        <v/>
      </c>
      <c r="EL94" s="30" t="str">
        <f t="shared" ref="EL94:EL95" si="1286">IF(BF94="","","|n"&amp;EL$2&amp;"+"&amp;BF94&amp;EL$1)</f>
        <v/>
      </c>
      <c r="EM94" s="30" t="str">
        <f t="shared" ref="EM94:EM95" si="1287">IF(BG94="","","|n"&amp;EM$2&amp;"+"&amp;BG94&amp;EM$1)</f>
        <v/>
      </c>
      <c r="EN94" s="30" t="str">
        <f t="shared" ref="EN94:EN95" si="1288">IF(BH94="","","|n"&amp;EN$2&amp;"+"&amp;BH94&amp;EN$1)</f>
        <v/>
      </c>
      <c r="EO94" s="30" t="str">
        <f t="shared" ref="EO94:EO95" si="1289">IF(BI94="","","|n"&amp;EO$2&amp;"+"&amp;BI94&amp;EO$1)</f>
        <v/>
      </c>
      <c r="EP94" s="30" t="str">
        <f t="shared" ref="EP94:EP95" si="1290">IF(BJ94="","","|n"&amp;EP$2&amp;"+"&amp;BJ94&amp;EP$1)</f>
        <v/>
      </c>
      <c r="EQ94" s="30" t="str">
        <f t="shared" ref="EQ94:EQ95" si="1291">IF(BK94="","","|n"&amp;EQ$2&amp;"+"&amp;BK94&amp;EQ$1)</f>
        <v/>
      </c>
      <c r="ER94" s="30" t="str">
        <f t="shared" ref="ER94:ER95" si="1292">IF(BL94="","","|n"&amp;ER$2&amp;"+"&amp;BL94&amp;ER$1)</f>
        <v/>
      </c>
      <c r="ES94" s="30" t="str">
        <f t="shared" ref="ES94:ES95" si="1293">IF(BM94="","","|n"&amp;ES$2&amp;"+"&amp;BM94&amp;ES$1)</f>
        <v/>
      </c>
      <c r="ET94" s="30" t="str">
        <f t="shared" ref="ET94:ET95" si="1294">IF(BN94="","","|n"&amp;ET$2&amp;"+"&amp;BN94&amp;ET$1)</f>
        <v/>
      </c>
      <c r="EU94" s="30" t="str">
        <f t="shared" ref="EU94:EU95" si="1295">IF(BO94="","","|n"&amp;EU$2&amp;"+"&amp;BO94&amp;EU$1)</f>
        <v/>
      </c>
      <c r="EV94" s="30" t="str">
        <f t="shared" ref="EV94:EV95" si="1296">IF(BP94="","","|n"&amp;EV$2&amp;"+"&amp;BP94&amp;EV$1)</f>
        <v/>
      </c>
      <c r="EW94" s="30" t="str">
        <f t="shared" ref="EW94:EW95" si="1297">IF(BQ94="","","|n"&amp;EW$2&amp;"+"&amp;BQ94&amp;EW$1)</f>
        <v/>
      </c>
      <c r="EX94" s="30" t="str">
        <f t="shared" ref="EX94:EX95" si="1298">IF(BR94="","","|n"&amp;EX$2&amp;"+"&amp;BR94&amp;EX$1)</f>
        <v/>
      </c>
      <c r="EY94" s="30" t="str">
        <f t="shared" ref="EY94:EY95" si="1299">IF(BS94="","","|n"&amp;EY$2&amp;"+"&amp;BS94&amp;EY$1)</f>
        <v/>
      </c>
      <c r="EZ94" s="30" t="str">
        <f t="shared" ref="EZ94:EZ95" si="1300">IF(BT94="","","|n"&amp;EZ$2&amp;"+"&amp;BT94&amp;EZ$1)</f>
        <v/>
      </c>
      <c r="FA94" s="30" t="str">
        <f t="shared" ref="FA94:FA95" si="1301">IF(BU94="","","|n"&amp;FA$2&amp;"+"&amp;BU94&amp;FA$1)</f>
        <v/>
      </c>
      <c r="FB94" s="30" t="str">
        <f t="shared" ref="FB94:FB95" si="1302">IF(BV94="","","|n"&amp;FB$2&amp;"+"&amp;BV94&amp;FB$1)</f>
        <v/>
      </c>
      <c r="FC94" s="30" t="str">
        <f t="shared" ref="FC94:FC95" si="1303">IF(BW94="","","|n"&amp;FC$2&amp;"+"&amp;BW94&amp;FC$1)</f>
        <v/>
      </c>
      <c r="FD94" s="30" t="str">
        <f t="shared" ref="FD94:FD95" si="1304">IF(BX94="","","|n"&amp;FD$2&amp;"+"&amp;BX94&amp;FD$1)</f>
        <v/>
      </c>
      <c r="FE94" s="30" t="str">
        <f t="shared" ref="FE94:FE95" si="1305">IF(BY94="","","|n"&amp;FE$2&amp;"+"&amp;BY94&amp;FE$1)</f>
        <v/>
      </c>
      <c r="FF94" s="30" t="str">
        <f t="shared" ref="FF94:FF95" si="1306">IF(BZ94="","","|n"&amp;FF$2&amp;"+"&amp;BZ94&amp;FF$1)</f>
        <v/>
      </c>
      <c r="FG94" s="30" t="str">
        <f t="shared" ref="FG94:FG95" si="1307">IF(CA94="","","|n"&amp;FG$2&amp;"+"&amp;CA94&amp;FG$1)</f>
        <v/>
      </c>
      <c r="FH94" s="30" t="str">
        <f t="shared" ref="FH94:FH95" si="1308">IF(CB94="","","|n"&amp;FH$2&amp;"+"&amp;CB94&amp;FH$1)</f>
        <v/>
      </c>
      <c r="FI94" s="30" t="str">
        <f t="shared" ref="FI94:FI95" si="1309">IF(CC94="","","|n"&amp;FI$2&amp;"+"&amp;CC94&amp;FI$1)</f>
        <v/>
      </c>
      <c r="FJ94" s="30" t="str">
        <f t="shared" ref="FJ94:FJ95" si="1310">IF(CD94="","","|n"&amp;FJ$2&amp;"+"&amp;CD94&amp;FJ$1)</f>
        <v/>
      </c>
      <c r="FK94" s="30" t="str">
        <f t="shared" ref="FK94:FK95" si="1311">IF(CE94="","","|n"&amp;FK$2&amp;"+"&amp;CE94&amp;FK$1)</f>
        <v/>
      </c>
      <c r="FL94" s="30" t="str">
        <f t="shared" ref="FL94:FL95" si="1312">IF(CF94="","","|n"&amp;FL$2&amp;"+"&amp;CF94&amp;FL$1)</f>
        <v/>
      </c>
      <c r="FM94" s="30" t="str">
        <f t="shared" ref="FM94:FM95" si="1313">IF(CG94="","","|n"&amp;FM$2&amp;"+"&amp;CG94&amp;FM$1)</f>
        <v/>
      </c>
      <c r="FN94" s="30" t="str">
        <f t="shared" ref="FN94:FN95" si="1314">IF(CH94="","","|n"&amp;FN$2&amp;"+"&amp;CH94&amp;FN$1)</f>
        <v/>
      </c>
      <c r="FO94" s="30" t="str">
        <f t="shared" ref="FO94:FO95" si="1315">IF(CI94="","","|n"&amp;FO$2&amp;"+"&amp;CI94&amp;FO$1)</f>
        <v/>
      </c>
      <c r="FP94" s="30" t="str">
        <f t="shared" ref="FP94:FP95" si="1316">IF(CJ94="","","|n"&amp;FP$2&amp;"+"&amp;CJ94&amp;FP$1)</f>
        <v/>
      </c>
      <c r="FQ94" s="30" t="str">
        <f t="shared" ref="FQ94:FQ95" si="1317">IF(CK94="","","|n"&amp;FQ$2&amp;"+"&amp;CK94&amp;FQ$1)</f>
        <v/>
      </c>
      <c r="FR94" s="30" t="str">
        <f t="shared" ref="FR94:FR95" si="1318">IF(CL94="","","|n"&amp;FR$2&amp;"+"&amp;CL94&amp;FR$1)</f>
        <v/>
      </c>
      <c r="FS94" s="30" t="str">
        <f t="shared" ref="FS94:FS95" si="1319">IF(CM94="","","|n"&amp;FS$2&amp;"+"&amp;CM94&amp;FS$1)</f>
        <v/>
      </c>
    </row>
    <row r="95" spans="1:175" ht="16.5">
      <c r="A95" s="117"/>
      <c r="B95" s="111" t="s">
        <v>838</v>
      </c>
      <c r="C95" s="117" t="s">
        <v>840</v>
      </c>
      <c r="T95" s="117" t="s">
        <v>842</v>
      </c>
      <c r="U95" s="37" t="s">
        <v>822</v>
      </c>
      <c r="CN95" s="7" t="str">
        <f t="shared" si="956"/>
        <v>InitUnitState('IP03',,,,,,,,,,)</v>
      </c>
      <c r="CO95" s="7" t="str">
        <f t="shared" si="957"/>
        <v>InitUnitNormal('IP03',,,,,,,,,,)</v>
      </c>
      <c r="CP95" s="7" t="str">
        <f t="shared" si="958"/>
        <v>InitUnitMagic('IP03',,,,,,,,,,)</v>
      </c>
      <c r="CQ95" s="7" t="str">
        <f t="shared" si="959"/>
        <v>InitUnitAdd('IP03',,,,,,,,,,)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InitEquipData('IP03',,"",,,,,'','','','','','',"ReplaceableTextures\\CommandButtons\\BTNTome.blp")</v>
      </c>
      <c r="CU95" s="45" t="str">
        <f t="shared" si="1248"/>
        <v>|n</v>
      </c>
      <c r="CV95" s="29" t="str">
        <f t="shared" si="1249"/>
        <v>消耗鸿蒙结晶，可将指定法宝锻造为高一品阶的随机法宝。</v>
      </c>
      <c r="CW95" s="24"/>
      <c r="CX95" s="24"/>
      <c r="CY95" s="24"/>
      <c r="CZ95" s="24"/>
      <c r="DA95" s="24"/>
      <c r="DB95" s="30" t="str">
        <f t="shared" si="1250"/>
        <v/>
      </c>
      <c r="DC95" s="30" t="str">
        <f t="shared" si="1251"/>
        <v/>
      </c>
      <c r="DD95" s="30" t="str">
        <f t="shared" si="1252"/>
        <v/>
      </c>
      <c r="DE95" s="30" t="str">
        <f t="shared" si="1253"/>
        <v/>
      </c>
      <c r="DF95" s="30" t="str">
        <f t="shared" si="1254"/>
        <v/>
      </c>
      <c r="DG95" s="30" t="str">
        <f t="shared" si="1255"/>
        <v/>
      </c>
      <c r="DH95" s="30" t="str">
        <f t="shared" si="1256"/>
        <v/>
      </c>
      <c r="DI95" s="30" t="str">
        <f t="shared" si="1257"/>
        <v/>
      </c>
      <c r="DJ95" s="30" t="str">
        <f t="shared" si="1258"/>
        <v/>
      </c>
      <c r="DK95" s="30" t="str">
        <f t="shared" si="1259"/>
        <v/>
      </c>
      <c r="DL95" s="30" t="str">
        <f t="shared" si="1260"/>
        <v/>
      </c>
      <c r="DM95" s="30" t="str">
        <f t="shared" si="1261"/>
        <v/>
      </c>
      <c r="DN95" s="30" t="str">
        <f t="shared" si="1262"/>
        <v/>
      </c>
      <c r="DO95" s="30" t="str">
        <f t="shared" si="1263"/>
        <v/>
      </c>
      <c r="DP95" s="30" t="str">
        <f t="shared" si="1264"/>
        <v/>
      </c>
      <c r="DQ95" s="30" t="str">
        <f t="shared" si="1265"/>
        <v/>
      </c>
      <c r="DR95" s="30" t="str">
        <f t="shared" si="1266"/>
        <v/>
      </c>
      <c r="DS95" s="30" t="str">
        <f t="shared" si="1267"/>
        <v/>
      </c>
      <c r="DT95" s="30" t="str">
        <f t="shared" si="1268"/>
        <v/>
      </c>
      <c r="DU95" s="30" t="str">
        <f t="shared" si="1269"/>
        <v/>
      </c>
      <c r="DV95" s="30" t="str">
        <f t="shared" si="1270"/>
        <v/>
      </c>
      <c r="DW95" s="30" t="str">
        <f t="shared" si="1271"/>
        <v/>
      </c>
      <c r="DX95" s="30" t="str">
        <f t="shared" si="1272"/>
        <v/>
      </c>
      <c r="DY95" s="30" t="str">
        <f t="shared" si="1273"/>
        <v/>
      </c>
      <c r="DZ95" s="30" t="str">
        <f t="shared" si="1274"/>
        <v/>
      </c>
      <c r="EA95" s="30" t="str">
        <f t="shared" si="1275"/>
        <v/>
      </c>
      <c r="EB95" s="30" t="str">
        <f t="shared" si="1276"/>
        <v/>
      </c>
      <c r="EC95" s="30" t="str">
        <f t="shared" si="1277"/>
        <v/>
      </c>
      <c r="ED95" s="30" t="str">
        <f t="shared" si="1278"/>
        <v/>
      </c>
      <c r="EE95" s="30" t="str">
        <f t="shared" si="1279"/>
        <v/>
      </c>
      <c r="EF95" s="30" t="str">
        <f t="shared" si="1280"/>
        <v/>
      </c>
      <c r="EG95" s="30" t="str">
        <f t="shared" si="1281"/>
        <v/>
      </c>
      <c r="EH95" s="30" t="str">
        <f t="shared" si="1282"/>
        <v/>
      </c>
      <c r="EI95" s="30" t="str">
        <f t="shared" si="1283"/>
        <v/>
      </c>
      <c r="EJ95" s="30" t="str">
        <f t="shared" si="1284"/>
        <v/>
      </c>
      <c r="EK95" s="30" t="str">
        <f t="shared" si="1285"/>
        <v/>
      </c>
      <c r="EL95" s="30" t="str">
        <f t="shared" si="1286"/>
        <v/>
      </c>
      <c r="EM95" s="30" t="str">
        <f t="shared" si="1287"/>
        <v/>
      </c>
      <c r="EN95" s="30" t="str">
        <f t="shared" si="1288"/>
        <v/>
      </c>
      <c r="EO95" s="30" t="str">
        <f t="shared" si="1289"/>
        <v/>
      </c>
      <c r="EP95" s="30" t="str">
        <f t="shared" si="1290"/>
        <v/>
      </c>
      <c r="EQ95" s="30" t="str">
        <f t="shared" si="1291"/>
        <v/>
      </c>
      <c r="ER95" s="30" t="str">
        <f t="shared" si="1292"/>
        <v/>
      </c>
      <c r="ES95" s="30" t="str">
        <f t="shared" si="1293"/>
        <v/>
      </c>
      <c r="ET95" s="30" t="str">
        <f t="shared" si="1294"/>
        <v/>
      </c>
      <c r="EU95" s="30" t="str">
        <f t="shared" si="1295"/>
        <v/>
      </c>
      <c r="EV95" s="30" t="str">
        <f t="shared" si="1296"/>
        <v/>
      </c>
      <c r="EW95" s="30" t="str">
        <f t="shared" si="1297"/>
        <v/>
      </c>
      <c r="EX95" s="30" t="str">
        <f t="shared" si="1298"/>
        <v/>
      </c>
      <c r="EY95" s="30" t="str">
        <f t="shared" si="1299"/>
        <v/>
      </c>
      <c r="EZ95" s="30" t="str">
        <f t="shared" si="1300"/>
        <v/>
      </c>
      <c r="FA95" s="30" t="str">
        <f t="shared" si="1301"/>
        <v/>
      </c>
      <c r="FB95" s="30" t="str">
        <f t="shared" si="1302"/>
        <v/>
      </c>
      <c r="FC95" s="30" t="str">
        <f t="shared" si="1303"/>
        <v/>
      </c>
      <c r="FD95" s="30" t="str">
        <f t="shared" si="1304"/>
        <v/>
      </c>
      <c r="FE95" s="30" t="str">
        <f t="shared" si="1305"/>
        <v/>
      </c>
      <c r="FF95" s="30" t="str">
        <f t="shared" si="1306"/>
        <v/>
      </c>
      <c r="FG95" s="30" t="str">
        <f t="shared" si="1307"/>
        <v/>
      </c>
      <c r="FH95" s="30" t="str">
        <f t="shared" si="1308"/>
        <v/>
      </c>
      <c r="FI95" s="30" t="str">
        <f t="shared" si="1309"/>
        <v/>
      </c>
      <c r="FJ95" s="30" t="str">
        <f t="shared" si="1310"/>
        <v/>
      </c>
      <c r="FK95" s="30" t="str">
        <f t="shared" si="1311"/>
        <v/>
      </c>
      <c r="FL95" s="30" t="str">
        <f t="shared" si="1312"/>
        <v/>
      </c>
      <c r="FM95" s="30" t="str">
        <f t="shared" si="1313"/>
        <v/>
      </c>
      <c r="FN95" s="30" t="str">
        <f t="shared" si="1314"/>
        <v/>
      </c>
      <c r="FO95" s="30" t="str">
        <f t="shared" si="1315"/>
        <v/>
      </c>
      <c r="FP95" s="30" t="str">
        <f t="shared" si="1316"/>
        <v/>
      </c>
      <c r="FQ95" s="30" t="str">
        <f t="shared" si="1317"/>
        <v/>
      </c>
      <c r="FR95" s="30" t="str">
        <f t="shared" si="1318"/>
        <v/>
      </c>
      <c r="FS95" s="30" t="str">
        <f t="shared" si="1319"/>
        <v/>
      </c>
    </row>
    <row r="96" spans="1:175" ht="16.5">
      <c r="A96" s="117"/>
      <c r="B96" s="111" t="s">
        <v>863</v>
      </c>
      <c r="C96" s="117" t="s">
        <v>864</v>
      </c>
      <c r="R96" s="25">
        <v>-7657</v>
      </c>
      <c r="S96" s="25">
        <v>-4635</v>
      </c>
      <c r="T96" s="117" t="s">
        <v>864</v>
      </c>
      <c r="U96" s="37" t="s">
        <v>822</v>
      </c>
      <c r="CN96" s="7" t="str">
        <f t="shared" ref="CN96" si="1320">"InitUnitState('"&amp;B96&amp;"',"&amp;V96&amp;","&amp;W96&amp;","&amp;X96&amp;","&amp;Y96&amp;","&amp;Z96&amp;","&amp;AA96&amp;","&amp;AB96&amp;","&amp;AC96&amp;","&amp;AD96&amp;","&amp;AE96&amp;")"</f>
        <v>InitUnitState('IT01',,,,,,,,,,)</v>
      </c>
      <c r="CO96" s="7" t="str">
        <f t="shared" ref="CO96" si="1321">"InitUnitNormal('"&amp;B96&amp;"',"&amp;AF96&amp;","&amp;AG96&amp;","&amp;AH96&amp;","&amp;AI96&amp;","&amp;AJ96&amp;","&amp;AK96&amp;","&amp;AL96&amp;","&amp;AM96&amp;","&amp;AN96&amp;","&amp;AO96&amp;")"</f>
        <v>InitUnitNormal('IT01',,,,,,,,,,)</v>
      </c>
      <c r="CP96" s="7" t="str">
        <f t="shared" ref="CP96" si="1322">"InitUnitMagic('"&amp;B96&amp;"',"&amp;AP96&amp;","&amp;AQ96&amp;","&amp;AR96&amp;","&amp;AS96&amp;","&amp;AT96&amp;","&amp;AU96&amp;","&amp;AV96&amp;","&amp;AW96&amp;","&amp;BI96&amp;","&amp;BJ96&amp;")"</f>
        <v>InitUnitMagic('IT01',,,,,,,,,,)</v>
      </c>
      <c r="CQ96" s="7" t="str">
        <f t="shared" ref="CQ96" si="1323">"InitUnitAdd('"&amp;B96&amp;"',"&amp;BK96&amp;","&amp;BL96&amp;","&amp;BM96&amp;","&amp;BN96&amp;","&amp;BO96&amp;","&amp;BP96&amp;","&amp;BQ96&amp;","&amp;BR96&amp;","&amp;BS96&amp;","&amp;BT96&amp;")"</f>
        <v>InitUnitAdd('IT01',,,,,,,,,,)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InitEquipData('IT01',,"",,,,,'','','','','','',"ReplaceableTextures\\CommandButtons\\BTNTome.blp")</v>
      </c>
      <c r="CU96" s="45" t="str">
        <f t="shared" ref="CU96" si="1324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29" t="str">
        <f t="shared" ref="CV96" si="1325">T96</f>
        <v>境界挑战1</v>
      </c>
      <c r="CW96" s="24"/>
      <c r="CX96" s="24"/>
      <c r="CY96" s="24"/>
      <c r="CZ96" s="24"/>
      <c r="DA96" s="24"/>
      <c r="DB96" s="30" t="str">
        <f t="shared" ref="DB96" si="1326">IF(V96="","","|n"&amp;DB$2&amp;"+"&amp;V96&amp;DB$1)</f>
        <v/>
      </c>
      <c r="DC96" s="30" t="str">
        <f t="shared" ref="DC96" si="1327">IF(W96="","","|n"&amp;DC$2&amp;"+"&amp;W96&amp;DC$1)</f>
        <v/>
      </c>
      <c r="DD96" s="30" t="str">
        <f t="shared" ref="DD96" si="1328">IF(X96="","","|n"&amp;DD$2&amp;"+"&amp;X96&amp;DD$1)</f>
        <v/>
      </c>
      <c r="DE96" s="30" t="str">
        <f t="shared" ref="DE96" si="1329">IF(Y96="","","|n"&amp;DE$2&amp;"+"&amp;Y96&amp;DE$1)</f>
        <v/>
      </c>
      <c r="DF96" s="30" t="str">
        <f t="shared" ref="DF96" si="1330">IF(Z96="","","|n"&amp;DF$2&amp;"+"&amp;Z96&amp;DF$1)</f>
        <v/>
      </c>
      <c r="DG96" s="30" t="str">
        <f t="shared" ref="DG96" si="1331">IF(AA96="","","|n"&amp;DG$2&amp;"+"&amp;AA96&amp;DG$1)</f>
        <v/>
      </c>
      <c r="DH96" s="30" t="str">
        <f t="shared" ref="DH96" si="1332">IF(AB96="","","|n"&amp;DH$2&amp;"+"&amp;AB96&amp;DH$1)</f>
        <v/>
      </c>
      <c r="DI96" s="30" t="str">
        <f t="shared" ref="DI96" si="1333">IF(AC96="","","|n"&amp;DI$2&amp;"+"&amp;AC96&amp;DI$1)</f>
        <v/>
      </c>
      <c r="DJ96" s="30" t="str">
        <f t="shared" ref="DJ96" si="1334">IF(AD96="","","|n"&amp;DJ$2&amp;"+"&amp;AD96&amp;DJ$1)</f>
        <v/>
      </c>
      <c r="DK96" s="30" t="str">
        <f t="shared" ref="DK96" si="1335">IF(AE96="","","|n"&amp;DK$2&amp;"+"&amp;AE96&amp;DK$1)</f>
        <v/>
      </c>
      <c r="DL96" s="30" t="str">
        <f t="shared" ref="DL96" si="1336">IF(AF96="","","|n"&amp;DL$2&amp;"+"&amp;AF96&amp;DL$1)</f>
        <v/>
      </c>
      <c r="DM96" s="30" t="str">
        <f t="shared" ref="DM96" si="1337">IF(AG96="","","|n"&amp;DM$2&amp;"+"&amp;AG96&amp;DM$1)</f>
        <v/>
      </c>
      <c r="DN96" s="30" t="str">
        <f t="shared" ref="DN96" si="1338">IF(AH96="","","|n"&amp;DN$2&amp;"+"&amp;AH96&amp;DN$1)</f>
        <v/>
      </c>
      <c r="DO96" s="30" t="str">
        <f t="shared" ref="DO96" si="1339">IF(AI96="","","|n"&amp;DO$2&amp;"+"&amp;AI96&amp;DO$1)</f>
        <v/>
      </c>
      <c r="DP96" s="30" t="str">
        <f t="shared" ref="DP96" si="1340">IF(AJ96="","","|n"&amp;DP$2&amp;"+"&amp;AJ96&amp;DP$1)</f>
        <v/>
      </c>
      <c r="DQ96" s="30" t="str">
        <f t="shared" ref="DQ96" si="1341">IF(AK96="","","|n"&amp;DQ$2&amp;"+"&amp;AK96&amp;DQ$1)</f>
        <v/>
      </c>
      <c r="DR96" s="30" t="str">
        <f t="shared" ref="DR96" si="1342">IF(AL96="","","|n"&amp;DR$2&amp;"+"&amp;AL96&amp;DR$1)</f>
        <v/>
      </c>
      <c r="DS96" s="30" t="str">
        <f t="shared" ref="DS96" si="1343">IF(AM96="","","|n"&amp;DS$2&amp;"+"&amp;AM96&amp;DS$1)</f>
        <v/>
      </c>
      <c r="DT96" s="30" t="str">
        <f t="shared" ref="DT96" si="1344">IF(AN96="","","|n"&amp;DT$2&amp;"+"&amp;AN96&amp;DT$1)</f>
        <v/>
      </c>
      <c r="DU96" s="30" t="str">
        <f t="shared" ref="DU96" si="1345">IF(AO96="","","|n"&amp;DU$2&amp;"+"&amp;AO96&amp;DU$1)</f>
        <v/>
      </c>
      <c r="DV96" s="30" t="str">
        <f t="shared" ref="DV96" si="1346">IF(AP96="","","|n"&amp;DV$2&amp;"+"&amp;AP96&amp;DV$1)</f>
        <v/>
      </c>
      <c r="DW96" s="30" t="str">
        <f t="shared" ref="DW96" si="1347">IF(AQ96="","","|n"&amp;DW$2&amp;"+"&amp;AQ96&amp;DW$1)</f>
        <v/>
      </c>
      <c r="DX96" s="30" t="str">
        <f t="shared" ref="DX96" si="1348">IF(AR96="","","|n"&amp;DX$2&amp;"+"&amp;AR96&amp;DX$1)</f>
        <v/>
      </c>
      <c r="DY96" s="30" t="str">
        <f t="shared" ref="DY96" si="1349">IF(AS96="","","|n"&amp;DY$2&amp;"+"&amp;AS96&amp;DY$1)</f>
        <v/>
      </c>
      <c r="DZ96" s="30" t="str">
        <f t="shared" ref="DZ96" si="1350">IF(AT96="","","|n"&amp;DZ$2&amp;"+"&amp;AT96&amp;DZ$1)</f>
        <v/>
      </c>
      <c r="EA96" s="30" t="str">
        <f t="shared" ref="EA96" si="1351">IF(AU96="","","|n"&amp;EA$2&amp;"+"&amp;AU96&amp;EA$1)</f>
        <v/>
      </c>
      <c r="EB96" s="30" t="str">
        <f t="shared" ref="EB96" si="1352">IF(AV96="","","|n"&amp;EB$2&amp;"+"&amp;AV96&amp;EB$1)</f>
        <v/>
      </c>
      <c r="EC96" s="30" t="str">
        <f t="shared" ref="EC96" si="1353">IF(AW96="","","|n"&amp;EC$2&amp;"+"&amp;AW96&amp;EC$1)</f>
        <v/>
      </c>
      <c r="ED96" s="30" t="str">
        <f t="shared" ref="ED96" si="1354">IF(AX96="","","|n"&amp;ED$2&amp;"+"&amp;AX96&amp;ED$1)</f>
        <v/>
      </c>
      <c r="EE96" s="30" t="str">
        <f t="shared" ref="EE96" si="1355">IF(AY96="","","|n"&amp;EE$2&amp;"+"&amp;AY96&amp;EE$1)</f>
        <v/>
      </c>
      <c r="EF96" s="30" t="str">
        <f t="shared" ref="EF96" si="1356">IF(AZ96="","","|n"&amp;EF$2&amp;"+"&amp;AZ96&amp;EF$1)</f>
        <v/>
      </c>
      <c r="EG96" s="30" t="str">
        <f t="shared" ref="EG96" si="1357">IF(BA96="","","|n"&amp;EG$2&amp;"+"&amp;BA96&amp;EG$1)</f>
        <v/>
      </c>
      <c r="EH96" s="30" t="str">
        <f t="shared" ref="EH96" si="1358">IF(BB96="","","|n"&amp;EH$2&amp;"+"&amp;BB96&amp;EH$1)</f>
        <v/>
      </c>
      <c r="EI96" s="30" t="str">
        <f t="shared" ref="EI96" si="1359">IF(BC96="","","|n"&amp;EI$2&amp;"+"&amp;BC96&amp;EI$1)</f>
        <v/>
      </c>
      <c r="EJ96" s="30" t="str">
        <f t="shared" ref="EJ96" si="1360">IF(BD96="","","|n"&amp;EJ$2&amp;"+"&amp;BD96&amp;EJ$1)</f>
        <v/>
      </c>
      <c r="EK96" s="30" t="str">
        <f t="shared" ref="EK96" si="1361">IF(BE96="","","|n"&amp;EK$2&amp;"+"&amp;BE96&amp;EK$1)</f>
        <v/>
      </c>
      <c r="EL96" s="30" t="str">
        <f t="shared" ref="EL96" si="1362">IF(BF96="","","|n"&amp;EL$2&amp;"+"&amp;BF96&amp;EL$1)</f>
        <v/>
      </c>
      <c r="EM96" s="30" t="str">
        <f t="shared" ref="EM96" si="1363">IF(BG96="","","|n"&amp;EM$2&amp;"+"&amp;BG96&amp;EM$1)</f>
        <v/>
      </c>
      <c r="EN96" s="30" t="str">
        <f t="shared" ref="EN96" si="1364">IF(BH96="","","|n"&amp;EN$2&amp;"+"&amp;BH96&amp;EN$1)</f>
        <v/>
      </c>
      <c r="EO96" s="30" t="str">
        <f t="shared" ref="EO96" si="1365">IF(BI96="","","|n"&amp;EO$2&amp;"+"&amp;BI96&amp;EO$1)</f>
        <v/>
      </c>
      <c r="EP96" s="30" t="str">
        <f t="shared" ref="EP96" si="1366">IF(BJ96="","","|n"&amp;EP$2&amp;"+"&amp;BJ96&amp;EP$1)</f>
        <v/>
      </c>
      <c r="EQ96" s="30" t="str">
        <f t="shared" ref="EQ96" si="1367">IF(BK96="","","|n"&amp;EQ$2&amp;"+"&amp;BK96&amp;EQ$1)</f>
        <v/>
      </c>
      <c r="ER96" s="30" t="str">
        <f t="shared" ref="ER96" si="1368">IF(BL96="","","|n"&amp;ER$2&amp;"+"&amp;BL96&amp;ER$1)</f>
        <v/>
      </c>
      <c r="ES96" s="30" t="str">
        <f t="shared" ref="ES96" si="1369">IF(BM96="","","|n"&amp;ES$2&amp;"+"&amp;BM96&amp;ES$1)</f>
        <v/>
      </c>
      <c r="ET96" s="30" t="str">
        <f t="shared" ref="ET96" si="1370">IF(BN96="","","|n"&amp;ET$2&amp;"+"&amp;BN96&amp;ET$1)</f>
        <v/>
      </c>
      <c r="EU96" s="30" t="str">
        <f t="shared" ref="EU96" si="1371">IF(BO96="","","|n"&amp;EU$2&amp;"+"&amp;BO96&amp;EU$1)</f>
        <v/>
      </c>
      <c r="EV96" s="30" t="str">
        <f t="shared" ref="EV96" si="1372">IF(BP96="","","|n"&amp;EV$2&amp;"+"&amp;BP96&amp;EV$1)</f>
        <v/>
      </c>
      <c r="EW96" s="30" t="str">
        <f t="shared" ref="EW96" si="1373">IF(BQ96="","","|n"&amp;EW$2&amp;"+"&amp;BQ96&amp;EW$1)</f>
        <v/>
      </c>
      <c r="EX96" s="30" t="str">
        <f t="shared" ref="EX96" si="1374">IF(BR96="","","|n"&amp;EX$2&amp;"+"&amp;BR96&amp;EX$1)</f>
        <v/>
      </c>
      <c r="EY96" s="30" t="str">
        <f t="shared" ref="EY96" si="1375">IF(BS96="","","|n"&amp;EY$2&amp;"+"&amp;BS96&amp;EY$1)</f>
        <v/>
      </c>
      <c r="EZ96" s="30" t="str">
        <f t="shared" ref="EZ96" si="1376">IF(BT96="","","|n"&amp;EZ$2&amp;"+"&amp;BT96&amp;EZ$1)</f>
        <v/>
      </c>
      <c r="FA96" s="30" t="str">
        <f t="shared" ref="FA96" si="1377">IF(BU96="","","|n"&amp;FA$2&amp;"+"&amp;BU96&amp;FA$1)</f>
        <v/>
      </c>
      <c r="FB96" s="30" t="str">
        <f t="shared" ref="FB96" si="1378">IF(BV96="","","|n"&amp;FB$2&amp;"+"&amp;BV96&amp;FB$1)</f>
        <v/>
      </c>
      <c r="FC96" s="30" t="str">
        <f t="shared" ref="FC96" si="1379">IF(BW96="","","|n"&amp;FC$2&amp;"+"&amp;BW96&amp;FC$1)</f>
        <v/>
      </c>
      <c r="FD96" s="30" t="str">
        <f t="shared" ref="FD96" si="1380">IF(BX96="","","|n"&amp;FD$2&amp;"+"&amp;BX96&amp;FD$1)</f>
        <v/>
      </c>
      <c r="FE96" s="30" t="str">
        <f t="shared" ref="FE96" si="1381">IF(BY96="","","|n"&amp;FE$2&amp;"+"&amp;BY96&amp;FE$1)</f>
        <v/>
      </c>
      <c r="FF96" s="30" t="str">
        <f t="shared" ref="FF96" si="1382">IF(BZ96="","","|n"&amp;FF$2&amp;"+"&amp;BZ96&amp;FF$1)</f>
        <v/>
      </c>
      <c r="FG96" s="30" t="str">
        <f t="shared" ref="FG96" si="1383">IF(CA96="","","|n"&amp;FG$2&amp;"+"&amp;CA96&amp;FG$1)</f>
        <v/>
      </c>
      <c r="FH96" s="30" t="str">
        <f t="shared" ref="FH96" si="1384">IF(CB96="","","|n"&amp;FH$2&amp;"+"&amp;CB96&amp;FH$1)</f>
        <v/>
      </c>
      <c r="FI96" s="30" t="str">
        <f t="shared" ref="FI96" si="1385">IF(CC96="","","|n"&amp;FI$2&amp;"+"&amp;CC96&amp;FI$1)</f>
        <v/>
      </c>
      <c r="FJ96" s="30" t="str">
        <f t="shared" ref="FJ96" si="1386">IF(CD96="","","|n"&amp;FJ$2&amp;"+"&amp;CD96&amp;FJ$1)</f>
        <v/>
      </c>
      <c r="FK96" s="30" t="str">
        <f t="shared" ref="FK96" si="1387">IF(CE96="","","|n"&amp;FK$2&amp;"+"&amp;CE96&amp;FK$1)</f>
        <v/>
      </c>
      <c r="FL96" s="30" t="str">
        <f t="shared" ref="FL96" si="1388">IF(CF96="","","|n"&amp;FL$2&amp;"+"&amp;CF96&amp;FL$1)</f>
        <v/>
      </c>
      <c r="FM96" s="30" t="str">
        <f t="shared" ref="FM96" si="1389">IF(CG96="","","|n"&amp;FM$2&amp;"+"&amp;CG96&amp;FM$1)</f>
        <v/>
      </c>
      <c r="FN96" s="30" t="str">
        <f t="shared" ref="FN96" si="1390">IF(CH96="","","|n"&amp;FN$2&amp;"+"&amp;CH96&amp;FN$1)</f>
        <v/>
      </c>
      <c r="FO96" s="30" t="str">
        <f t="shared" ref="FO96" si="1391">IF(CI96="","","|n"&amp;FO$2&amp;"+"&amp;CI96&amp;FO$1)</f>
        <v/>
      </c>
      <c r="FP96" s="30" t="str">
        <f t="shared" ref="FP96" si="1392">IF(CJ96="","","|n"&amp;FP$2&amp;"+"&amp;CJ96&amp;FP$1)</f>
        <v/>
      </c>
      <c r="FQ96" s="30" t="str">
        <f t="shared" ref="FQ96" si="1393">IF(CK96="","","|n"&amp;FQ$2&amp;"+"&amp;CK96&amp;FQ$1)</f>
        <v/>
      </c>
      <c r="FR96" s="30" t="str">
        <f t="shared" ref="FR96" si="1394">IF(CL96="","","|n"&amp;FR$2&amp;"+"&amp;CL96&amp;FR$1)</f>
        <v/>
      </c>
      <c r="FS96" s="30" t="str">
        <f t="shared" ref="FS96" si="1395">IF(CM96="","","|n"&amp;FS$2&amp;"+"&amp;CM96&amp;FS$1)</f>
        <v/>
      </c>
    </row>
    <row r="97" spans="1:175" ht="16.5">
      <c r="A97" s="117"/>
      <c r="B97" s="111" t="s">
        <v>865</v>
      </c>
      <c r="C97" s="117" t="s">
        <v>866</v>
      </c>
      <c r="R97" s="25">
        <v>-7872</v>
      </c>
      <c r="S97" s="25">
        <v>-2816</v>
      </c>
      <c r="T97" s="117" t="s">
        <v>866</v>
      </c>
      <c r="U97" s="37" t="s">
        <v>822</v>
      </c>
      <c r="CN97" s="7" t="str">
        <f t="shared" ref="CN97:CN110" si="1396">"InitUnitState('"&amp;B97&amp;"',"&amp;V97&amp;","&amp;W97&amp;","&amp;X97&amp;","&amp;Y97&amp;","&amp;Z97&amp;","&amp;AA97&amp;","&amp;AB97&amp;","&amp;AC97&amp;","&amp;AD97&amp;","&amp;AE97&amp;")"</f>
        <v>InitUnitState('IT02',,,,,,,,,,)</v>
      </c>
      <c r="CO97" s="7" t="str">
        <f t="shared" ref="CO97:CO110" si="1397">"InitUnitNormal('"&amp;B97&amp;"',"&amp;AF97&amp;","&amp;AG97&amp;","&amp;AH97&amp;","&amp;AI97&amp;","&amp;AJ97&amp;","&amp;AK97&amp;","&amp;AL97&amp;","&amp;AM97&amp;","&amp;AN97&amp;","&amp;AO97&amp;")"</f>
        <v>InitUnitNormal('IT02',,,,,,,,,,)</v>
      </c>
      <c r="CP97" s="7" t="str">
        <f t="shared" ref="CP97:CP110" si="1398">"InitUnitMagic('"&amp;B97&amp;"',"&amp;AP97&amp;","&amp;AQ97&amp;","&amp;AR97&amp;","&amp;AS97&amp;","&amp;AT97&amp;","&amp;AU97&amp;","&amp;AV97&amp;","&amp;AW97&amp;","&amp;BI97&amp;","&amp;BJ97&amp;")"</f>
        <v>InitUnitMagic('IT02',,,,,,,,,,)</v>
      </c>
      <c r="CQ97" s="7" t="str">
        <f t="shared" ref="CQ97:CQ110" si="1399">"InitUnitAdd('"&amp;B97&amp;"',"&amp;BK97&amp;","&amp;BL97&amp;","&amp;BM97&amp;","&amp;BN97&amp;","&amp;BO97&amp;","&amp;BP97&amp;","&amp;BQ97&amp;","&amp;BR97&amp;","&amp;BS97&amp;","&amp;BT97&amp;")"</f>
        <v>InitUnitAdd('IT02',,,,,,,,,,)</v>
      </c>
      <c r="CR97" s="7" t="str">
        <f t="shared" ref="CR97:CR104" si="1400">"InitEquipData('"&amp;B97&amp;"',"&amp;D97&amp;","&amp;CR$1&amp;A97&amp;CR$1&amp;","&amp;E97&amp;","&amp;I97&amp;","&amp;F97&amp;","&amp;G97&amp;",'"&amp;J97&amp;"','"&amp;K97&amp;"','"&amp;L97&amp;"','"&amp;M97&amp;"','"&amp;N97&amp;"','"&amp;O97&amp;"',"&amp;CR$1&amp;U98&amp;CR$1&amp;")"</f>
        <v>InitEquipData('IT02',,"",,,,,'','','','','','',"ReplaceableTextures\\CommandButtons\\BTNTome.blp")</v>
      </c>
      <c r="CU97" s="45" t="str">
        <f t="shared" ref="CU97:CU110" si="1401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110" si="1402">T97</f>
        <v>境界挑战2</v>
      </c>
      <c r="CW97" s="24"/>
      <c r="CX97" s="24"/>
      <c r="CY97" s="24"/>
      <c r="CZ97" s="24"/>
      <c r="DA97" s="24"/>
      <c r="DB97" s="30" t="str">
        <f t="shared" ref="DB97:DB110" si="1403">IF(V97="","","|n"&amp;DB$2&amp;"+"&amp;V97&amp;DB$1)</f>
        <v/>
      </c>
      <c r="DC97" s="30" t="str">
        <f t="shared" ref="DC97:DC110" si="1404">IF(W97="","","|n"&amp;DC$2&amp;"+"&amp;W97&amp;DC$1)</f>
        <v/>
      </c>
      <c r="DD97" s="30" t="str">
        <f t="shared" ref="DD97:DD110" si="1405">IF(X97="","","|n"&amp;DD$2&amp;"+"&amp;X97&amp;DD$1)</f>
        <v/>
      </c>
      <c r="DE97" s="30" t="str">
        <f t="shared" ref="DE97:DE110" si="1406">IF(Y97="","","|n"&amp;DE$2&amp;"+"&amp;Y97&amp;DE$1)</f>
        <v/>
      </c>
      <c r="DF97" s="30" t="str">
        <f t="shared" ref="DF97:DF110" si="1407">IF(Z97="","","|n"&amp;DF$2&amp;"+"&amp;Z97&amp;DF$1)</f>
        <v/>
      </c>
      <c r="DG97" s="30" t="str">
        <f t="shared" ref="DG97:DG110" si="1408">IF(AA97="","","|n"&amp;DG$2&amp;"+"&amp;AA97&amp;DG$1)</f>
        <v/>
      </c>
      <c r="DH97" s="30" t="str">
        <f t="shared" ref="DH97:DH110" si="1409">IF(AB97="","","|n"&amp;DH$2&amp;"+"&amp;AB97&amp;DH$1)</f>
        <v/>
      </c>
      <c r="DI97" s="30" t="str">
        <f t="shared" ref="DI97:DI110" si="1410">IF(AC97="","","|n"&amp;DI$2&amp;"+"&amp;AC97&amp;DI$1)</f>
        <v/>
      </c>
      <c r="DJ97" s="30" t="str">
        <f t="shared" ref="DJ97:DJ110" si="1411">IF(AD97="","","|n"&amp;DJ$2&amp;"+"&amp;AD97&amp;DJ$1)</f>
        <v/>
      </c>
      <c r="DK97" s="30" t="str">
        <f t="shared" ref="DK97:DK110" si="1412">IF(AE97="","","|n"&amp;DK$2&amp;"+"&amp;AE97&amp;DK$1)</f>
        <v/>
      </c>
      <c r="DL97" s="30" t="str">
        <f t="shared" ref="DL97:DL110" si="1413">IF(AF97="","","|n"&amp;DL$2&amp;"+"&amp;AF97&amp;DL$1)</f>
        <v/>
      </c>
      <c r="DM97" s="30" t="str">
        <f t="shared" ref="DM97:DM110" si="1414">IF(AG97="","","|n"&amp;DM$2&amp;"+"&amp;AG97&amp;DM$1)</f>
        <v/>
      </c>
      <c r="DN97" s="30" t="str">
        <f t="shared" ref="DN97:DN110" si="1415">IF(AH97="","","|n"&amp;DN$2&amp;"+"&amp;AH97&amp;DN$1)</f>
        <v/>
      </c>
      <c r="DO97" s="30" t="str">
        <f t="shared" ref="DO97:DO110" si="1416">IF(AI97="","","|n"&amp;DO$2&amp;"+"&amp;AI97&amp;DO$1)</f>
        <v/>
      </c>
      <c r="DP97" s="30" t="str">
        <f t="shared" ref="DP97:DP110" si="1417">IF(AJ97="","","|n"&amp;DP$2&amp;"+"&amp;AJ97&amp;DP$1)</f>
        <v/>
      </c>
      <c r="DQ97" s="30" t="str">
        <f t="shared" ref="DQ97:DQ110" si="1418">IF(AK97="","","|n"&amp;DQ$2&amp;"+"&amp;AK97&amp;DQ$1)</f>
        <v/>
      </c>
      <c r="DR97" s="30" t="str">
        <f t="shared" ref="DR97:DR110" si="1419">IF(AL97="","","|n"&amp;DR$2&amp;"+"&amp;AL97&amp;DR$1)</f>
        <v/>
      </c>
      <c r="DS97" s="30" t="str">
        <f t="shared" ref="DS97:DS110" si="1420">IF(AM97="","","|n"&amp;DS$2&amp;"+"&amp;AM97&amp;DS$1)</f>
        <v/>
      </c>
      <c r="DT97" s="30" t="str">
        <f t="shared" ref="DT97:DT110" si="1421">IF(AN97="","","|n"&amp;DT$2&amp;"+"&amp;AN97&amp;DT$1)</f>
        <v/>
      </c>
      <c r="DU97" s="30" t="str">
        <f t="shared" ref="DU97:DU110" si="1422">IF(AO97="","","|n"&amp;DU$2&amp;"+"&amp;AO97&amp;DU$1)</f>
        <v/>
      </c>
      <c r="DV97" s="30" t="str">
        <f t="shared" ref="DV97:DV110" si="1423">IF(AP97="","","|n"&amp;DV$2&amp;"+"&amp;AP97&amp;DV$1)</f>
        <v/>
      </c>
      <c r="DW97" s="30" t="str">
        <f t="shared" ref="DW97:DW110" si="1424">IF(AQ97="","","|n"&amp;DW$2&amp;"+"&amp;AQ97&amp;DW$1)</f>
        <v/>
      </c>
      <c r="DX97" s="30" t="str">
        <f t="shared" ref="DX97:DX110" si="1425">IF(AR97="","","|n"&amp;DX$2&amp;"+"&amp;AR97&amp;DX$1)</f>
        <v/>
      </c>
      <c r="DY97" s="30" t="str">
        <f t="shared" ref="DY97:DY110" si="1426">IF(AS97="","","|n"&amp;DY$2&amp;"+"&amp;AS97&amp;DY$1)</f>
        <v/>
      </c>
      <c r="DZ97" s="30" t="str">
        <f t="shared" ref="DZ97:DZ110" si="1427">IF(AT97="","","|n"&amp;DZ$2&amp;"+"&amp;AT97&amp;DZ$1)</f>
        <v/>
      </c>
      <c r="EA97" s="30" t="str">
        <f t="shared" ref="EA97:EA110" si="1428">IF(AU97="","","|n"&amp;EA$2&amp;"+"&amp;AU97&amp;EA$1)</f>
        <v/>
      </c>
      <c r="EB97" s="30" t="str">
        <f t="shared" ref="EB97:EB110" si="1429">IF(AV97="","","|n"&amp;EB$2&amp;"+"&amp;AV97&amp;EB$1)</f>
        <v/>
      </c>
      <c r="EC97" s="30" t="str">
        <f t="shared" ref="EC97:EC110" si="1430">IF(AW97="","","|n"&amp;EC$2&amp;"+"&amp;AW97&amp;EC$1)</f>
        <v/>
      </c>
      <c r="ED97" s="30" t="str">
        <f t="shared" ref="ED97:ED110" si="1431">IF(AX97="","","|n"&amp;ED$2&amp;"+"&amp;AX97&amp;ED$1)</f>
        <v/>
      </c>
      <c r="EE97" s="30" t="str">
        <f t="shared" ref="EE97:EE110" si="1432">IF(AY97="","","|n"&amp;EE$2&amp;"+"&amp;AY97&amp;EE$1)</f>
        <v/>
      </c>
      <c r="EF97" s="30" t="str">
        <f t="shared" ref="EF97:EF110" si="1433">IF(AZ97="","","|n"&amp;EF$2&amp;"+"&amp;AZ97&amp;EF$1)</f>
        <v/>
      </c>
      <c r="EG97" s="30" t="str">
        <f t="shared" ref="EG97:EG110" si="1434">IF(BA97="","","|n"&amp;EG$2&amp;"+"&amp;BA97&amp;EG$1)</f>
        <v/>
      </c>
      <c r="EH97" s="30" t="str">
        <f t="shared" ref="EH97:EH110" si="1435">IF(BB97="","","|n"&amp;EH$2&amp;"+"&amp;BB97&amp;EH$1)</f>
        <v/>
      </c>
      <c r="EI97" s="30" t="str">
        <f t="shared" ref="EI97:EI110" si="1436">IF(BC97="","","|n"&amp;EI$2&amp;"+"&amp;BC97&amp;EI$1)</f>
        <v/>
      </c>
      <c r="EJ97" s="30" t="str">
        <f t="shared" ref="EJ97:EJ110" si="1437">IF(BD97="","","|n"&amp;EJ$2&amp;"+"&amp;BD97&amp;EJ$1)</f>
        <v/>
      </c>
      <c r="EK97" s="30" t="str">
        <f t="shared" ref="EK97:EK110" si="1438">IF(BE97="","","|n"&amp;EK$2&amp;"+"&amp;BE97&amp;EK$1)</f>
        <v/>
      </c>
      <c r="EL97" s="30" t="str">
        <f t="shared" ref="EL97:EL110" si="1439">IF(BF97="","","|n"&amp;EL$2&amp;"+"&amp;BF97&amp;EL$1)</f>
        <v/>
      </c>
      <c r="EM97" s="30" t="str">
        <f t="shared" ref="EM97:EM110" si="1440">IF(BG97="","","|n"&amp;EM$2&amp;"+"&amp;BG97&amp;EM$1)</f>
        <v/>
      </c>
      <c r="EN97" s="30" t="str">
        <f t="shared" ref="EN97:EN110" si="1441">IF(BH97="","","|n"&amp;EN$2&amp;"+"&amp;BH97&amp;EN$1)</f>
        <v/>
      </c>
      <c r="EO97" s="30" t="str">
        <f t="shared" ref="EO97:EO110" si="1442">IF(BI97="","","|n"&amp;EO$2&amp;"+"&amp;BI97&amp;EO$1)</f>
        <v/>
      </c>
      <c r="EP97" s="30" t="str">
        <f t="shared" ref="EP97:EP110" si="1443">IF(BJ97="","","|n"&amp;EP$2&amp;"+"&amp;BJ97&amp;EP$1)</f>
        <v/>
      </c>
      <c r="EQ97" s="30" t="str">
        <f t="shared" ref="EQ97:EQ110" si="1444">IF(BK97="","","|n"&amp;EQ$2&amp;"+"&amp;BK97&amp;EQ$1)</f>
        <v/>
      </c>
      <c r="ER97" s="30" t="str">
        <f t="shared" ref="ER97:ER110" si="1445">IF(BL97="","","|n"&amp;ER$2&amp;"+"&amp;BL97&amp;ER$1)</f>
        <v/>
      </c>
      <c r="ES97" s="30" t="str">
        <f t="shared" ref="ES97:ES110" si="1446">IF(BM97="","","|n"&amp;ES$2&amp;"+"&amp;BM97&amp;ES$1)</f>
        <v/>
      </c>
      <c r="ET97" s="30" t="str">
        <f t="shared" ref="ET97:ET110" si="1447">IF(BN97="","","|n"&amp;ET$2&amp;"+"&amp;BN97&amp;ET$1)</f>
        <v/>
      </c>
      <c r="EU97" s="30" t="str">
        <f t="shared" ref="EU97:EU110" si="1448">IF(BO97="","","|n"&amp;EU$2&amp;"+"&amp;BO97&amp;EU$1)</f>
        <v/>
      </c>
      <c r="EV97" s="30" t="str">
        <f t="shared" ref="EV97:EV110" si="1449">IF(BP97="","","|n"&amp;EV$2&amp;"+"&amp;BP97&amp;EV$1)</f>
        <v/>
      </c>
      <c r="EW97" s="30" t="str">
        <f t="shared" ref="EW97:EW110" si="1450">IF(BQ97="","","|n"&amp;EW$2&amp;"+"&amp;BQ97&amp;EW$1)</f>
        <v/>
      </c>
      <c r="EX97" s="30" t="str">
        <f t="shared" ref="EX97:EX110" si="1451">IF(BR97="","","|n"&amp;EX$2&amp;"+"&amp;BR97&amp;EX$1)</f>
        <v/>
      </c>
      <c r="EY97" s="30" t="str">
        <f t="shared" ref="EY97:EY110" si="1452">IF(BS97="","","|n"&amp;EY$2&amp;"+"&amp;BS97&amp;EY$1)</f>
        <v/>
      </c>
      <c r="EZ97" s="30" t="str">
        <f t="shared" ref="EZ97:EZ110" si="1453">IF(BT97="","","|n"&amp;EZ$2&amp;"+"&amp;BT97&amp;EZ$1)</f>
        <v/>
      </c>
      <c r="FA97" s="30" t="str">
        <f t="shared" ref="FA97:FA110" si="1454">IF(BU97="","","|n"&amp;FA$2&amp;"+"&amp;BU97&amp;FA$1)</f>
        <v/>
      </c>
      <c r="FB97" s="30" t="str">
        <f t="shared" ref="FB97:FB110" si="1455">IF(BV97="","","|n"&amp;FB$2&amp;"+"&amp;BV97&amp;FB$1)</f>
        <v/>
      </c>
      <c r="FC97" s="30" t="str">
        <f t="shared" ref="FC97:FC110" si="1456">IF(BW97="","","|n"&amp;FC$2&amp;"+"&amp;BW97&amp;FC$1)</f>
        <v/>
      </c>
      <c r="FD97" s="30" t="str">
        <f t="shared" ref="FD97:FD110" si="1457">IF(BX97="","","|n"&amp;FD$2&amp;"+"&amp;BX97&amp;FD$1)</f>
        <v/>
      </c>
      <c r="FE97" s="30" t="str">
        <f t="shared" ref="FE97:FE110" si="1458">IF(BY97="","","|n"&amp;FE$2&amp;"+"&amp;BY97&amp;FE$1)</f>
        <v/>
      </c>
      <c r="FF97" s="30" t="str">
        <f t="shared" ref="FF97:FF110" si="1459">IF(BZ97="","","|n"&amp;FF$2&amp;"+"&amp;BZ97&amp;FF$1)</f>
        <v/>
      </c>
      <c r="FG97" s="30" t="str">
        <f t="shared" ref="FG97:FG110" si="1460">IF(CA97="","","|n"&amp;FG$2&amp;"+"&amp;CA97&amp;FG$1)</f>
        <v/>
      </c>
      <c r="FH97" s="30" t="str">
        <f t="shared" ref="FH97:FH110" si="1461">IF(CB97="","","|n"&amp;FH$2&amp;"+"&amp;CB97&amp;FH$1)</f>
        <v/>
      </c>
      <c r="FI97" s="30" t="str">
        <f t="shared" ref="FI97:FI110" si="1462">IF(CC97="","","|n"&amp;FI$2&amp;"+"&amp;CC97&amp;FI$1)</f>
        <v/>
      </c>
      <c r="FJ97" s="30" t="str">
        <f t="shared" ref="FJ97:FJ110" si="1463">IF(CD97="","","|n"&amp;FJ$2&amp;"+"&amp;CD97&amp;FJ$1)</f>
        <v/>
      </c>
      <c r="FK97" s="30" t="str">
        <f t="shared" ref="FK97:FK110" si="1464">IF(CE97="","","|n"&amp;FK$2&amp;"+"&amp;CE97&amp;FK$1)</f>
        <v/>
      </c>
      <c r="FL97" s="30" t="str">
        <f t="shared" ref="FL97:FL110" si="1465">IF(CF97="","","|n"&amp;FL$2&amp;"+"&amp;CF97&amp;FL$1)</f>
        <v/>
      </c>
      <c r="FM97" s="30" t="str">
        <f t="shared" ref="FM97:FM110" si="1466">IF(CG97="","","|n"&amp;FM$2&amp;"+"&amp;CG97&amp;FM$1)</f>
        <v/>
      </c>
      <c r="FN97" s="30" t="str">
        <f t="shared" ref="FN97:FN110" si="1467">IF(CH97="","","|n"&amp;FN$2&amp;"+"&amp;CH97&amp;FN$1)</f>
        <v/>
      </c>
      <c r="FO97" s="30" t="str">
        <f t="shared" ref="FO97:FO110" si="1468">IF(CI97="","","|n"&amp;FO$2&amp;"+"&amp;CI97&amp;FO$1)</f>
        <v/>
      </c>
      <c r="FP97" s="30" t="str">
        <f t="shared" ref="FP97:FP110" si="1469">IF(CJ97="","","|n"&amp;FP$2&amp;"+"&amp;CJ97&amp;FP$1)</f>
        <v/>
      </c>
      <c r="FQ97" s="30" t="str">
        <f t="shared" ref="FQ97:FQ110" si="1470">IF(CK97="","","|n"&amp;FQ$2&amp;"+"&amp;CK97&amp;FQ$1)</f>
        <v/>
      </c>
      <c r="FR97" s="30" t="str">
        <f t="shared" ref="FR97:FR110" si="1471">IF(CL97="","","|n"&amp;FR$2&amp;"+"&amp;CL97&amp;FR$1)</f>
        <v/>
      </c>
      <c r="FS97" s="30" t="str">
        <f t="shared" ref="FS97:FS110" si="1472">IF(CM97="","","|n"&amp;FS$2&amp;"+"&amp;CM97&amp;FS$1)</f>
        <v/>
      </c>
    </row>
    <row r="98" spans="1:175" ht="16.5">
      <c r="A98" s="117"/>
      <c r="B98" s="111" t="s">
        <v>867</v>
      </c>
      <c r="C98" s="117" t="s">
        <v>868</v>
      </c>
      <c r="R98" s="25">
        <v>-8048</v>
      </c>
      <c r="S98" s="25">
        <v>-1563</v>
      </c>
      <c r="T98" s="117" t="s">
        <v>868</v>
      </c>
      <c r="U98" s="37" t="s">
        <v>822</v>
      </c>
      <c r="CN98" s="7" t="str">
        <f t="shared" si="1396"/>
        <v>InitUnitState('IT03',,,,,,,,,,)</v>
      </c>
      <c r="CO98" s="7" t="str">
        <f t="shared" si="1397"/>
        <v>InitUnitNormal('IT03',,,,,,,,,,)</v>
      </c>
      <c r="CP98" s="7" t="str">
        <f t="shared" si="1398"/>
        <v>InitUnitMagic('IT03',,,,,,,,,,)</v>
      </c>
      <c r="CQ98" s="7" t="str">
        <f t="shared" si="1399"/>
        <v>InitUnitAdd('IT03',,,,,,,,,,)</v>
      </c>
      <c r="CR98" s="7" t="str">
        <f t="shared" si="1400"/>
        <v>InitEquipData('IT03',,"",,,,,'','','','','','',"ReplaceableTextures\\CommandButtons\\BTNTome.blp")</v>
      </c>
      <c r="CU98" s="45" t="str">
        <f t="shared" si="1401"/>
        <v>|n</v>
      </c>
      <c r="CV98" s="29" t="str">
        <f t="shared" si="1402"/>
        <v>境界挑战3</v>
      </c>
      <c r="CW98" s="24"/>
      <c r="CX98" s="24"/>
      <c r="CY98" s="24"/>
      <c r="CZ98" s="24"/>
      <c r="DA98" s="24"/>
      <c r="DB98" s="30" t="str">
        <f t="shared" si="1403"/>
        <v/>
      </c>
      <c r="DC98" s="30" t="str">
        <f t="shared" si="1404"/>
        <v/>
      </c>
      <c r="DD98" s="30" t="str">
        <f t="shared" si="1405"/>
        <v/>
      </c>
      <c r="DE98" s="30" t="str">
        <f t="shared" si="1406"/>
        <v/>
      </c>
      <c r="DF98" s="30" t="str">
        <f t="shared" si="1407"/>
        <v/>
      </c>
      <c r="DG98" s="30" t="str">
        <f t="shared" si="1408"/>
        <v/>
      </c>
      <c r="DH98" s="30" t="str">
        <f t="shared" si="1409"/>
        <v/>
      </c>
      <c r="DI98" s="30" t="str">
        <f t="shared" si="1410"/>
        <v/>
      </c>
      <c r="DJ98" s="30" t="str">
        <f t="shared" si="1411"/>
        <v/>
      </c>
      <c r="DK98" s="30" t="str">
        <f t="shared" si="1412"/>
        <v/>
      </c>
      <c r="DL98" s="30" t="str">
        <f t="shared" si="1413"/>
        <v/>
      </c>
      <c r="DM98" s="30" t="str">
        <f t="shared" si="1414"/>
        <v/>
      </c>
      <c r="DN98" s="30" t="str">
        <f t="shared" si="1415"/>
        <v/>
      </c>
      <c r="DO98" s="30" t="str">
        <f t="shared" si="1416"/>
        <v/>
      </c>
      <c r="DP98" s="30" t="str">
        <f t="shared" si="1417"/>
        <v/>
      </c>
      <c r="DQ98" s="30" t="str">
        <f t="shared" si="1418"/>
        <v/>
      </c>
      <c r="DR98" s="30" t="str">
        <f t="shared" si="1419"/>
        <v/>
      </c>
      <c r="DS98" s="30" t="str">
        <f t="shared" si="1420"/>
        <v/>
      </c>
      <c r="DT98" s="30" t="str">
        <f t="shared" si="1421"/>
        <v/>
      </c>
      <c r="DU98" s="30" t="str">
        <f t="shared" si="1422"/>
        <v/>
      </c>
      <c r="DV98" s="30" t="str">
        <f t="shared" si="1423"/>
        <v/>
      </c>
      <c r="DW98" s="30" t="str">
        <f t="shared" si="1424"/>
        <v/>
      </c>
      <c r="DX98" s="30" t="str">
        <f t="shared" si="1425"/>
        <v/>
      </c>
      <c r="DY98" s="30" t="str">
        <f t="shared" si="1426"/>
        <v/>
      </c>
      <c r="DZ98" s="30" t="str">
        <f t="shared" si="1427"/>
        <v/>
      </c>
      <c r="EA98" s="30" t="str">
        <f t="shared" si="1428"/>
        <v/>
      </c>
      <c r="EB98" s="30" t="str">
        <f t="shared" si="1429"/>
        <v/>
      </c>
      <c r="EC98" s="30" t="str">
        <f t="shared" si="1430"/>
        <v/>
      </c>
      <c r="ED98" s="30" t="str">
        <f t="shared" si="1431"/>
        <v/>
      </c>
      <c r="EE98" s="30" t="str">
        <f t="shared" si="1432"/>
        <v/>
      </c>
      <c r="EF98" s="30" t="str">
        <f t="shared" si="1433"/>
        <v/>
      </c>
      <c r="EG98" s="30" t="str">
        <f t="shared" si="1434"/>
        <v/>
      </c>
      <c r="EH98" s="30" t="str">
        <f t="shared" si="1435"/>
        <v/>
      </c>
      <c r="EI98" s="30" t="str">
        <f t="shared" si="1436"/>
        <v/>
      </c>
      <c r="EJ98" s="30" t="str">
        <f t="shared" si="1437"/>
        <v/>
      </c>
      <c r="EK98" s="30" t="str">
        <f t="shared" si="1438"/>
        <v/>
      </c>
      <c r="EL98" s="30" t="str">
        <f t="shared" si="1439"/>
        <v/>
      </c>
      <c r="EM98" s="30" t="str">
        <f t="shared" si="1440"/>
        <v/>
      </c>
      <c r="EN98" s="30" t="str">
        <f t="shared" si="1441"/>
        <v/>
      </c>
      <c r="EO98" s="30" t="str">
        <f t="shared" si="1442"/>
        <v/>
      </c>
      <c r="EP98" s="30" t="str">
        <f t="shared" si="1443"/>
        <v/>
      </c>
      <c r="EQ98" s="30" t="str">
        <f t="shared" si="1444"/>
        <v/>
      </c>
      <c r="ER98" s="30" t="str">
        <f t="shared" si="1445"/>
        <v/>
      </c>
      <c r="ES98" s="30" t="str">
        <f t="shared" si="1446"/>
        <v/>
      </c>
      <c r="ET98" s="30" t="str">
        <f t="shared" si="1447"/>
        <v/>
      </c>
      <c r="EU98" s="30" t="str">
        <f t="shared" si="1448"/>
        <v/>
      </c>
      <c r="EV98" s="30" t="str">
        <f t="shared" si="1449"/>
        <v/>
      </c>
      <c r="EW98" s="30" t="str">
        <f t="shared" si="1450"/>
        <v/>
      </c>
      <c r="EX98" s="30" t="str">
        <f t="shared" si="1451"/>
        <v/>
      </c>
      <c r="EY98" s="30" t="str">
        <f t="shared" si="1452"/>
        <v/>
      </c>
      <c r="EZ98" s="30" t="str">
        <f t="shared" si="1453"/>
        <v/>
      </c>
      <c r="FA98" s="30" t="str">
        <f t="shared" si="1454"/>
        <v/>
      </c>
      <c r="FB98" s="30" t="str">
        <f t="shared" si="1455"/>
        <v/>
      </c>
      <c r="FC98" s="30" t="str">
        <f t="shared" si="1456"/>
        <v/>
      </c>
      <c r="FD98" s="30" t="str">
        <f t="shared" si="1457"/>
        <v/>
      </c>
      <c r="FE98" s="30" t="str">
        <f t="shared" si="1458"/>
        <v/>
      </c>
      <c r="FF98" s="30" t="str">
        <f t="shared" si="1459"/>
        <v/>
      </c>
      <c r="FG98" s="30" t="str">
        <f t="shared" si="1460"/>
        <v/>
      </c>
      <c r="FH98" s="30" t="str">
        <f t="shared" si="1461"/>
        <v/>
      </c>
      <c r="FI98" s="30" t="str">
        <f t="shared" si="1462"/>
        <v/>
      </c>
      <c r="FJ98" s="30" t="str">
        <f t="shared" si="1463"/>
        <v/>
      </c>
      <c r="FK98" s="30" t="str">
        <f t="shared" si="1464"/>
        <v/>
      </c>
      <c r="FL98" s="30" t="str">
        <f t="shared" si="1465"/>
        <v/>
      </c>
      <c r="FM98" s="30" t="str">
        <f t="shared" si="1466"/>
        <v/>
      </c>
      <c r="FN98" s="30" t="str">
        <f t="shared" si="1467"/>
        <v/>
      </c>
      <c r="FO98" s="30" t="str">
        <f t="shared" si="1468"/>
        <v/>
      </c>
      <c r="FP98" s="30" t="str">
        <f t="shared" si="1469"/>
        <v/>
      </c>
      <c r="FQ98" s="30" t="str">
        <f t="shared" si="1470"/>
        <v/>
      </c>
      <c r="FR98" s="30" t="str">
        <f t="shared" si="1471"/>
        <v/>
      </c>
      <c r="FS98" s="30" t="str">
        <f t="shared" si="1472"/>
        <v/>
      </c>
    </row>
    <row r="99" spans="1:175" ht="16.5">
      <c r="A99" s="117"/>
      <c r="B99" s="111" t="s">
        <v>869</v>
      </c>
      <c r="C99" s="117" t="s">
        <v>870</v>
      </c>
      <c r="R99" s="25">
        <v>-7794</v>
      </c>
      <c r="S99" s="25">
        <v>195</v>
      </c>
      <c r="T99" s="117" t="s">
        <v>870</v>
      </c>
      <c r="U99" s="37" t="s">
        <v>822</v>
      </c>
      <c r="CN99" s="7" t="str">
        <f t="shared" si="1396"/>
        <v>InitUnitState('IT04',,,,,,,,,,)</v>
      </c>
      <c r="CO99" s="7" t="str">
        <f t="shared" si="1397"/>
        <v>InitUnitNormal('IT04',,,,,,,,,,)</v>
      </c>
      <c r="CP99" s="7" t="str">
        <f t="shared" si="1398"/>
        <v>InitUnitMagic('IT04',,,,,,,,,,)</v>
      </c>
      <c r="CQ99" s="7" t="str">
        <f t="shared" si="1399"/>
        <v>InitUnitAdd('IT04',,,,,,,,,,)</v>
      </c>
      <c r="CR99" s="7" t="str">
        <f t="shared" si="1400"/>
        <v>InitEquipData('IT04',,"",,,,,'','','','','','',"ReplaceableTextures\\CommandButtons\\BTNTome.blp")</v>
      </c>
      <c r="CU99" s="45" t="str">
        <f t="shared" si="1401"/>
        <v>|n</v>
      </c>
      <c r="CV99" s="29" t="str">
        <f t="shared" si="1402"/>
        <v>境界挑战4</v>
      </c>
      <c r="CW99" s="24"/>
      <c r="CX99" s="24"/>
      <c r="CY99" s="24"/>
      <c r="CZ99" s="24"/>
      <c r="DA99" s="24"/>
      <c r="DB99" s="30" t="str">
        <f t="shared" si="1403"/>
        <v/>
      </c>
      <c r="DC99" s="30" t="str">
        <f t="shared" si="1404"/>
        <v/>
      </c>
      <c r="DD99" s="30" t="str">
        <f t="shared" si="1405"/>
        <v/>
      </c>
      <c r="DE99" s="30" t="str">
        <f t="shared" si="1406"/>
        <v/>
      </c>
      <c r="DF99" s="30" t="str">
        <f t="shared" si="1407"/>
        <v/>
      </c>
      <c r="DG99" s="30" t="str">
        <f t="shared" si="1408"/>
        <v/>
      </c>
      <c r="DH99" s="30" t="str">
        <f t="shared" si="1409"/>
        <v/>
      </c>
      <c r="DI99" s="30" t="str">
        <f t="shared" si="1410"/>
        <v/>
      </c>
      <c r="DJ99" s="30" t="str">
        <f t="shared" si="1411"/>
        <v/>
      </c>
      <c r="DK99" s="30" t="str">
        <f t="shared" si="1412"/>
        <v/>
      </c>
      <c r="DL99" s="30" t="str">
        <f t="shared" si="1413"/>
        <v/>
      </c>
      <c r="DM99" s="30" t="str">
        <f t="shared" si="1414"/>
        <v/>
      </c>
      <c r="DN99" s="30" t="str">
        <f t="shared" si="1415"/>
        <v/>
      </c>
      <c r="DO99" s="30" t="str">
        <f t="shared" si="1416"/>
        <v/>
      </c>
      <c r="DP99" s="30" t="str">
        <f t="shared" si="1417"/>
        <v/>
      </c>
      <c r="DQ99" s="30" t="str">
        <f t="shared" si="1418"/>
        <v/>
      </c>
      <c r="DR99" s="30" t="str">
        <f t="shared" si="1419"/>
        <v/>
      </c>
      <c r="DS99" s="30" t="str">
        <f t="shared" si="1420"/>
        <v/>
      </c>
      <c r="DT99" s="30" t="str">
        <f t="shared" si="1421"/>
        <v/>
      </c>
      <c r="DU99" s="30" t="str">
        <f t="shared" si="1422"/>
        <v/>
      </c>
      <c r="DV99" s="30" t="str">
        <f t="shared" si="1423"/>
        <v/>
      </c>
      <c r="DW99" s="30" t="str">
        <f t="shared" si="1424"/>
        <v/>
      </c>
      <c r="DX99" s="30" t="str">
        <f t="shared" si="1425"/>
        <v/>
      </c>
      <c r="DY99" s="30" t="str">
        <f t="shared" si="1426"/>
        <v/>
      </c>
      <c r="DZ99" s="30" t="str">
        <f t="shared" si="1427"/>
        <v/>
      </c>
      <c r="EA99" s="30" t="str">
        <f t="shared" si="1428"/>
        <v/>
      </c>
      <c r="EB99" s="30" t="str">
        <f t="shared" si="1429"/>
        <v/>
      </c>
      <c r="EC99" s="30" t="str">
        <f t="shared" si="1430"/>
        <v/>
      </c>
      <c r="ED99" s="30" t="str">
        <f t="shared" si="1431"/>
        <v/>
      </c>
      <c r="EE99" s="30" t="str">
        <f t="shared" si="1432"/>
        <v/>
      </c>
      <c r="EF99" s="30" t="str">
        <f t="shared" si="1433"/>
        <v/>
      </c>
      <c r="EG99" s="30" t="str">
        <f t="shared" si="1434"/>
        <v/>
      </c>
      <c r="EH99" s="30" t="str">
        <f t="shared" si="1435"/>
        <v/>
      </c>
      <c r="EI99" s="30" t="str">
        <f t="shared" si="1436"/>
        <v/>
      </c>
      <c r="EJ99" s="30" t="str">
        <f t="shared" si="1437"/>
        <v/>
      </c>
      <c r="EK99" s="30" t="str">
        <f t="shared" si="1438"/>
        <v/>
      </c>
      <c r="EL99" s="30" t="str">
        <f t="shared" si="1439"/>
        <v/>
      </c>
      <c r="EM99" s="30" t="str">
        <f t="shared" si="1440"/>
        <v/>
      </c>
      <c r="EN99" s="30" t="str">
        <f t="shared" si="1441"/>
        <v/>
      </c>
      <c r="EO99" s="30" t="str">
        <f t="shared" si="1442"/>
        <v/>
      </c>
      <c r="EP99" s="30" t="str">
        <f t="shared" si="1443"/>
        <v/>
      </c>
      <c r="EQ99" s="30" t="str">
        <f t="shared" si="1444"/>
        <v/>
      </c>
      <c r="ER99" s="30" t="str">
        <f t="shared" si="1445"/>
        <v/>
      </c>
      <c r="ES99" s="30" t="str">
        <f t="shared" si="1446"/>
        <v/>
      </c>
      <c r="ET99" s="30" t="str">
        <f t="shared" si="1447"/>
        <v/>
      </c>
      <c r="EU99" s="30" t="str">
        <f t="shared" si="1448"/>
        <v/>
      </c>
      <c r="EV99" s="30" t="str">
        <f t="shared" si="1449"/>
        <v/>
      </c>
      <c r="EW99" s="30" t="str">
        <f t="shared" si="1450"/>
        <v/>
      </c>
      <c r="EX99" s="30" t="str">
        <f t="shared" si="1451"/>
        <v/>
      </c>
      <c r="EY99" s="30" t="str">
        <f t="shared" si="1452"/>
        <v/>
      </c>
      <c r="EZ99" s="30" t="str">
        <f t="shared" si="1453"/>
        <v/>
      </c>
      <c r="FA99" s="30" t="str">
        <f t="shared" si="1454"/>
        <v/>
      </c>
      <c r="FB99" s="30" t="str">
        <f t="shared" si="1455"/>
        <v/>
      </c>
      <c r="FC99" s="30" t="str">
        <f t="shared" si="1456"/>
        <v/>
      </c>
      <c r="FD99" s="30" t="str">
        <f t="shared" si="1457"/>
        <v/>
      </c>
      <c r="FE99" s="30" t="str">
        <f t="shared" si="1458"/>
        <v/>
      </c>
      <c r="FF99" s="30" t="str">
        <f t="shared" si="1459"/>
        <v/>
      </c>
      <c r="FG99" s="30" t="str">
        <f t="shared" si="1460"/>
        <v/>
      </c>
      <c r="FH99" s="30" t="str">
        <f t="shared" si="1461"/>
        <v/>
      </c>
      <c r="FI99" s="30" t="str">
        <f t="shared" si="1462"/>
        <v/>
      </c>
      <c r="FJ99" s="30" t="str">
        <f t="shared" si="1463"/>
        <v/>
      </c>
      <c r="FK99" s="30" t="str">
        <f t="shared" si="1464"/>
        <v/>
      </c>
      <c r="FL99" s="30" t="str">
        <f t="shared" si="1465"/>
        <v/>
      </c>
      <c r="FM99" s="30" t="str">
        <f t="shared" si="1466"/>
        <v/>
      </c>
      <c r="FN99" s="30" t="str">
        <f t="shared" si="1467"/>
        <v/>
      </c>
      <c r="FO99" s="30" t="str">
        <f t="shared" si="1468"/>
        <v/>
      </c>
      <c r="FP99" s="30" t="str">
        <f t="shared" si="1469"/>
        <v/>
      </c>
      <c r="FQ99" s="30" t="str">
        <f t="shared" si="1470"/>
        <v/>
      </c>
      <c r="FR99" s="30" t="str">
        <f t="shared" si="1471"/>
        <v/>
      </c>
      <c r="FS99" s="30" t="str">
        <f t="shared" si="1472"/>
        <v/>
      </c>
    </row>
    <row r="100" spans="1:175" ht="16.5">
      <c r="A100" s="117"/>
      <c r="B100" s="111" t="s">
        <v>871</v>
      </c>
      <c r="C100" s="117" t="s">
        <v>872</v>
      </c>
      <c r="R100" s="25">
        <v>-8110</v>
      </c>
      <c r="S100" s="25">
        <v>1810</v>
      </c>
      <c r="T100" s="117" t="s">
        <v>872</v>
      </c>
      <c r="U100" s="37" t="s">
        <v>822</v>
      </c>
      <c r="CN100" s="7" t="str">
        <f t="shared" si="1396"/>
        <v>InitUnitState('IT05',,,,,,,,,,)</v>
      </c>
      <c r="CO100" s="7" t="str">
        <f t="shared" si="1397"/>
        <v>InitUnitNormal('IT05',,,,,,,,,,)</v>
      </c>
      <c r="CP100" s="7" t="str">
        <f t="shared" si="1398"/>
        <v>InitUnitMagic('IT05',,,,,,,,,,)</v>
      </c>
      <c r="CQ100" s="7" t="str">
        <f t="shared" si="1399"/>
        <v>InitUnitAdd('IT05',,,,,,,,,,)</v>
      </c>
      <c r="CR100" s="7" t="str">
        <f t="shared" si="1400"/>
        <v>InitEquipData('IT05',,"",,,,,'','','','','','',"ReplaceableTextures\\CommandButtons\\BTNTome.blp")</v>
      </c>
      <c r="CU100" s="45" t="str">
        <f t="shared" si="1401"/>
        <v>|n</v>
      </c>
      <c r="CV100" s="29" t="str">
        <f t="shared" si="1402"/>
        <v>境界挑战5</v>
      </c>
      <c r="CW100" s="24"/>
      <c r="CX100" s="24"/>
      <c r="CY100" s="24"/>
      <c r="CZ100" s="24"/>
      <c r="DA100" s="24"/>
      <c r="DB100" s="30" t="str">
        <f t="shared" si="1403"/>
        <v/>
      </c>
      <c r="DC100" s="30" t="str">
        <f t="shared" si="1404"/>
        <v/>
      </c>
      <c r="DD100" s="30" t="str">
        <f t="shared" si="1405"/>
        <v/>
      </c>
      <c r="DE100" s="30" t="str">
        <f t="shared" si="1406"/>
        <v/>
      </c>
      <c r="DF100" s="30" t="str">
        <f t="shared" si="1407"/>
        <v/>
      </c>
      <c r="DG100" s="30" t="str">
        <f t="shared" si="1408"/>
        <v/>
      </c>
      <c r="DH100" s="30" t="str">
        <f t="shared" si="1409"/>
        <v/>
      </c>
      <c r="DI100" s="30" t="str">
        <f t="shared" si="1410"/>
        <v/>
      </c>
      <c r="DJ100" s="30" t="str">
        <f t="shared" si="1411"/>
        <v/>
      </c>
      <c r="DK100" s="30" t="str">
        <f t="shared" si="1412"/>
        <v/>
      </c>
      <c r="DL100" s="30" t="str">
        <f t="shared" si="1413"/>
        <v/>
      </c>
      <c r="DM100" s="30" t="str">
        <f t="shared" si="1414"/>
        <v/>
      </c>
      <c r="DN100" s="30" t="str">
        <f t="shared" si="1415"/>
        <v/>
      </c>
      <c r="DO100" s="30" t="str">
        <f t="shared" si="1416"/>
        <v/>
      </c>
      <c r="DP100" s="30" t="str">
        <f t="shared" si="1417"/>
        <v/>
      </c>
      <c r="DQ100" s="30" t="str">
        <f t="shared" si="1418"/>
        <v/>
      </c>
      <c r="DR100" s="30" t="str">
        <f t="shared" si="1419"/>
        <v/>
      </c>
      <c r="DS100" s="30" t="str">
        <f t="shared" si="1420"/>
        <v/>
      </c>
      <c r="DT100" s="30" t="str">
        <f t="shared" si="1421"/>
        <v/>
      </c>
      <c r="DU100" s="30" t="str">
        <f t="shared" si="1422"/>
        <v/>
      </c>
      <c r="DV100" s="30" t="str">
        <f t="shared" si="1423"/>
        <v/>
      </c>
      <c r="DW100" s="30" t="str">
        <f t="shared" si="1424"/>
        <v/>
      </c>
      <c r="DX100" s="30" t="str">
        <f t="shared" si="1425"/>
        <v/>
      </c>
      <c r="DY100" s="30" t="str">
        <f t="shared" si="1426"/>
        <v/>
      </c>
      <c r="DZ100" s="30" t="str">
        <f t="shared" si="1427"/>
        <v/>
      </c>
      <c r="EA100" s="30" t="str">
        <f t="shared" si="1428"/>
        <v/>
      </c>
      <c r="EB100" s="30" t="str">
        <f t="shared" si="1429"/>
        <v/>
      </c>
      <c r="EC100" s="30" t="str">
        <f t="shared" si="1430"/>
        <v/>
      </c>
      <c r="ED100" s="30" t="str">
        <f t="shared" si="1431"/>
        <v/>
      </c>
      <c r="EE100" s="30" t="str">
        <f t="shared" si="1432"/>
        <v/>
      </c>
      <c r="EF100" s="30" t="str">
        <f t="shared" si="1433"/>
        <v/>
      </c>
      <c r="EG100" s="30" t="str">
        <f t="shared" si="1434"/>
        <v/>
      </c>
      <c r="EH100" s="30" t="str">
        <f t="shared" si="1435"/>
        <v/>
      </c>
      <c r="EI100" s="30" t="str">
        <f t="shared" si="1436"/>
        <v/>
      </c>
      <c r="EJ100" s="30" t="str">
        <f t="shared" si="1437"/>
        <v/>
      </c>
      <c r="EK100" s="30" t="str">
        <f t="shared" si="1438"/>
        <v/>
      </c>
      <c r="EL100" s="30" t="str">
        <f t="shared" si="1439"/>
        <v/>
      </c>
      <c r="EM100" s="30" t="str">
        <f t="shared" si="1440"/>
        <v/>
      </c>
      <c r="EN100" s="30" t="str">
        <f t="shared" si="1441"/>
        <v/>
      </c>
      <c r="EO100" s="30" t="str">
        <f t="shared" si="1442"/>
        <v/>
      </c>
      <c r="EP100" s="30" t="str">
        <f t="shared" si="1443"/>
        <v/>
      </c>
      <c r="EQ100" s="30" t="str">
        <f t="shared" si="1444"/>
        <v/>
      </c>
      <c r="ER100" s="30" t="str">
        <f t="shared" si="1445"/>
        <v/>
      </c>
      <c r="ES100" s="30" t="str">
        <f t="shared" si="1446"/>
        <v/>
      </c>
      <c r="ET100" s="30" t="str">
        <f t="shared" si="1447"/>
        <v/>
      </c>
      <c r="EU100" s="30" t="str">
        <f t="shared" si="1448"/>
        <v/>
      </c>
      <c r="EV100" s="30" t="str">
        <f t="shared" si="1449"/>
        <v/>
      </c>
      <c r="EW100" s="30" t="str">
        <f t="shared" si="1450"/>
        <v/>
      </c>
      <c r="EX100" s="30" t="str">
        <f t="shared" si="1451"/>
        <v/>
      </c>
      <c r="EY100" s="30" t="str">
        <f t="shared" si="1452"/>
        <v/>
      </c>
      <c r="EZ100" s="30" t="str">
        <f t="shared" si="1453"/>
        <v/>
      </c>
      <c r="FA100" s="30" t="str">
        <f t="shared" si="1454"/>
        <v/>
      </c>
      <c r="FB100" s="30" t="str">
        <f t="shared" si="1455"/>
        <v/>
      </c>
      <c r="FC100" s="30" t="str">
        <f t="shared" si="1456"/>
        <v/>
      </c>
      <c r="FD100" s="30" t="str">
        <f t="shared" si="1457"/>
        <v/>
      </c>
      <c r="FE100" s="30" t="str">
        <f t="shared" si="1458"/>
        <v/>
      </c>
      <c r="FF100" s="30" t="str">
        <f t="shared" si="1459"/>
        <v/>
      </c>
      <c r="FG100" s="30" t="str">
        <f t="shared" si="1460"/>
        <v/>
      </c>
      <c r="FH100" s="30" t="str">
        <f t="shared" si="1461"/>
        <v/>
      </c>
      <c r="FI100" s="30" t="str">
        <f t="shared" si="1462"/>
        <v/>
      </c>
      <c r="FJ100" s="30" t="str">
        <f t="shared" si="1463"/>
        <v/>
      </c>
      <c r="FK100" s="30" t="str">
        <f t="shared" si="1464"/>
        <v/>
      </c>
      <c r="FL100" s="30" t="str">
        <f t="shared" si="1465"/>
        <v/>
      </c>
      <c r="FM100" s="30" t="str">
        <f t="shared" si="1466"/>
        <v/>
      </c>
      <c r="FN100" s="30" t="str">
        <f t="shared" si="1467"/>
        <v/>
      </c>
      <c r="FO100" s="30" t="str">
        <f t="shared" si="1468"/>
        <v/>
      </c>
      <c r="FP100" s="30" t="str">
        <f t="shared" si="1469"/>
        <v/>
      </c>
      <c r="FQ100" s="30" t="str">
        <f t="shared" si="1470"/>
        <v/>
      </c>
      <c r="FR100" s="30" t="str">
        <f t="shared" si="1471"/>
        <v/>
      </c>
      <c r="FS100" s="30" t="str">
        <f t="shared" si="1472"/>
        <v/>
      </c>
    </row>
    <row r="101" spans="1:175" ht="16.5">
      <c r="A101" s="117"/>
      <c r="B101" s="111" t="s">
        <v>873</v>
      </c>
      <c r="C101" s="117" t="s">
        <v>874</v>
      </c>
      <c r="R101" s="25">
        <v>-7896</v>
      </c>
      <c r="S101" s="25">
        <v>3839</v>
      </c>
      <c r="T101" s="117" t="s">
        <v>874</v>
      </c>
      <c r="U101" s="37" t="s">
        <v>822</v>
      </c>
      <c r="CN101" s="7" t="str">
        <f t="shared" si="1396"/>
        <v>InitUnitState('IT06',,,,,,,,,,)</v>
      </c>
      <c r="CO101" s="7" t="str">
        <f t="shared" si="1397"/>
        <v>InitUnitNormal('IT06',,,,,,,,,,)</v>
      </c>
      <c r="CP101" s="7" t="str">
        <f t="shared" si="1398"/>
        <v>InitUnitMagic('IT06',,,,,,,,,,)</v>
      </c>
      <c r="CQ101" s="7" t="str">
        <f t="shared" si="1399"/>
        <v>InitUnitAdd('IT06',,,,,,,,,,)</v>
      </c>
      <c r="CR101" s="7" t="str">
        <f t="shared" si="1400"/>
        <v>InitEquipData('IT06',,"",,,,,'','','','','','',"ReplaceableTextures\\CommandButtons\\BTNTome.blp")</v>
      </c>
      <c r="CU101" s="45" t="str">
        <f t="shared" si="1401"/>
        <v>|n</v>
      </c>
      <c r="CV101" s="29" t="str">
        <f t="shared" si="1402"/>
        <v>境界挑战6</v>
      </c>
      <c r="CW101" s="24"/>
      <c r="CX101" s="24"/>
      <c r="CY101" s="24"/>
      <c r="CZ101" s="24"/>
      <c r="DA101" s="24"/>
      <c r="DB101" s="30" t="str">
        <f t="shared" si="1403"/>
        <v/>
      </c>
      <c r="DC101" s="30" t="str">
        <f t="shared" si="1404"/>
        <v/>
      </c>
      <c r="DD101" s="30" t="str">
        <f t="shared" si="1405"/>
        <v/>
      </c>
      <c r="DE101" s="30" t="str">
        <f t="shared" si="1406"/>
        <v/>
      </c>
      <c r="DF101" s="30" t="str">
        <f t="shared" si="1407"/>
        <v/>
      </c>
      <c r="DG101" s="30" t="str">
        <f t="shared" si="1408"/>
        <v/>
      </c>
      <c r="DH101" s="30" t="str">
        <f t="shared" si="1409"/>
        <v/>
      </c>
      <c r="DI101" s="30" t="str">
        <f t="shared" si="1410"/>
        <v/>
      </c>
      <c r="DJ101" s="30" t="str">
        <f t="shared" si="1411"/>
        <v/>
      </c>
      <c r="DK101" s="30" t="str">
        <f t="shared" si="1412"/>
        <v/>
      </c>
      <c r="DL101" s="30" t="str">
        <f t="shared" si="1413"/>
        <v/>
      </c>
      <c r="DM101" s="30" t="str">
        <f t="shared" si="1414"/>
        <v/>
      </c>
      <c r="DN101" s="30" t="str">
        <f t="shared" si="1415"/>
        <v/>
      </c>
      <c r="DO101" s="30" t="str">
        <f t="shared" si="1416"/>
        <v/>
      </c>
      <c r="DP101" s="30" t="str">
        <f t="shared" si="1417"/>
        <v/>
      </c>
      <c r="DQ101" s="30" t="str">
        <f t="shared" si="1418"/>
        <v/>
      </c>
      <c r="DR101" s="30" t="str">
        <f t="shared" si="1419"/>
        <v/>
      </c>
      <c r="DS101" s="30" t="str">
        <f t="shared" si="1420"/>
        <v/>
      </c>
      <c r="DT101" s="30" t="str">
        <f t="shared" si="1421"/>
        <v/>
      </c>
      <c r="DU101" s="30" t="str">
        <f t="shared" si="1422"/>
        <v/>
      </c>
      <c r="DV101" s="30" t="str">
        <f t="shared" si="1423"/>
        <v/>
      </c>
      <c r="DW101" s="30" t="str">
        <f t="shared" si="1424"/>
        <v/>
      </c>
      <c r="DX101" s="30" t="str">
        <f t="shared" si="1425"/>
        <v/>
      </c>
      <c r="DY101" s="30" t="str">
        <f t="shared" si="1426"/>
        <v/>
      </c>
      <c r="DZ101" s="30" t="str">
        <f t="shared" si="1427"/>
        <v/>
      </c>
      <c r="EA101" s="30" t="str">
        <f t="shared" si="1428"/>
        <v/>
      </c>
      <c r="EB101" s="30" t="str">
        <f t="shared" si="1429"/>
        <v/>
      </c>
      <c r="EC101" s="30" t="str">
        <f t="shared" si="1430"/>
        <v/>
      </c>
      <c r="ED101" s="30" t="str">
        <f t="shared" si="1431"/>
        <v/>
      </c>
      <c r="EE101" s="30" t="str">
        <f t="shared" si="1432"/>
        <v/>
      </c>
      <c r="EF101" s="30" t="str">
        <f t="shared" si="1433"/>
        <v/>
      </c>
      <c r="EG101" s="30" t="str">
        <f t="shared" si="1434"/>
        <v/>
      </c>
      <c r="EH101" s="30" t="str">
        <f t="shared" si="1435"/>
        <v/>
      </c>
      <c r="EI101" s="30" t="str">
        <f t="shared" si="1436"/>
        <v/>
      </c>
      <c r="EJ101" s="30" t="str">
        <f t="shared" si="1437"/>
        <v/>
      </c>
      <c r="EK101" s="30" t="str">
        <f t="shared" si="1438"/>
        <v/>
      </c>
      <c r="EL101" s="30" t="str">
        <f t="shared" si="1439"/>
        <v/>
      </c>
      <c r="EM101" s="30" t="str">
        <f t="shared" si="1440"/>
        <v/>
      </c>
      <c r="EN101" s="30" t="str">
        <f t="shared" si="1441"/>
        <v/>
      </c>
      <c r="EO101" s="30" t="str">
        <f t="shared" si="1442"/>
        <v/>
      </c>
      <c r="EP101" s="30" t="str">
        <f t="shared" si="1443"/>
        <v/>
      </c>
      <c r="EQ101" s="30" t="str">
        <f t="shared" si="1444"/>
        <v/>
      </c>
      <c r="ER101" s="30" t="str">
        <f t="shared" si="1445"/>
        <v/>
      </c>
      <c r="ES101" s="30" t="str">
        <f t="shared" si="1446"/>
        <v/>
      </c>
      <c r="ET101" s="30" t="str">
        <f t="shared" si="1447"/>
        <v/>
      </c>
      <c r="EU101" s="30" t="str">
        <f t="shared" si="1448"/>
        <v/>
      </c>
      <c r="EV101" s="30" t="str">
        <f t="shared" si="1449"/>
        <v/>
      </c>
      <c r="EW101" s="30" t="str">
        <f t="shared" si="1450"/>
        <v/>
      </c>
      <c r="EX101" s="30" t="str">
        <f t="shared" si="1451"/>
        <v/>
      </c>
      <c r="EY101" s="30" t="str">
        <f t="shared" si="1452"/>
        <v/>
      </c>
      <c r="EZ101" s="30" t="str">
        <f t="shared" si="1453"/>
        <v/>
      </c>
      <c r="FA101" s="30" t="str">
        <f t="shared" si="1454"/>
        <v/>
      </c>
      <c r="FB101" s="30" t="str">
        <f t="shared" si="1455"/>
        <v/>
      </c>
      <c r="FC101" s="30" t="str">
        <f t="shared" si="1456"/>
        <v/>
      </c>
      <c r="FD101" s="30" t="str">
        <f t="shared" si="1457"/>
        <v/>
      </c>
      <c r="FE101" s="30" t="str">
        <f t="shared" si="1458"/>
        <v/>
      </c>
      <c r="FF101" s="30" t="str">
        <f t="shared" si="1459"/>
        <v/>
      </c>
      <c r="FG101" s="30" t="str">
        <f t="shared" si="1460"/>
        <v/>
      </c>
      <c r="FH101" s="30" t="str">
        <f t="shared" si="1461"/>
        <v/>
      </c>
      <c r="FI101" s="30" t="str">
        <f t="shared" si="1462"/>
        <v/>
      </c>
      <c r="FJ101" s="30" t="str">
        <f t="shared" si="1463"/>
        <v/>
      </c>
      <c r="FK101" s="30" t="str">
        <f t="shared" si="1464"/>
        <v/>
      </c>
      <c r="FL101" s="30" t="str">
        <f t="shared" si="1465"/>
        <v/>
      </c>
      <c r="FM101" s="30" t="str">
        <f t="shared" si="1466"/>
        <v/>
      </c>
      <c r="FN101" s="30" t="str">
        <f t="shared" si="1467"/>
        <v/>
      </c>
      <c r="FO101" s="30" t="str">
        <f t="shared" si="1468"/>
        <v/>
      </c>
      <c r="FP101" s="30" t="str">
        <f t="shared" si="1469"/>
        <v/>
      </c>
      <c r="FQ101" s="30" t="str">
        <f t="shared" si="1470"/>
        <v/>
      </c>
      <c r="FR101" s="30" t="str">
        <f t="shared" si="1471"/>
        <v/>
      </c>
      <c r="FS101" s="30" t="str">
        <f t="shared" si="1472"/>
        <v/>
      </c>
    </row>
    <row r="102" spans="1:175" ht="16.5">
      <c r="A102" s="117"/>
      <c r="B102" s="111" t="s">
        <v>875</v>
      </c>
      <c r="C102" s="117" t="s">
        <v>876</v>
      </c>
      <c r="R102" s="25">
        <v>-7896</v>
      </c>
      <c r="S102" s="25">
        <v>5906</v>
      </c>
      <c r="T102" s="117" t="s">
        <v>876</v>
      </c>
      <c r="U102" s="37" t="s">
        <v>822</v>
      </c>
      <c r="CN102" s="7" t="str">
        <f t="shared" si="1396"/>
        <v>InitUnitState('IT07',,,,,,,,,,)</v>
      </c>
      <c r="CO102" s="7" t="str">
        <f t="shared" si="1397"/>
        <v>InitUnitNormal('IT07',,,,,,,,,,)</v>
      </c>
      <c r="CP102" s="7" t="str">
        <f t="shared" si="1398"/>
        <v>InitUnitMagic('IT07',,,,,,,,,,)</v>
      </c>
      <c r="CQ102" s="7" t="str">
        <f t="shared" si="1399"/>
        <v>InitUnitAdd('IT07',,,,,,,,,,)</v>
      </c>
      <c r="CR102" s="7" t="str">
        <f t="shared" si="1400"/>
        <v>InitEquipData('IT07',,"",,,,,'','','','','','',"ReplaceableTextures\\CommandButtons\\BTNTome.blp")</v>
      </c>
      <c r="CU102" s="45" t="str">
        <f t="shared" si="1401"/>
        <v>|n</v>
      </c>
      <c r="CV102" s="29" t="str">
        <f t="shared" si="1402"/>
        <v>境界挑战7</v>
      </c>
      <c r="CW102" s="24"/>
      <c r="CX102" s="24"/>
      <c r="CY102" s="24"/>
      <c r="CZ102" s="24"/>
      <c r="DA102" s="24"/>
      <c r="DB102" s="30" t="str">
        <f t="shared" si="1403"/>
        <v/>
      </c>
      <c r="DC102" s="30" t="str">
        <f t="shared" si="1404"/>
        <v/>
      </c>
      <c r="DD102" s="30" t="str">
        <f t="shared" si="1405"/>
        <v/>
      </c>
      <c r="DE102" s="30" t="str">
        <f t="shared" si="1406"/>
        <v/>
      </c>
      <c r="DF102" s="30" t="str">
        <f t="shared" si="1407"/>
        <v/>
      </c>
      <c r="DG102" s="30" t="str">
        <f t="shared" si="1408"/>
        <v/>
      </c>
      <c r="DH102" s="30" t="str">
        <f t="shared" si="1409"/>
        <v/>
      </c>
      <c r="DI102" s="30" t="str">
        <f t="shared" si="1410"/>
        <v/>
      </c>
      <c r="DJ102" s="30" t="str">
        <f t="shared" si="1411"/>
        <v/>
      </c>
      <c r="DK102" s="30" t="str">
        <f t="shared" si="1412"/>
        <v/>
      </c>
      <c r="DL102" s="30" t="str">
        <f t="shared" si="1413"/>
        <v/>
      </c>
      <c r="DM102" s="30" t="str">
        <f t="shared" si="1414"/>
        <v/>
      </c>
      <c r="DN102" s="30" t="str">
        <f t="shared" si="1415"/>
        <v/>
      </c>
      <c r="DO102" s="30" t="str">
        <f t="shared" si="1416"/>
        <v/>
      </c>
      <c r="DP102" s="30" t="str">
        <f t="shared" si="1417"/>
        <v/>
      </c>
      <c r="DQ102" s="30" t="str">
        <f t="shared" si="1418"/>
        <v/>
      </c>
      <c r="DR102" s="30" t="str">
        <f t="shared" si="1419"/>
        <v/>
      </c>
      <c r="DS102" s="30" t="str">
        <f t="shared" si="1420"/>
        <v/>
      </c>
      <c r="DT102" s="30" t="str">
        <f t="shared" si="1421"/>
        <v/>
      </c>
      <c r="DU102" s="30" t="str">
        <f t="shared" si="1422"/>
        <v/>
      </c>
      <c r="DV102" s="30" t="str">
        <f t="shared" si="1423"/>
        <v/>
      </c>
      <c r="DW102" s="30" t="str">
        <f t="shared" si="1424"/>
        <v/>
      </c>
      <c r="DX102" s="30" t="str">
        <f t="shared" si="1425"/>
        <v/>
      </c>
      <c r="DY102" s="30" t="str">
        <f t="shared" si="1426"/>
        <v/>
      </c>
      <c r="DZ102" s="30" t="str">
        <f t="shared" si="1427"/>
        <v/>
      </c>
      <c r="EA102" s="30" t="str">
        <f t="shared" si="1428"/>
        <v/>
      </c>
      <c r="EB102" s="30" t="str">
        <f t="shared" si="1429"/>
        <v/>
      </c>
      <c r="EC102" s="30" t="str">
        <f t="shared" si="1430"/>
        <v/>
      </c>
      <c r="ED102" s="30" t="str">
        <f t="shared" si="1431"/>
        <v/>
      </c>
      <c r="EE102" s="30" t="str">
        <f t="shared" si="1432"/>
        <v/>
      </c>
      <c r="EF102" s="30" t="str">
        <f t="shared" si="1433"/>
        <v/>
      </c>
      <c r="EG102" s="30" t="str">
        <f t="shared" si="1434"/>
        <v/>
      </c>
      <c r="EH102" s="30" t="str">
        <f t="shared" si="1435"/>
        <v/>
      </c>
      <c r="EI102" s="30" t="str">
        <f t="shared" si="1436"/>
        <v/>
      </c>
      <c r="EJ102" s="30" t="str">
        <f t="shared" si="1437"/>
        <v/>
      </c>
      <c r="EK102" s="30" t="str">
        <f t="shared" si="1438"/>
        <v/>
      </c>
      <c r="EL102" s="30" t="str">
        <f t="shared" si="1439"/>
        <v/>
      </c>
      <c r="EM102" s="30" t="str">
        <f t="shared" si="1440"/>
        <v/>
      </c>
      <c r="EN102" s="30" t="str">
        <f t="shared" si="1441"/>
        <v/>
      </c>
      <c r="EO102" s="30" t="str">
        <f t="shared" si="1442"/>
        <v/>
      </c>
      <c r="EP102" s="30" t="str">
        <f t="shared" si="1443"/>
        <v/>
      </c>
      <c r="EQ102" s="30" t="str">
        <f t="shared" si="1444"/>
        <v/>
      </c>
      <c r="ER102" s="30" t="str">
        <f t="shared" si="1445"/>
        <v/>
      </c>
      <c r="ES102" s="30" t="str">
        <f t="shared" si="1446"/>
        <v/>
      </c>
      <c r="ET102" s="30" t="str">
        <f t="shared" si="1447"/>
        <v/>
      </c>
      <c r="EU102" s="30" t="str">
        <f t="shared" si="1448"/>
        <v/>
      </c>
      <c r="EV102" s="30" t="str">
        <f t="shared" si="1449"/>
        <v/>
      </c>
      <c r="EW102" s="30" t="str">
        <f t="shared" si="1450"/>
        <v/>
      </c>
      <c r="EX102" s="30" t="str">
        <f t="shared" si="1451"/>
        <v/>
      </c>
      <c r="EY102" s="30" t="str">
        <f t="shared" si="1452"/>
        <v/>
      </c>
      <c r="EZ102" s="30" t="str">
        <f t="shared" si="1453"/>
        <v/>
      </c>
      <c r="FA102" s="30" t="str">
        <f t="shared" si="1454"/>
        <v/>
      </c>
      <c r="FB102" s="30" t="str">
        <f t="shared" si="1455"/>
        <v/>
      </c>
      <c r="FC102" s="30" t="str">
        <f t="shared" si="1456"/>
        <v/>
      </c>
      <c r="FD102" s="30" t="str">
        <f t="shared" si="1457"/>
        <v/>
      </c>
      <c r="FE102" s="30" t="str">
        <f t="shared" si="1458"/>
        <v/>
      </c>
      <c r="FF102" s="30" t="str">
        <f t="shared" si="1459"/>
        <v/>
      </c>
      <c r="FG102" s="30" t="str">
        <f t="shared" si="1460"/>
        <v/>
      </c>
      <c r="FH102" s="30" t="str">
        <f t="shared" si="1461"/>
        <v/>
      </c>
      <c r="FI102" s="30" t="str">
        <f t="shared" si="1462"/>
        <v/>
      </c>
      <c r="FJ102" s="30" t="str">
        <f t="shared" si="1463"/>
        <v/>
      </c>
      <c r="FK102" s="30" t="str">
        <f t="shared" si="1464"/>
        <v/>
      </c>
      <c r="FL102" s="30" t="str">
        <f t="shared" si="1465"/>
        <v/>
      </c>
      <c r="FM102" s="30" t="str">
        <f t="shared" si="1466"/>
        <v/>
      </c>
      <c r="FN102" s="30" t="str">
        <f t="shared" si="1467"/>
        <v/>
      </c>
      <c r="FO102" s="30" t="str">
        <f t="shared" si="1468"/>
        <v/>
      </c>
      <c r="FP102" s="30" t="str">
        <f t="shared" si="1469"/>
        <v/>
      </c>
      <c r="FQ102" s="30" t="str">
        <f t="shared" si="1470"/>
        <v/>
      </c>
      <c r="FR102" s="30" t="str">
        <f t="shared" si="1471"/>
        <v/>
      </c>
      <c r="FS102" s="30" t="str">
        <f t="shared" si="1472"/>
        <v/>
      </c>
    </row>
    <row r="103" spans="1:175" ht="16.5">
      <c r="A103" s="117" t="s">
        <v>919</v>
      </c>
      <c r="B103" s="111" t="s">
        <v>877</v>
      </c>
      <c r="C103" s="117" t="s">
        <v>878</v>
      </c>
      <c r="R103" s="25">
        <v>-7970</v>
      </c>
      <c r="S103" s="25">
        <v>7965</v>
      </c>
      <c r="T103" s="117" t="s">
        <v>878</v>
      </c>
      <c r="U103" s="37" t="s">
        <v>822</v>
      </c>
      <c r="CN103" s="7" t="str">
        <f t="shared" si="1396"/>
        <v>InitUnitState('IT08',,,,,,,,,,)</v>
      </c>
      <c r="CO103" s="7" t="str">
        <f t="shared" si="1397"/>
        <v>InitUnitNormal('IT08',,,,,,,,,,)</v>
      </c>
      <c r="CP103" s="7" t="str">
        <f t="shared" si="1398"/>
        <v>InitUnitMagic('IT08',,,,,,,,,,)</v>
      </c>
      <c r="CQ103" s="7" t="str">
        <f t="shared" si="1399"/>
        <v>InitUnitAdd('IT08',,,,,,,,,,)</v>
      </c>
      <c r="CR103" s="7" t="str">
        <f t="shared" si="1400"/>
        <v>InitEquipData('IT08',,".",,,,,'','','','','','',"ReplaceableTextures\\CommandButtons\\BTNTome.blp")</v>
      </c>
      <c r="CU103" s="45" t="str">
        <f t="shared" si="1401"/>
        <v>|n</v>
      </c>
      <c r="CV103" s="29" t="str">
        <f t="shared" si="1402"/>
        <v>境界挑战8</v>
      </c>
      <c r="CW103" s="24"/>
      <c r="CX103" s="24"/>
      <c r="CY103" s="24"/>
      <c r="CZ103" s="24"/>
      <c r="DA103" s="24"/>
      <c r="DB103" s="30" t="str">
        <f t="shared" si="1403"/>
        <v/>
      </c>
      <c r="DC103" s="30" t="str">
        <f t="shared" si="1404"/>
        <v/>
      </c>
      <c r="DD103" s="30" t="str">
        <f t="shared" si="1405"/>
        <v/>
      </c>
      <c r="DE103" s="30" t="str">
        <f t="shared" si="1406"/>
        <v/>
      </c>
      <c r="DF103" s="30" t="str">
        <f t="shared" si="1407"/>
        <v/>
      </c>
      <c r="DG103" s="30" t="str">
        <f t="shared" si="1408"/>
        <v/>
      </c>
      <c r="DH103" s="30" t="str">
        <f t="shared" si="1409"/>
        <v/>
      </c>
      <c r="DI103" s="30" t="str">
        <f t="shared" si="1410"/>
        <v/>
      </c>
      <c r="DJ103" s="30" t="str">
        <f t="shared" si="1411"/>
        <v/>
      </c>
      <c r="DK103" s="30" t="str">
        <f t="shared" si="1412"/>
        <v/>
      </c>
      <c r="DL103" s="30" t="str">
        <f t="shared" si="1413"/>
        <v/>
      </c>
      <c r="DM103" s="30" t="str">
        <f t="shared" si="1414"/>
        <v/>
      </c>
      <c r="DN103" s="30" t="str">
        <f t="shared" si="1415"/>
        <v/>
      </c>
      <c r="DO103" s="30" t="str">
        <f t="shared" si="1416"/>
        <v/>
      </c>
      <c r="DP103" s="30" t="str">
        <f t="shared" si="1417"/>
        <v/>
      </c>
      <c r="DQ103" s="30" t="str">
        <f t="shared" si="1418"/>
        <v/>
      </c>
      <c r="DR103" s="30" t="str">
        <f t="shared" si="1419"/>
        <v/>
      </c>
      <c r="DS103" s="30" t="str">
        <f t="shared" si="1420"/>
        <v/>
      </c>
      <c r="DT103" s="30" t="str">
        <f t="shared" si="1421"/>
        <v/>
      </c>
      <c r="DU103" s="30" t="str">
        <f t="shared" si="1422"/>
        <v/>
      </c>
      <c r="DV103" s="30" t="str">
        <f t="shared" si="1423"/>
        <v/>
      </c>
      <c r="DW103" s="30" t="str">
        <f t="shared" si="1424"/>
        <v/>
      </c>
      <c r="DX103" s="30" t="str">
        <f t="shared" si="1425"/>
        <v/>
      </c>
      <c r="DY103" s="30" t="str">
        <f t="shared" si="1426"/>
        <v/>
      </c>
      <c r="DZ103" s="30" t="str">
        <f t="shared" si="1427"/>
        <v/>
      </c>
      <c r="EA103" s="30" t="str">
        <f t="shared" si="1428"/>
        <v/>
      </c>
      <c r="EB103" s="30" t="str">
        <f t="shared" si="1429"/>
        <v/>
      </c>
      <c r="EC103" s="30" t="str">
        <f t="shared" si="1430"/>
        <v/>
      </c>
      <c r="ED103" s="30" t="str">
        <f t="shared" si="1431"/>
        <v/>
      </c>
      <c r="EE103" s="30" t="str">
        <f t="shared" si="1432"/>
        <v/>
      </c>
      <c r="EF103" s="30" t="str">
        <f t="shared" si="1433"/>
        <v/>
      </c>
      <c r="EG103" s="30" t="str">
        <f t="shared" si="1434"/>
        <v/>
      </c>
      <c r="EH103" s="30" t="str">
        <f t="shared" si="1435"/>
        <v/>
      </c>
      <c r="EI103" s="30" t="str">
        <f t="shared" si="1436"/>
        <v/>
      </c>
      <c r="EJ103" s="30" t="str">
        <f t="shared" si="1437"/>
        <v/>
      </c>
      <c r="EK103" s="30" t="str">
        <f t="shared" si="1438"/>
        <v/>
      </c>
      <c r="EL103" s="30" t="str">
        <f t="shared" si="1439"/>
        <v/>
      </c>
      <c r="EM103" s="30" t="str">
        <f t="shared" si="1440"/>
        <v/>
      </c>
      <c r="EN103" s="30" t="str">
        <f t="shared" si="1441"/>
        <v/>
      </c>
      <c r="EO103" s="30" t="str">
        <f t="shared" si="1442"/>
        <v/>
      </c>
      <c r="EP103" s="30" t="str">
        <f t="shared" si="1443"/>
        <v/>
      </c>
      <c r="EQ103" s="30" t="str">
        <f t="shared" si="1444"/>
        <v/>
      </c>
      <c r="ER103" s="30" t="str">
        <f t="shared" si="1445"/>
        <v/>
      </c>
      <c r="ES103" s="30" t="str">
        <f t="shared" si="1446"/>
        <v/>
      </c>
      <c r="ET103" s="30" t="str">
        <f t="shared" si="1447"/>
        <v/>
      </c>
      <c r="EU103" s="30" t="str">
        <f t="shared" si="1448"/>
        <v/>
      </c>
      <c r="EV103" s="30" t="str">
        <f t="shared" si="1449"/>
        <v/>
      </c>
      <c r="EW103" s="30" t="str">
        <f t="shared" si="1450"/>
        <v/>
      </c>
      <c r="EX103" s="30" t="str">
        <f t="shared" si="1451"/>
        <v/>
      </c>
      <c r="EY103" s="30" t="str">
        <f t="shared" si="1452"/>
        <v/>
      </c>
      <c r="EZ103" s="30" t="str">
        <f t="shared" si="1453"/>
        <v/>
      </c>
      <c r="FA103" s="30" t="str">
        <f t="shared" si="1454"/>
        <v/>
      </c>
      <c r="FB103" s="30" t="str">
        <f t="shared" si="1455"/>
        <v/>
      </c>
      <c r="FC103" s="30" t="str">
        <f t="shared" si="1456"/>
        <v/>
      </c>
      <c r="FD103" s="30" t="str">
        <f t="shared" si="1457"/>
        <v/>
      </c>
      <c r="FE103" s="30" t="str">
        <f t="shared" si="1458"/>
        <v/>
      </c>
      <c r="FF103" s="30" t="str">
        <f t="shared" si="1459"/>
        <v/>
      </c>
      <c r="FG103" s="30" t="str">
        <f t="shared" si="1460"/>
        <v/>
      </c>
      <c r="FH103" s="30" t="str">
        <f t="shared" si="1461"/>
        <v/>
      </c>
      <c r="FI103" s="30" t="str">
        <f t="shared" si="1462"/>
        <v/>
      </c>
      <c r="FJ103" s="30" t="str">
        <f t="shared" si="1463"/>
        <v/>
      </c>
      <c r="FK103" s="30" t="str">
        <f t="shared" si="1464"/>
        <v/>
      </c>
      <c r="FL103" s="30" t="str">
        <f t="shared" si="1465"/>
        <v/>
      </c>
      <c r="FM103" s="30" t="str">
        <f t="shared" si="1466"/>
        <v/>
      </c>
      <c r="FN103" s="30" t="str">
        <f t="shared" si="1467"/>
        <v/>
      </c>
      <c r="FO103" s="30" t="str">
        <f t="shared" si="1468"/>
        <v/>
      </c>
      <c r="FP103" s="30" t="str">
        <f t="shared" si="1469"/>
        <v/>
      </c>
      <c r="FQ103" s="30" t="str">
        <f t="shared" si="1470"/>
        <v/>
      </c>
      <c r="FR103" s="30" t="str">
        <f t="shared" si="1471"/>
        <v/>
      </c>
      <c r="FS103" s="30" t="str">
        <f t="shared" si="1472"/>
        <v/>
      </c>
    </row>
    <row r="104" spans="1:175" ht="16.5">
      <c r="A104" s="117"/>
      <c r="B104" s="111" t="s">
        <v>879</v>
      </c>
      <c r="C104" s="117" t="s">
        <v>880</v>
      </c>
      <c r="R104" s="25">
        <v>1891</v>
      </c>
      <c r="S104" s="25">
        <v>-8026</v>
      </c>
      <c r="T104" s="117" t="s">
        <v>880</v>
      </c>
      <c r="U104" s="37" t="s">
        <v>822</v>
      </c>
      <c r="CN104" s="7" t="str">
        <f t="shared" si="1396"/>
        <v>InitUnitState('IT09',,,,,,,,,,)</v>
      </c>
      <c r="CO104" s="7" t="str">
        <f t="shared" si="1397"/>
        <v>InitUnitNormal('IT09',,,,,,,,,,)</v>
      </c>
      <c r="CP104" s="7" t="str">
        <f t="shared" si="1398"/>
        <v>InitUnitMagic('IT09',,,,,,,,,,)</v>
      </c>
      <c r="CQ104" s="7" t="str">
        <f t="shared" si="1399"/>
        <v>InitUnitAdd('IT09',,,,,,,,,,)</v>
      </c>
      <c r="CR104" s="7" t="str">
        <f t="shared" si="1400"/>
        <v>InitEquipData('IT09',,"",,,,,'','','','','','',"ReplaceableTextures\\CommandButtons\\BTNTome.blp")</v>
      </c>
      <c r="CU104" s="45" t="str">
        <f t="shared" si="1401"/>
        <v>|n</v>
      </c>
      <c r="CV104" s="29" t="str">
        <f t="shared" si="1402"/>
        <v>境界挑战9</v>
      </c>
      <c r="CW104" s="24"/>
      <c r="CX104" s="24"/>
      <c r="CY104" s="24"/>
      <c r="CZ104" s="24"/>
      <c r="DA104" s="24"/>
      <c r="DB104" s="30" t="str">
        <f t="shared" si="1403"/>
        <v/>
      </c>
      <c r="DC104" s="30" t="str">
        <f t="shared" si="1404"/>
        <v/>
      </c>
      <c r="DD104" s="30" t="str">
        <f t="shared" si="1405"/>
        <v/>
      </c>
      <c r="DE104" s="30" t="str">
        <f t="shared" si="1406"/>
        <v/>
      </c>
      <c r="DF104" s="30" t="str">
        <f t="shared" si="1407"/>
        <v/>
      </c>
      <c r="DG104" s="30" t="str">
        <f t="shared" si="1408"/>
        <v/>
      </c>
      <c r="DH104" s="30" t="str">
        <f t="shared" si="1409"/>
        <v/>
      </c>
      <c r="DI104" s="30" t="str">
        <f t="shared" si="1410"/>
        <v/>
      </c>
      <c r="DJ104" s="30" t="str">
        <f t="shared" si="1411"/>
        <v/>
      </c>
      <c r="DK104" s="30" t="str">
        <f t="shared" si="1412"/>
        <v/>
      </c>
      <c r="DL104" s="30" t="str">
        <f t="shared" si="1413"/>
        <v/>
      </c>
      <c r="DM104" s="30" t="str">
        <f t="shared" si="1414"/>
        <v/>
      </c>
      <c r="DN104" s="30" t="str">
        <f t="shared" si="1415"/>
        <v/>
      </c>
      <c r="DO104" s="30" t="str">
        <f t="shared" si="1416"/>
        <v/>
      </c>
      <c r="DP104" s="30" t="str">
        <f t="shared" si="1417"/>
        <v/>
      </c>
      <c r="DQ104" s="30" t="str">
        <f t="shared" si="1418"/>
        <v/>
      </c>
      <c r="DR104" s="30" t="str">
        <f t="shared" si="1419"/>
        <v/>
      </c>
      <c r="DS104" s="30" t="str">
        <f t="shared" si="1420"/>
        <v/>
      </c>
      <c r="DT104" s="30" t="str">
        <f t="shared" si="1421"/>
        <v/>
      </c>
      <c r="DU104" s="30" t="str">
        <f t="shared" si="1422"/>
        <v/>
      </c>
      <c r="DV104" s="30" t="str">
        <f t="shared" si="1423"/>
        <v/>
      </c>
      <c r="DW104" s="30" t="str">
        <f t="shared" si="1424"/>
        <v/>
      </c>
      <c r="DX104" s="30" t="str">
        <f t="shared" si="1425"/>
        <v/>
      </c>
      <c r="DY104" s="30" t="str">
        <f t="shared" si="1426"/>
        <v/>
      </c>
      <c r="DZ104" s="30" t="str">
        <f t="shared" si="1427"/>
        <v/>
      </c>
      <c r="EA104" s="30" t="str">
        <f t="shared" si="1428"/>
        <v/>
      </c>
      <c r="EB104" s="30" t="str">
        <f t="shared" si="1429"/>
        <v/>
      </c>
      <c r="EC104" s="30" t="str">
        <f t="shared" si="1430"/>
        <v/>
      </c>
      <c r="ED104" s="30" t="str">
        <f t="shared" si="1431"/>
        <v/>
      </c>
      <c r="EE104" s="30" t="str">
        <f t="shared" si="1432"/>
        <v/>
      </c>
      <c r="EF104" s="30" t="str">
        <f t="shared" si="1433"/>
        <v/>
      </c>
      <c r="EG104" s="30" t="str">
        <f t="shared" si="1434"/>
        <v/>
      </c>
      <c r="EH104" s="30" t="str">
        <f t="shared" si="1435"/>
        <v/>
      </c>
      <c r="EI104" s="30" t="str">
        <f t="shared" si="1436"/>
        <v/>
      </c>
      <c r="EJ104" s="30" t="str">
        <f t="shared" si="1437"/>
        <v/>
      </c>
      <c r="EK104" s="30" t="str">
        <f t="shared" si="1438"/>
        <v/>
      </c>
      <c r="EL104" s="30" t="str">
        <f t="shared" si="1439"/>
        <v/>
      </c>
      <c r="EM104" s="30" t="str">
        <f t="shared" si="1440"/>
        <v/>
      </c>
      <c r="EN104" s="30" t="str">
        <f t="shared" si="1441"/>
        <v/>
      </c>
      <c r="EO104" s="30" t="str">
        <f t="shared" si="1442"/>
        <v/>
      </c>
      <c r="EP104" s="30" t="str">
        <f t="shared" si="1443"/>
        <v/>
      </c>
      <c r="EQ104" s="30" t="str">
        <f t="shared" si="1444"/>
        <v/>
      </c>
      <c r="ER104" s="30" t="str">
        <f t="shared" si="1445"/>
        <v/>
      </c>
      <c r="ES104" s="30" t="str">
        <f t="shared" si="1446"/>
        <v/>
      </c>
      <c r="ET104" s="30" t="str">
        <f t="shared" si="1447"/>
        <v/>
      </c>
      <c r="EU104" s="30" t="str">
        <f t="shared" si="1448"/>
        <v/>
      </c>
      <c r="EV104" s="30" t="str">
        <f t="shared" si="1449"/>
        <v/>
      </c>
      <c r="EW104" s="30" t="str">
        <f t="shared" si="1450"/>
        <v/>
      </c>
      <c r="EX104" s="30" t="str">
        <f t="shared" si="1451"/>
        <v/>
      </c>
      <c r="EY104" s="30" t="str">
        <f t="shared" si="1452"/>
        <v/>
      </c>
      <c r="EZ104" s="30" t="str">
        <f t="shared" si="1453"/>
        <v/>
      </c>
      <c r="FA104" s="30" t="str">
        <f t="shared" si="1454"/>
        <v/>
      </c>
      <c r="FB104" s="30" t="str">
        <f t="shared" si="1455"/>
        <v/>
      </c>
      <c r="FC104" s="30" t="str">
        <f t="shared" si="1456"/>
        <v/>
      </c>
      <c r="FD104" s="30" t="str">
        <f t="shared" si="1457"/>
        <v/>
      </c>
      <c r="FE104" s="30" t="str">
        <f t="shared" si="1458"/>
        <v/>
      </c>
      <c r="FF104" s="30" t="str">
        <f t="shared" si="1459"/>
        <v/>
      </c>
      <c r="FG104" s="30" t="str">
        <f t="shared" si="1460"/>
        <v/>
      </c>
      <c r="FH104" s="30" t="str">
        <f t="shared" si="1461"/>
        <v/>
      </c>
      <c r="FI104" s="30" t="str">
        <f t="shared" si="1462"/>
        <v/>
      </c>
      <c r="FJ104" s="30" t="str">
        <f t="shared" si="1463"/>
        <v/>
      </c>
      <c r="FK104" s="30" t="str">
        <f t="shared" si="1464"/>
        <v/>
      </c>
      <c r="FL104" s="30" t="str">
        <f t="shared" si="1465"/>
        <v/>
      </c>
      <c r="FM104" s="30" t="str">
        <f t="shared" si="1466"/>
        <v/>
      </c>
      <c r="FN104" s="30" t="str">
        <f t="shared" si="1467"/>
        <v/>
      </c>
      <c r="FO104" s="30" t="str">
        <f t="shared" si="1468"/>
        <v/>
      </c>
      <c r="FP104" s="30" t="str">
        <f t="shared" si="1469"/>
        <v/>
      </c>
      <c r="FQ104" s="30" t="str">
        <f t="shared" si="1470"/>
        <v/>
      </c>
      <c r="FR104" s="30" t="str">
        <f t="shared" si="1471"/>
        <v/>
      </c>
      <c r="FS104" s="30" t="str">
        <f t="shared" si="1472"/>
        <v/>
      </c>
    </row>
    <row r="105" spans="1:175" ht="16.5">
      <c r="A105" s="117"/>
      <c r="B105" s="111" t="s">
        <v>881</v>
      </c>
      <c r="C105" s="117" t="s">
        <v>882</v>
      </c>
      <c r="R105" s="25">
        <v>4814</v>
      </c>
      <c r="S105" s="25">
        <v>-8830</v>
      </c>
      <c r="T105" s="117" t="s">
        <v>882</v>
      </c>
      <c r="U105" s="37" t="s">
        <v>822</v>
      </c>
      <c r="CN105" s="7" t="str">
        <f t="shared" si="1396"/>
        <v>InitUnitState('IT10',,,,,,,,,,)</v>
      </c>
      <c r="CO105" s="7" t="str">
        <f t="shared" si="1397"/>
        <v>InitUnitNormal('IT10',,,,,,,,,,)</v>
      </c>
      <c r="CP105" s="7" t="str">
        <f t="shared" si="1398"/>
        <v>InitUnitMagic('IT10',,,,,,,,,,)</v>
      </c>
      <c r="CQ105" s="7" t="str">
        <f t="shared" si="1399"/>
        <v>InitUnitAdd('IT10',,,,,,,,,,)</v>
      </c>
      <c r="CR105" s="7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110&amp;CR$1&amp;")"</f>
        <v>InitEquipData('IT10',,"",,,,,'','','','','','',"ReplaceableTextures\\CommandButtons\\BTNTome.blp")</v>
      </c>
      <c r="CU105" s="45" t="str">
        <f t="shared" si="1401"/>
        <v>|n</v>
      </c>
      <c r="CV105" s="29" t="str">
        <f t="shared" si="1402"/>
        <v>境界挑战10</v>
      </c>
      <c r="CW105" s="24"/>
      <c r="CX105" s="24"/>
      <c r="CY105" s="24"/>
      <c r="CZ105" s="24"/>
      <c r="DA105" s="24"/>
      <c r="DB105" s="30" t="str">
        <f t="shared" si="1403"/>
        <v/>
      </c>
      <c r="DC105" s="30" t="str">
        <f t="shared" si="1404"/>
        <v/>
      </c>
      <c r="DD105" s="30" t="str">
        <f t="shared" si="1405"/>
        <v/>
      </c>
      <c r="DE105" s="30" t="str">
        <f t="shared" si="1406"/>
        <v/>
      </c>
      <c r="DF105" s="30" t="str">
        <f t="shared" si="1407"/>
        <v/>
      </c>
      <c r="DG105" s="30" t="str">
        <f t="shared" si="1408"/>
        <v/>
      </c>
      <c r="DH105" s="30" t="str">
        <f t="shared" si="1409"/>
        <v/>
      </c>
      <c r="DI105" s="30" t="str">
        <f t="shared" si="1410"/>
        <v/>
      </c>
      <c r="DJ105" s="30" t="str">
        <f t="shared" si="1411"/>
        <v/>
      </c>
      <c r="DK105" s="30" t="str">
        <f t="shared" si="1412"/>
        <v/>
      </c>
      <c r="DL105" s="30" t="str">
        <f t="shared" si="1413"/>
        <v/>
      </c>
      <c r="DM105" s="30" t="str">
        <f t="shared" si="1414"/>
        <v/>
      </c>
      <c r="DN105" s="30" t="str">
        <f t="shared" si="1415"/>
        <v/>
      </c>
      <c r="DO105" s="30" t="str">
        <f t="shared" si="1416"/>
        <v/>
      </c>
      <c r="DP105" s="30" t="str">
        <f t="shared" si="1417"/>
        <v/>
      </c>
      <c r="DQ105" s="30" t="str">
        <f t="shared" si="1418"/>
        <v/>
      </c>
      <c r="DR105" s="30" t="str">
        <f t="shared" si="1419"/>
        <v/>
      </c>
      <c r="DS105" s="30" t="str">
        <f t="shared" si="1420"/>
        <v/>
      </c>
      <c r="DT105" s="30" t="str">
        <f t="shared" si="1421"/>
        <v/>
      </c>
      <c r="DU105" s="30" t="str">
        <f t="shared" si="1422"/>
        <v/>
      </c>
      <c r="DV105" s="30" t="str">
        <f t="shared" si="1423"/>
        <v/>
      </c>
      <c r="DW105" s="30" t="str">
        <f t="shared" si="1424"/>
        <v/>
      </c>
      <c r="DX105" s="30" t="str">
        <f t="shared" si="1425"/>
        <v/>
      </c>
      <c r="DY105" s="30" t="str">
        <f t="shared" si="1426"/>
        <v/>
      </c>
      <c r="DZ105" s="30" t="str">
        <f t="shared" si="1427"/>
        <v/>
      </c>
      <c r="EA105" s="30" t="str">
        <f t="shared" si="1428"/>
        <v/>
      </c>
      <c r="EB105" s="30" t="str">
        <f t="shared" si="1429"/>
        <v/>
      </c>
      <c r="EC105" s="30" t="str">
        <f t="shared" si="1430"/>
        <v/>
      </c>
      <c r="ED105" s="30" t="str">
        <f t="shared" si="1431"/>
        <v/>
      </c>
      <c r="EE105" s="30" t="str">
        <f t="shared" si="1432"/>
        <v/>
      </c>
      <c r="EF105" s="30" t="str">
        <f t="shared" si="1433"/>
        <v/>
      </c>
      <c r="EG105" s="30" t="str">
        <f t="shared" si="1434"/>
        <v/>
      </c>
      <c r="EH105" s="30" t="str">
        <f t="shared" si="1435"/>
        <v/>
      </c>
      <c r="EI105" s="30" t="str">
        <f t="shared" si="1436"/>
        <v/>
      </c>
      <c r="EJ105" s="30" t="str">
        <f t="shared" si="1437"/>
        <v/>
      </c>
      <c r="EK105" s="30" t="str">
        <f t="shared" si="1438"/>
        <v/>
      </c>
      <c r="EL105" s="30" t="str">
        <f t="shared" si="1439"/>
        <v/>
      </c>
      <c r="EM105" s="30" t="str">
        <f t="shared" si="1440"/>
        <v/>
      </c>
      <c r="EN105" s="30" t="str">
        <f t="shared" si="1441"/>
        <v/>
      </c>
      <c r="EO105" s="30" t="str">
        <f t="shared" si="1442"/>
        <v/>
      </c>
      <c r="EP105" s="30" t="str">
        <f t="shared" si="1443"/>
        <v/>
      </c>
      <c r="EQ105" s="30" t="str">
        <f t="shared" si="1444"/>
        <v/>
      </c>
      <c r="ER105" s="30" t="str">
        <f t="shared" si="1445"/>
        <v/>
      </c>
      <c r="ES105" s="30" t="str">
        <f t="shared" si="1446"/>
        <v/>
      </c>
      <c r="ET105" s="30" t="str">
        <f t="shared" si="1447"/>
        <v/>
      </c>
      <c r="EU105" s="30" t="str">
        <f t="shared" si="1448"/>
        <v/>
      </c>
      <c r="EV105" s="30" t="str">
        <f t="shared" si="1449"/>
        <v/>
      </c>
      <c r="EW105" s="30" t="str">
        <f t="shared" si="1450"/>
        <v/>
      </c>
      <c r="EX105" s="30" t="str">
        <f t="shared" si="1451"/>
        <v/>
      </c>
      <c r="EY105" s="30" t="str">
        <f t="shared" si="1452"/>
        <v/>
      </c>
      <c r="EZ105" s="30" t="str">
        <f t="shared" si="1453"/>
        <v/>
      </c>
      <c r="FA105" s="30" t="str">
        <f t="shared" si="1454"/>
        <v/>
      </c>
      <c r="FB105" s="30" t="str">
        <f t="shared" si="1455"/>
        <v/>
      </c>
      <c r="FC105" s="30" t="str">
        <f t="shared" si="1456"/>
        <v/>
      </c>
      <c r="FD105" s="30" t="str">
        <f t="shared" si="1457"/>
        <v/>
      </c>
      <c r="FE105" s="30" t="str">
        <f t="shared" si="1458"/>
        <v/>
      </c>
      <c r="FF105" s="30" t="str">
        <f t="shared" si="1459"/>
        <v/>
      </c>
      <c r="FG105" s="30" t="str">
        <f t="shared" si="1460"/>
        <v/>
      </c>
      <c r="FH105" s="30" t="str">
        <f t="shared" si="1461"/>
        <v/>
      </c>
      <c r="FI105" s="30" t="str">
        <f t="shared" si="1462"/>
        <v/>
      </c>
      <c r="FJ105" s="30" t="str">
        <f t="shared" si="1463"/>
        <v/>
      </c>
      <c r="FK105" s="30" t="str">
        <f t="shared" si="1464"/>
        <v/>
      </c>
      <c r="FL105" s="30" t="str">
        <f t="shared" si="1465"/>
        <v/>
      </c>
      <c r="FM105" s="30" t="str">
        <f t="shared" si="1466"/>
        <v/>
      </c>
      <c r="FN105" s="30" t="str">
        <f t="shared" si="1467"/>
        <v/>
      </c>
      <c r="FO105" s="30" t="str">
        <f t="shared" si="1468"/>
        <v/>
      </c>
      <c r="FP105" s="30" t="str">
        <f t="shared" si="1469"/>
        <v/>
      </c>
      <c r="FQ105" s="30" t="str">
        <f t="shared" si="1470"/>
        <v/>
      </c>
      <c r="FR105" s="30" t="str">
        <f t="shared" si="1471"/>
        <v/>
      </c>
      <c r="FS105" s="30" t="str">
        <f t="shared" si="1472"/>
        <v/>
      </c>
    </row>
    <row r="106" spans="1:175" ht="16.5">
      <c r="A106" s="117" t="s">
        <v>919</v>
      </c>
      <c r="B106" s="111" t="s">
        <v>920</v>
      </c>
      <c r="C106" s="117" t="s">
        <v>924</v>
      </c>
      <c r="R106" s="25">
        <v>7429</v>
      </c>
      <c r="S106" s="25">
        <v>-8773</v>
      </c>
      <c r="T106" s="117" t="s">
        <v>924</v>
      </c>
      <c r="U106" s="37" t="s">
        <v>822</v>
      </c>
      <c r="CN106" s="7" t="str">
        <f t="shared" ref="CN106:CN108" si="1473">"InitUnitState('"&amp;B106&amp;"',"&amp;V106&amp;","&amp;W106&amp;","&amp;X106&amp;","&amp;Y106&amp;","&amp;Z106&amp;","&amp;AA106&amp;","&amp;AB106&amp;","&amp;AC106&amp;","&amp;AD106&amp;","&amp;AE106&amp;")"</f>
        <v>InitUnitState('IT11',,,,,,,,,,)</v>
      </c>
      <c r="CO106" s="7" t="str">
        <f t="shared" ref="CO106:CO108" si="1474">"InitUnitNormal('"&amp;B106&amp;"',"&amp;AF106&amp;","&amp;AG106&amp;","&amp;AH106&amp;","&amp;AI106&amp;","&amp;AJ106&amp;","&amp;AK106&amp;","&amp;AL106&amp;","&amp;AM106&amp;","&amp;AN106&amp;","&amp;AO106&amp;")"</f>
        <v>InitUnitNormal('IT11',,,,,,,,,,)</v>
      </c>
      <c r="CP106" s="7" t="str">
        <f t="shared" ref="CP106:CP108" si="1475">"InitUnitMagic('"&amp;B106&amp;"',"&amp;AP106&amp;","&amp;AQ106&amp;","&amp;AR106&amp;","&amp;AS106&amp;","&amp;AT106&amp;","&amp;AU106&amp;","&amp;AV106&amp;","&amp;AW106&amp;","&amp;BI106&amp;","&amp;BJ106&amp;")"</f>
        <v>InitUnitMagic('IT11',,,,,,,,,,)</v>
      </c>
      <c r="CQ106" s="7" t="str">
        <f t="shared" ref="CQ106:CQ108" si="1476">"InitUnitAdd('"&amp;B106&amp;"',"&amp;BK106&amp;","&amp;BL106&amp;","&amp;BM106&amp;","&amp;BN106&amp;","&amp;BO106&amp;","&amp;BP106&amp;","&amp;BQ106&amp;","&amp;BR106&amp;","&amp;BS106&amp;","&amp;BT106&amp;")"</f>
        <v>InitUnitAdd('IT11',,,,,,,,,,)</v>
      </c>
      <c r="CR106" s="7" t="str">
        <f t="shared" ref="CR106:CR107" si="1477"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InitEquipData('IT11',,".",,,,,'','','','','','',"ReplaceableTextures\\CommandButtons\\BTNTome.blp")</v>
      </c>
      <c r="CU106" s="45" t="str">
        <f t="shared" ref="CU106:CU108" si="1478">CONCATENATE(DB106,DC106,DD106,DE106,DF106,DG106,DH106,DI106,DJ106,DK106,DL106,DM106,DN106,DO106,DP106,DQ106,DR106,DS106,DT106,DU106,DV106,DW106,DX106,DY106,DZ106,EA106,EB106,EC106,ED106,EE106,EF106,EG106,EH106,EI106,EJ106,EK106,EL106,EM106,EN106,EO106,EP106&amp;"|n")</f>
        <v>|n</v>
      </c>
      <c r="CV106" s="29" t="str">
        <f t="shared" ref="CV106:CV108" si="1479">T106</f>
        <v>境界挑战11</v>
      </c>
      <c r="CW106" s="24"/>
      <c r="CX106" s="24"/>
      <c r="CY106" s="24"/>
      <c r="CZ106" s="24"/>
      <c r="DA106" s="24"/>
      <c r="DB106" s="30" t="str">
        <f t="shared" ref="DB106:DB108" si="1480">IF(V106="","","|n"&amp;DB$2&amp;"+"&amp;V106&amp;DB$1)</f>
        <v/>
      </c>
      <c r="DC106" s="30" t="str">
        <f t="shared" ref="DC106:DC108" si="1481">IF(W106="","","|n"&amp;DC$2&amp;"+"&amp;W106&amp;DC$1)</f>
        <v/>
      </c>
      <c r="DD106" s="30" t="str">
        <f t="shared" ref="DD106:DD108" si="1482">IF(X106="","","|n"&amp;DD$2&amp;"+"&amp;X106&amp;DD$1)</f>
        <v/>
      </c>
      <c r="DE106" s="30" t="str">
        <f t="shared" ref="DE106:DE108" si="1483">IF(Y106="","","|n"&amp;DE$2&amp;"+"&amp;Y106&amp;DE$1)</f>
        <v/>
      </c>
      <c r="DF106" s="30" t="str">
        <f t="shared" ref="DF106:DF108" si="1484">IF(Z106="","","|n"&amp;DF$2&amp;"+"&amp;Z106&amp;DF$1)</f>
        <v/>
      </c>
      <c r="DG106" s="30" t="str">
        <f t="shared" ref="DG106:DG108" si="1485">IF(AA106="","","|n"&amp;DG$2&amp;"+"&amp;AA106&amp;DG$1)</f>
        <v/>
      </c>
      <c r="DH106" s="30" t="str">
        <f t="shared" ref="DH106:DH108" si="1486">IF(AB106="","","|n"&amp;DH$2&amp;"+"&amp;AB106&amp;DH$1)</f>
        <v/>
      </c>
      <c r="DI106" s="30" t="str">
        <f t="shared" ref="DI106:DI108" si="1487">IF(AC106="","","|n"&amp;DI$2&amp;"+"&amp;AC106&amp;DI$1)</f>
        <v/>
      </c>
      <c r="DJ106" s="30" t="str">
        <f t="shared" ref="DJ106:DJ108" si="1488">IF(AD106="","","|n"&amp;DJ$2&amp;"+"&amp;AD106&amp;DJ$1)</f>
        <v/>
      </c>
      <c r="DK106" s="30" t="str">
        <f t="shared" ref="DK106:DK108" si="1489">IF(AE106="","","|n"&amp;DK$2&amp;"+"&amp;AE106&amp;DK$1)</f>
        <v/>
      </c>
      <c r="DL106" s="30" t="str">
        <f t="shared" ref="DL106:DL108" si="1490">IF(AF106="","","|n"&amp;DL$2&amp;"+"&amp;AF106&amp;DL$1)</f>
        <v/>
      </c>
      <c r="DM106" s="30" t="str">
        <f t="shared" ref="DM106:DM108" si="1491">IF(AG106="","","|n"&amp;DM$2&amp;"+"&amp;AG106&amp;DM$1)</f>
        <v/>
      </c>
      <c r="DN106" s="30" t="str">
        <f t="shared" ref="DN106:DN108" si="1492">IF(AH106="","","|n"&amp;DN$2&amp;"+"&amp;AH106&amp;DN$1)</f>
        <v/>
      </c>
      <c r="DO106" s="30" t="str">
        <f t="shared" ref="DO106:DO108" si="1493">IF(AI106="","","|n"&amp;DO$2&amp;"+"&amp;AI106&amp;DO$1)</f>
        <v/>
      </c>
      <c r="DP106" s="30" t="str">
        <f t="shared" ref="DP106:DP108" si="1494">IF(AJ106="","","|n"&amp;DP$2&amp;"+"&amp;AJ106&amp;DP$1)</f>
        <v/>
      </c>
      <c r="DQ106" s="30" t="str">
        <f t="shared" ref="DQ106:DQ108" si="1495">IF(AK106="","","|n"&amp;DQ$2&amp;"+"&amp;AK106&amp;DQ$1)</f>
        <v/>
      </c>
      <c r="DR106" s="30" t="str">
        <f t="shared" ref="DR106:DR108" si="1496">IF(AL106="","","|n"&amp;DR$2&amp;"+"&amp;AL106&amp;DR$1)</f>
        <v/>
      </c>
      <c r="DS106" s="30" t="str">
        <f t="shared" ref="DS106:DS108" si="1497">IF(AM106="","","|n"&amp;DS$2&amp;"+"&amp;AM106&amp;DS$1)</f>
        <v/>
      </c>
      <c r="DT106" s="30" t="str">
        <f t="shared" ref="DT106:DT108" si="1498">IF(AN106="","","|n"&amp;DT$2&amp;"+"&amp;AN106&amp;DT$1)</f>
        <v/>
      </c>
      <c r="DU106" s="30" t="str">
        <f t="shared" ref="DU106:DU108" si="1499">IF(AO106="","","|n"&amp;DU$2&amp;"+"&amp;AO106&amp;DU$1)</f>
        <v/>
      </c>
      <c r="DV106" s="30" t="str">
        <f t="shared" ref="DV106:DV108" si="1500">IF(AP106="","","|n"&amp;DV$2&amp;"+"&amp;AP106&amp;DV$1)</f>
        <v/>
      </c>
      <c r="DW106" s="30" t="str">
        <f t="shared" ref="DW106:DW108" si="1501">IF(AQ106="","","|n"&amp;DW$2&amp;"+"&amp;AQ106&amp;DW$1)</f>
        <v/>
      </c>
      <c r="DX106" s="30" t="str">
        <f t="shared" ref="DX106:DX108" si="1502">IF(AR106="","","|n"&amp;DX$2&amp;"+"&amp;AR106&amp;DX$1)</f>
        <v/>
      </c>
      <c r="DY106" s="30" t="str">
        <f t="shared" ref="DY106:DY108" si="1503">IF(AS106="","","|n"&amp;DY$2&amp;"+"&amp;AS106&amp;DY$1)</f>
        <v/>
      </c>
      <c r="DZ106" s="30" t="str">
        <f t="shared" ref="DZ106:DZ108" si="1504">IF(AT106="","","|n"&amp;DZ$2&amp;"+"&amp;AT106&amp;DZ$1)</f>
        <v/>
      </c>
      <c r="EA106" s="30" t="str">
        <f t="shared" ref="EA106:EA108" si="1505">IF(AU106="","","|n"&amp;EA$2&amp;"+"&amp;AU106&amp;EA$1)</f>
        <v/>
      </c>
      <c r="EB106" s="30" t="str">
        <f t="shared" ref="EB106:EB108" si="1506">IF(AV106="","","|n"&amp;EB$2&amp;"+"&amp;AV106&amp;EB$1)</f>
        <v/>
      </c>
      <c r="EC106" s="30" t="str">
        <f t="shared" ref="EC106:EC108" si="1507">IF(AW106="","","|n"&amp;EC$2&amp;"+"&amp;AW106&amp;EC$1)</f>
        <v/>
      </c>
      <c r="ED106" s="30" t="str">
        <f t="shared" ref="ED106:ED108" si="1508">IF(AX106="","","|n"&amp;ED$2&amp;"+"&amp;AX106&amp;ED$1)</f>
        <v/>
      </c>
      <c r="EE106" s="30" t="str">
        <f t="shared" ref="EE106:EE108" si="1509">IF(AY106="","","|n"&amp;EE$2&amp;"+"&amp;AY106&amp;EE$1)</f>
        <v/>
      </c>
      <c r="EF106" s="30" t="str">
        <f t="shared" ref="EF106:EF108" si="1510">IF(AZ106="","","|n"&amp;EF$2&amp;"+"&amp;AZ106&amp;EF$1)</f>
        <v/>
      </c>
      <c r="EG106" s="30" t="str">
        <f t="shared" ref="EG106:EG108" si="1511">IF(BA106="","","|n"&amp;EG$2&amp;"+"&amp;BA106&amp;EG$1)</f>
        <v/>
      </c>
      <c r="EH106" s="30" t="str">
        <f t="shared" ref="EH106:EH108" si="1512">IF(BB106="","","|n"&amp;EH$2&amp;"+"&amp;BB106&amp;EH$1)</f>
        <v/>
      </c>
      <c r="EI106" s="30" t="str">
        <f t="shared" ref="EI106:EI108" si="1513">IF(BC106="","","|n"&amp;EI$2&amp;"+"&amp;BC106&amp;EI$1)</f>
        <v/>
      </c>
      <c r="EJ106" s="30" t="str">
        <f t="shared" ref="EJ106:EJ108" si="1514">IF(BD106="","","|n"&amp;EJ$2&amp;"+"&amp;BD106&amp;EJ$1)</f>
        <v/>
      </c>
      <c r="EK106" s="30" t="str">
        <f t="shared" ref="EK106:EK108" si="1515">IF(BE106="","","|n"&amp;EK$2&amp;"+"&amp;BE106&amp;EK$1)</f>
        <v/>
      </c>
      <c r="EL106" s="30" t="str">
        <f t="shared" ref="EL106:EL108" si="1516">IF(BF106="","","|n"&amp;EL$2&amp;"+"&amp;BF106&amp;EL$1)</f>
        <v/>
      </c>
      <c r="EM106" s="30" t="str">
        <f t="shared" ref="EM106:EM108" si="1517">IF(BG106="","","|n"&amp;EM$2&amp;"+"&amp;BG106&amp;EM$1)</f>
        <v/>
      </c>
      <c r="EN106" s="30" t="str">
        <f t="shared" ref="EN106:EN108" si="1518">IF(BH106="","","|n"&amp;EN$2&amp;"+"&amp;BH106&amp;EN$1)</f>
        <v/>
      </c>
      <c r="EO106" s="30" t="str">
        <f t="shared" ref="EO106:EO108" si="1519">IF(BI106="","","|n"&amp;EO$2&amp;"+"&amp;BI106&amp;EO$1)</f>
        <v/>
      </c>
      <c r="EP106" s="30" t="str">
        <f t="shared" ref="EP106:EP108" si="1520">IF(BJ106="","","|n"&amp;EP$2&amp;"+"&amp;BJ106&amp;EP$1)</f>
        <v/>
      </c>
      <c r="EQ106" s="30" t="str">
        <f t="shared" ref="EQ106:EQ108" si="1521">IF(BK106="","","|n"&amp;EQ$2&amp;"+"&amp;BK106&amp;EQ$1)</f>
        <v/>
      </c>
      <c r="ER106" s="30" t="str">
        <f t="shared" ref="ER106:ER108" si="1522">IF(BL106="","","|n"&amp;ER$2&amp;"+"&amp;BL106&amp;ER$1)</f>
        <v/>
      </c>
      <c r="ES106" s="30" t="str">
        <f t="shared" ref="ES106:ES108" si="1523">IF(BM106="","","|n"&amp;ES$2&amp;"+"&amp;BM106&amp;ES$1)</f>
        <v/>
      </c>
      <c r="ET106" s="30" t="str">
        <f t="shared" ref="ET106:ET108" si="1524">IF(BN106="","","|n"&amp;ET$2&amp;"+"&amp;BN106&amp;ET$1)</f>
        <v/>
      </c>
      <c r="EU106" s="30" t="str">
        <f t="shared" ref="EU106:EU108" si="1525">IF(BO106="","","|n"&amp;EU$2&amp;"+"&amp;BO106&amp;EU$1)</f>
        <v/>
      </c>
      <c r="EV106" s="30" t="str">
        <f t="shared" ref="EV106:EV108" si="1526">IF(BP106="","","|n"&amp;EV$2&amp;"+"&amp;BP106&amp;EV$1)</f>
        <v/>
      </c>
      <c r="EW106" s="30" t="str">
        <f t="shared" ref="EW106:EW108" si="1527">IF(BQ106="","","|n"&amp;EW$2&amp;"+"&amp;BQ106&amp;EW$1)</f>
        <v/>
      </c>
      <c r="EX106" s="30" t="str">
        <f t="shared" ref="EX106:EX108" si="1528">IF(BR106="","","|n"&amp;EX$2&amp;"+"&amp;BR106&amp;EX$1)</f>
        <v/>
      </c>
      <c r="EY106" s="30" t="str">
        <f t="shared" ref="EY106:EY108" si="1529">IF(BS106="","","|n"&amp;EY$2&amp;"+"&amp;BS106&amp;EY$1)</f>
        <v/>
      </c>
      <c r="EZ106" s="30" t="str">
        <f t="shared" ref="EZ106:EZ108" si="1530">IF(BT106="","","|n"&amp;EZ$2&amp;"+"&amp;BT106&amp;EZ$1)</f>
        <v/>
      </c>
      <c r="FA106" s="30" t="str">
        <f t="shared" ref="FA106:FA108" si="1531">IF(BU106="","","|n"&amp;FA$2&amp;"+"&amp;BU106&amp;FA$1)</f>
        <v/>
      </c>
      <c r="FB106" s="30" t="str">
        <f t="shared" ref="FB106:FB108" si="1532">IF(BV106="","","|n"&amp;FB$2&amp;"+"&amp;BV106&amp;FB$1)</f>
        <v/>
      </c>
      <c r="FC106" s="30" t="str">
        <f t="shared" ref="FC106:FC108" si="1533">IF(BW106="","","|n"&amp;FC$2&amp;"+"&amp;BW106&amp;FC$1)</f>
        <v/>
      </c>
      <c r="FD106" s="30" t="str">
        <f t="shared" ref="FD106:FD108" si="1534">IF(BX106="","","|n"&amp;FD$2&amp;"+"&amp;BX106&amp;FD$1)</f>
        <v/>
      </c>
      <c r="FE106" s="30" t="str">
        <f t="shared" ref="FE106:FE108" si="1535">IF(BY106="","","|n"&amp;FE$2&amp;"+"&amp;BY106&amp;FE$1)</f>
        <v/>
      </c>
      <c r="FF106" s="30" t="str">
        <f t="shared" ref="FF106:FF108" si="1536">IF(BZ106="","","|n"&amp;FF$2&amp;"+"&amp;BZ106&amp;FF$1)</f>
        <v/>
      </c>
      <c r="FG106" s="30" t="str">
        <f t="shared" ref="FG106:FG108" si="1537">IF(CA106="","","|n"&amp;FG$2&amp;"+"&amp;CA106&amp;FG$1)</f>
        <v/>
      </c>
      <c r="FH106" s="30" t="str">
        <f t="shared" ref="FH106:FH108" si="1538">IF(CB106="","","|n"&amp;FH$2&amp;"+"&amp;CB106&amp;FH$1)</f>
        <v/>
      </c>
      <c r="FI106" s="30" t="str">
        <f t="shared" ref="FI106:FI108" si="1539">IF(CC106="","","|n"&amp;FI$2&amp;"+"&amp;CC106&amp;FI$1)</f>
        <v/>
      </c>
      <c r="FJ106" s="30" t="str">
        <f t="shared" ref="FJ106:FJ108" si="1540">IF(CD106="","","|n"&amp;FJ$2&amp;"+"&amp;CD106&amp;FJ$1)</f>
        <v/>
      </c>
      <c r="FK106" s="30" t="str">
        <f t="shared" ref="FK106:FK108" si="1541">IF(CE106="","","|n"&amp;FK$2&amp;"+"&amp;CE106&amp;FK$1)</f>
        <v/>
      </c>
      <c r="FL106" s="30" t="str">
        <f t="shared" ref="FL106:FL108" si="1542">IF(CF106="","","|n"&amp;FL$2&amp;"+"&amp;CF106&amp;FL$1)</f>
        <v/>
      </c>
      <c r="FM106" s="30" t="str">
        <f t="shared" ref="FM106:FM108" si="1543">IF(CG106="","","|n"&amp;FM$2&amp;"+"&amp;CG106&amp;FM$1)</f>
        <v/>
      </c>
      <c r="FN106" s="30" t="str">
        <f t="shared" ref="FN106:FN108" si="1544">IF(CH106="","","|n"&amp;FN$2&amp;"+"&amp;CH106&amp;FN$1)</f>
        <v/>
      </c>
      <c r="FO106" s="30" t="str">
        <f t="shared" ref="FO106:FO108" si="1545">IF(CI106="","","|n"&amp;FO$2&amp;"+"&amp;CI106&amp;FO$1)</f>
        <v/>
      </c>
      <c r="FP106" s="30" t="str">
        <f t="shared" ref="FP106:FP108" si="1546">IF(CJ106="","","|n"&amp;FP$2&amp;"+"&amp;CJ106&amp;FP$1)</f>
        <v/>
      </c>
      <c r="FQ106" s="30" t="str">
        <f t="shared" ref="FQ106:FQ108" si="1547">IF(CK106="","","|n"&amp;FQ$2&amp;"+"&amp;CK106&amp;FQ$1)</f>
        <v/>
      </c>
      <c r="FR106" s="30" t="str">
        <f t="shared" ref="FR106:FR108" si="1548">IF(CL106="","","|n"&amp;FR$2&amp;"+"&amp;CL106&amp;FR$1)</f>
        <v/>
      </c>
      <c r="FS106" s="30" t="str">
        <f t="shared" ref="FS106:FS108" si="1549">IF(CM106="","","|n"&amp;FS$2&amp;"+"&amp;CM106&amp;FS$1)</f>
        <v/>
      </c>
    </row>
    <row r="107" spans="1:175" ht="16.5">
      <c r="A107" s="117"/>
      <c r="B107" s="111" t="s">
        <v>921</v>
      </c>
      <c r="C107" s="117" t="s">
        <v>925</v>
      </c>
      <c r="R107" s="25">
        <v>1840</v>
      </c>
      <c r="S107" s="25">
        <v>-5224</v>
      </c>
      <c r="T107" s="117" t="s">
        <v>925</v>
      </c>
      <c r="U107" s="37" t="s">
        <v>822</v>
      </c>
      <c r="CN107" s="7" t="str">
        <f t="shared" si="1473"/>
        <v>InitUnitState('IT12',,,,,,,,,,)</v>
      </c>
      <c r="CO107" s="7" t="str">
        <f t="shared" si="1474"/>
        <v>InitUnitNormal('IT12',,,,,,,,,,)</v>
      </c>
      <c r="CP107" s="7" t="str">
        <f t="shared" si="1475"/>
        <v>InitUnitMagic('IT12',,,,,,,,,,)</v>
      </c>
      <c r="CQ107" s="7" t="str">
        <f t="shared" si="1476"/>
        <v>InitUnitAdd('IT12',,,,,,,,,,)</v>
      </c>
      <c r="CR107" s="7" t="str">
        <f t="shared" si="1477"/>
        <v>InitEquipData('IT12',,"",,,,,'','','','','','',"ReplaceableTextures\\CommandButtons\\BTNTome.blp")</v>
      </c>
      <c r="CU107" s="45" t="str">
        <f t="shared" si="1478"/>
        <v>|n</v>
      </c>
      <c r="CV107" s="29" t="str">
        <f t="shared" si="1479"/>
        <v>境界挑战12</v>
      </c>
      <c r="CW107" s="24"/>
      <c r="CX107" s="24"/>
      <c r="CY107" s="24"/>
      <c r="CZ107" s="24"/>
      <c r="DA107" s="24"/>
      <c r="DB107" s="30" t="str">
        <f t="shared" si="1480"/>
        <v/>
      </c>
      <c r="DC107" s="30" t="str">
        <f t="shared" si="1481"/>
        <v/>
      </c>
      <c r="DD107" s="30" t="str">
        <f t="shared" si="1482"/>
        <v/>
      </c>
      <c r="DE107" s="30" t="str">
        <f t="shared" si="1483"/>
        <v/>
      </c>
      <c r="DF107" s="30" t="str">
        <f t="shared" si="1484"/>
        <v/>
      </c>
      <c r="DG107" s="30" t="str">
        <f t="shared" si="1485"/>
        <v/>
      </c>
      <c r="DH107" s="30" t="str">
        <f t="shared" si="1486"/>
        <v/>
      </c>
      <c r="DI107" s="30" t="str">
        <f t="shared" si="1487"/>
        <v/>
      </c>
      <c r="DJ107" s="30" t="str">
        <f t="shared" si="1488"/>
        <v/>
      </c>
      <c r="DK107" s="30" t="str">
        <f t="shared" si="1489"/>
        <v/>
      </c>
      <c r="DL107" s="30" t="str">
        <f t="shared" si="1490"/>
        <v/>
      </c>
      <c r="DM107" s="30" t="str">
        <f t="shared" si="1491"/>
        <v/>
      </c>
      <c r="DN107" s="30" t="str">
        <f t="shared" si="1492"/>
        <v/>
      </c>
      <c r="DO107" s="30" t="str">
        <f t="shared" si="1493"/>
        <v/>
      </c>
      <c r="DP107" s="30" t="str">
        <f t="shared" si="1494"/>
        <v/>
      </c>
      <c r="DQ107" s="30" t="str">
        <f t="shared" si="1495"/>
        <v/>
      </c>
      <c r="DR107" s="30" t="str">
        <f t="shared" si="1496"/>
        <v/>
      </c>
      <c r="DS107" s="30" t="str">
        <f t="shared" si="1497"/>
        <v/>
      </c>
      <c r="DT107" s="30" t="str">
        <f t="shared" si="1498"/>
        <v/>
      </c>
      <c r="DU107" s="30" t="str">
        <f t="shared" si="1499"/>
        <v/>
      </c>
      <c r="DV107" s="30" t="str">
        <f t="shared" si="1500"/>
        <v/>
      </c>
      <c r="DW107" s="30" t="str">
        <f t="shared" si="1501"/>
        <v/>
      </c>
      <c r="DX107" s="30" t="str">
        <f t="shared" si="1502"/>
        <v/>
      </c>
      <c r="DY107" s="30" t="str">
        <f t="shared" si="1503"/>
        <v/>
      </c>
      <c r="DZ107" s="30" t="str">
        <f t="shared" si="1504"/>
        <v/>
      </c>
      <c r="EA107" s="30" t="str">
        <f t="shared" si="1505"/>
        <v/>
      </c>
      <c r="EB107" s="30" t="str">
        <f t="shared" si="1506"/>
        <v/>
      </c>
      <c r="EC107" s="30" t="str">
        <f t="shared" si="1507"/>
        <v/>
      </c>
      <c r="ED107" s="30" t="str">
        <f t="shared" si="1508"/>
        <v/>
      </c>
      <c r="EE107" s="30" t="str">
        <f t="shared" si="1509"/>
        <v/>
      </c>
      <c r="EF107" s="30" t="str">
        <f t="shared" si="1510"/>
        <v/>
      </c>
      <c r="EG107" s="30" t="str">
        <f t="shared" si="1511"/>
        <v/>
      </c>
      <c r="EH107" s="30" t="str">
        <f t="shared" si="1512"/>
        <v/>
      </c>
      <c r="EI107" s="30" t="str">
        <f t="shared" si="1513"/>
        <v/>
      </c>
      <c r="EJ107" s="30" t="str">
        <f t="shared" si="1514"/>
        <v/>
      </c>
      <c r="EK107" s="30" t="str">
        <f t="shared" si="1515"/>
        <v/>
      </c>
      <c r="EL107" s="30" t="str">
        <f t="shared" si="1516"/>
        <v/>
      </c>
      <c r="EM107" s="30" t="str">
        <f t="shared" si="1517"/>
        <v/>
      </c>
      <c r="EN107" s="30" t="str">
        <f t="shared" si="1518"/>
        <v/>
      </c>
      <c r="EO107" s="30" t="str">
        <f t="shared" si="1519"/>
        <v/>
      </c>
      <c r="EP107" s="30" t="str">
        <f t="shared" si="1520"/>
        <v/>
      </c>
      <c r="EQ107" s="30" t="str">
        <f t="shared" si="1521"/>
        <v/>
      </c>
      <c r="ER107" s="30" t="str">
        <f t="shared" si="1522"/>
        <v/>
      </c>
      <c r="ES107" s="30" t="str">
        <f t="shared" si="1523"/>
        <v/>
      </c>
      <c r="ET107" s="30" t="str">
        <f t="shared" si="1524"/>
        <v/>
      </c>
      <c r="EU107" s="30" t="str">
        <f t="shared" si="1525"/>
        <v/>
      </c>
      <c r="EV107" s="30" t="str">
        <f t="shared" si="1526"/>
        <v/>
      </c>
      <c r="EW107" s="30" t="str">
        <f t="shared" si="1527"/>
        <v/>
      </c>
      <c r="EX107" s="30" t="str">
        <f t="shared" si="1528"/>
        <v/>
      </c>
      <c r="EY107" s="30" t="str">
        <f t="shared" si="1529"/>
        <v/>
      </c>
      <c r="EZ107" s="30" t="str">
        <f t="shared" si="1530"/>
        <v/>
      </c>
      <c r="FA107" s="30" t="str">
        <f t="shared" si="1531"/>
        <v/>
      </c>
      <c r="FB107" s="30" t="str">
        <f t="shared" si="1532"/>
        <v/>
      </c>
      <c r="FC107" s="30" t="str">
        <f t="shared" si="1533"/>
        <v/>
      </c>
      <c r="FD107" s="30" t="str">
        <f t="shared" si="1534"/>
        <v/>
      </c>
      <c r="FE107" s="30" t="str">
        <f t="shared" si="1535"/>
        <v/>
      </c>
      <c r="FF107" s="30" t="str">
        <f t="shared" si="1536"/>
        <v/>
      </c>
      <c r="FG107" s="30" t="str">
        <f t="shared" si="1537"/>
        <v/>
      </c>
      <c r="FH107" s="30" t="str">
        <f t="shared" si="1538"/>
        <v/>
      </c>
      <c r="FI107" s="30" t="str">
        <f t="shared" si="1539"/>
        <v/>
      </c>
      <c r="FJ107" s="30" t="str">
        <f t="shared" si="1540"/>
        <v/>
      </c>
      <c r="FK107" s="30" t="str">
        <f t="shared" si="1541"/>
        <v/>
      </c>
      <c r="FL107" s="30" t="str">
        <f t="shared" si="1542"/>
        <v/>
      </c>
      <c r="FM107" s="30" t="str">
        <f t="shared" si="1543"/>
        <v/>
      </c>
      <c r="FN107" s="30" t="str">
        <f t="shared" si="1544"/>
        <v/>
      </c>
      <c r="FO107" s="30" t="str">
        <f t="shared" si="1545"/>
        <v/>
      </c>
      <c r="FP107" s="30" t="str">
        <f t="shared" si="1546"/>
        <v/>
      </c>
      <c r="FQ107" s="30" t="str">
        <f t="shared" si="1547"/>
        <v/>
      </c>
      <c r="FR107" s="30" t="str">
        <f t="shared" si="1548"/>
        <v/>
      </c>
      <c r="FS107" s="30" t="str">
        <f t="shared" si="1549"/>
        <v/>
      </c>
    </row>
    <row r="108" spans="1:175" ht="16.5">
      <c r="A108" s="117"/>
      <c r="B108" s="111" t="s">
        <v>922</v>
      </c>
      <c r="C108" s="117" t="s">
        <v>926</v>
      </c>
      <c r="R108" s="25">
        <v>4398</v>
      </c>
      <c r="S108" s="25">
        <v>-5206</v>
      </c>
      <c r="T108" s="117" t="s">
        <v>926</v>
      </c>
      <c r="U108" s="37" t="s">
        <v>822</v>
      </c>
      <c r="CN108" s="7" t="str">
        <f t="shared" si="1473"/>
        <v>InitUnitState('IT13',,,,,,,,,,)</v>
      </c>
      <c r="CO108" s="7" t="str">
        <f t="shared" si="1474"/>
        <v>InitUnitNormal('IT13',,,,,,,,,,)</v>
      </c>
      <c r="CP108" s="7" t="str">
        <f t="shared" si="1475"/>
        <v>InitUnitMagic('IT13',,,,,,,,,,)</v>
      </c>
      <c r="CQ108" s="7" t="str">
        <f t="shared" si="1476"/>
        <v>InitUnitAdd('IT13',,,,,,,,,,)</v>
      </c>
      <c r="CR108" s="7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InitEquipData('IT13',,"",,,,,'','','','','','',"ReplaceableTextures\\CommandButtons\\BTNTome.blp")</v>
      </c>
      <c r="CU108" s="45" t="str">
        <f t="shared" si="1478"/>
        <v>|n</v>
      </c>
      <c r="CV108" s="29" t="str">
        <f t="shared" si="1479"/>
        <v>境界挑战13</v>
      </c>
      <c r="CW108" s="24"/>
      <c r="CX108" s="24"/>
      <c r="CY108" s="24"/>
      <c r="CZ108" s="24"/>
      <c r="DA108" s="24"/>
      <c r="DB108" s="30" t="str">
        <f t="shared" si="1480"/>
        <v/>
      </c>
      <c r="DC108" s="30" t="str">
        <f t="shared" si="1481"/>
        <v/>
      </c>
      <c r="DD108" s="30" t="str">
        <f t="shared" si="1482"/>
        <v/>
      </c>
      <c r="DE108" s="30" t="str">
        <f t="shared" si="1483"/>
        <v/>
      </c>
      <c r="DF108" s="30" t="str">
        <f t="shared" si="1484"/>
        <v/>
      </c>
      <c r="DG108" s="30" t="str">
        <f t="shared" si="1485"/>
        <v/>
      </c>
      <c r="DH108" s="30" t="str">
        <f t="shared" si="1486"/>
        <v/>
      </c>
      <c r="DI108" s="30" t="str">
        <f t="shared" si="1487"/>
        <v/>
      </c>
      <c r="DJ108" s="30" t="str">
        <f t="shared" si="1488"/>
        <v/>
      </c>
      <c r="DK108" s="30" t="str">
        <f t="shared" si="1489"/>
        <v/>
      </c>
      <c r="DL108" s="30" t="str">
        <f t="shared" si="1490"/>
        <v/>
      </c>
      <c r="DM108" s="30" t="str">
        <f t="shared" si="1491"/>
        <v/>
      </c>
      <c r="DN108" s="30" t="str">
        <f t="shared" si="1492"/>
        <v/>
      </c>
      <c r="DO108" s="30" t="str">
        <f t="shared" si="1493"/>
        <v/>
      </c>
      <c r="DP108" s="30" t="str">
        <f t="shared" si="1494"/>
        <v/>
      </c>
      <c r="DQ108" s="30" t="str">
        <f t="shared" si="1495"/>
        <v/>
      </c>
      <c r="DR108" s="30" t="str">
        <f t="shared" si="1496"/>
        <v/>
      </c>
      <c r="DS108" s="30" t="str">
        <f t="shared" si="1497"/>
        <v/>
      </c>
      <c r="DT108" s="30" t="str">
        <f t="shared" si="1498"/>
        <v/>
      </c>
      <c r="DU108" s="30" t="str">
        <f t="shared" si="1499"/>
        <v/>
      </c>
      <c r="DV108" s="30" t="str">
        <f t="shared" si="1500"/>
        <v/>
      </c>
      <c r="DW108" s="30" t="str">
        <f t="shared" si="1501"/>
        <v/>
      </c>
      <c r="DX108" s="30" t="str">
        <f t="shared" si="1502"/>
        <v/>
      </c>
      <c r="DY108" s="30" t="str">
        <f t="shared" si="1503"/>
        <v/>
      </c>
      <c r="DZ108" s="30" t="str">
        <f t="shared" si="1504"/>
        <v/>
      </c>
      <c r="EA108" s="30" t="str">
        <f t="shared" si="1505"/>
        <v/>
      </c>
      <c r="EB108" s="30" t="str">
        <f t="shared" si="1506"/>
        <v/>
      </c>
      <c r="EC108" s="30" t="str">
        <f t="shared" si="1507"/>
        <v/>
      </c>
      <c r="ED108" s="30" t="str">
        <f t="shared" si="1508"/>
        <v/>
      </c>
      <c r="EE108" s="30" t="str">
        <f t="shared" si="1509"/>
        <v/>
      </c>
      <c r="EF108" s="30" t="str">
        <f t="shared" si="1510"/>
        <v/>
      </c>
      <c r="EG108" s="30" t="str">
        <f t="shared" si="1511"/>
        <v/>
      </c>
      <c r="EH108" s="30" t="str">
        <f t="shared" si="1512"/>
        <v/>
      </c>
      <c r="EI108" s="30" t="str">
        <f t="shared" si="1513"/>
        <v/>
      </c>
      <c r="EJ108" s="30" t="str">
        <f t="shared" si="1514"/>
        <v/>
      </c>
      <c r="EK108" s="30" t="str">
        <f t="shared" si="1515"/>
        <v/>
      </c>
      <c r="EL108" s="30" t="str">
        <f t="shared" si="1516"/>
        <v/>
      </c>
      <c r="EM108" s="30" t="str">
        <f t="shared" si="1517"/>
        <v/>
      </c>
      <c r="EN108" s="30" t="str">
        <f t="shared" si="1518"/>
        <v/>
      </c>
      <c r="EO108" s="30" t="str">
        <f t="shared" si="1519"/>
        <v/>
      </c>
      <c r="EP108" s="30" t="str">
        <f t="shared" si="1520"/>
        <v/>
      </c>
      <c r="EQ108" s="30" t="str">
        <f t="shared" si="1521"/>
        <v/>
      </c>
      <c r="ER108" s="30" t="str">
        <f t="shared" si="1522"/>
        <v/>
      </c>
      <c r="ES108" s="30" t="str">
        <f t="shared" si="1523"/>
        <v/>
      </c>
      <c r="ET108" s="30" t="str">
        <f t="shared" si="1524"/>
        <v/>
      </c>
      <c r="EU108" s="30" t="str">
        <f t="shared" si="1525"/>
        <v/>
      </c>
      <c r="EV108" s="30" t="str">
        <f t="shared" si="1526"/>
        <v/>
      </c>
      <c r="EW108" s="30" t="str">
        <f t="shared" si="1527"/>
        <v/>
      </c>
      <c r="EX108" s="30" t="str">
        <f t="shared" si="1528"/>
        <v/>
      </c>
      <c r="EY108" s="30" t="str">
        <f t="shared" si="1529"/>
        <v/>
      </c>
      <c r="EZ108" s="30" t="str">
        <f t="shared" si="1530"/>
        <v/>
      </c>
      <c r="FA108" s="30" t="str">
        <f t="shared" si="1531"/>
        <v/>
      </c>
      <c r="FB108" s="30" t="str">
        <f t="shared" si="1532"/>
        <v/>
      </c>
      <c r="FC108" s="30" t="str">
        <f t="shared" si="1533"/>
        <v/>
      </c>
      <c r="FD108" s="30" t="str">
        <f t="shared" si="1534"/>
        <v/>
      </c>
      <c r="FE108" s="30" t="str">
        <f t="shared" si="1535"/>
        <v/>
      </c>
      <c r="FF108" s="30" t="str">
        <f t="shared" si="1536"/>
        <v/>
      </c>
      <c r="FG108" s="30" t="str">
        <f t="shared" si="1537"/>
        <v/>
      </c>
      <c r="FH108" s="30" t="str">
        <f t="shared" si="1538"/>
        <v/>
      </c>
      <c r="FI108" s="30" t="str">
        <f t="shared" si="1539"/>
        <v/>
      </c>
      <c r="FJ108" s="30" t="str">
        <f t="shared" si="1540"/>
        <v/>
      </c>
      <c r="FK108" s="30" t="str">
        <f t="shared" si="1541"/>
        <v/>
      </c>
      <c r="FL108" s="30" t="str">
        <f t="shared" si="1542"/>
        <v/>
      </c>
      <c r="FM108" s="30" t="str">
        <f t="shared" si="1543"/>
        <v/>
      </c>
      <c r="FN108" s="30" t="str">
        <f t="shared" si="1544"/>
        <v/>
      </c>
      <c r="FO108" s="30" t="str">
        <f t="shared" si="1545"/>
        <v/>
      </c>
      <c r="FP108" s="30" t="str">
        <f t="shared" si="1546"/>
        <v/>
      </c>
      <c r="FQ108" s="30" t="str">
        <f t="shared" si="1547"/>
        <v/>
      </c>
      <c r="FR108" s="30" t="str">
        <f t="shared" si="1548"/>
        <v/>
      </c>
      <c r="FS108" s="30" t="str">
        <f t="shared" si="1549"/>
        <v/>
      </c>
    </row>
    <row r="109" spans="1:175" ht="16.5">
      <c r="A109" s="117"/>
      <c r="B109" s="111" t="s">
        <v>923</v>
      </c>
      <c r="C109" s="117" t="s">
        <v>927</v>
      </c>
      <c r="R109" s="25">
        <v>7548</v>
      </c>
      <c r="S109" s="25">
        <v>-6605</v>
      </c>
      <c r="T109" s="117" t="s">
        <v>927</v>
      </c>
      <c r="U109" s="37" t="s">
        <v>822</v>
      </c>
      <c r="CN109" s="7" t="str">
        <f t="shared" ref="CN109" si="1550">"InitUnitState('"&amp;B109&amp;"',"&amp;V109&amp;","&amp;W109&amp;","&amp;X109&amp;","&amp;Y109&amp;","&amp;Z109&amp;","&amp;AA109&amp;","&amp;AB109&amp;","&amp;AC109&amp;","&amp;AD109&amp;","&amp;AE109&amp;")"</f>
        <v>InitUnitState('IT14',,,,,,,,,,)</v>
      </c>
      <c r="CO109" s="7" t="str">
        <f t="shared" ref="CO109" si="1551">"InitUnitNormal('"&amp;B109&amp;"',"&amp;AF109&amp;","&amp;AG109&amp;","&amp;AH109&amp;","&amp;AI109&amp;","&amp;AJ109&amp;","&amp;AK109&amp;","&amp;AL109&amp;","&amp;AM109&amp;","&amp;AN109&amp;","&amp;AO109&amp;")"</f>
        <v>InitUnitNormal('IT14',,,,,,,,,,)</v>
      </c>
      <c r="CP109" s="7" t="str">
        <f t="shared" ref="CP109" si="1552">"InitUnitMagic('"&amp;B109&amp;"',"&amp;AP109&amp;","&amp;AQ109&amp;","&amp;AR109&amp;","&amp;AS109&amp;","&amp;AT109&amp;","&amp;AU109&amp;","&amp;AV109&amp;","&amp;AW109&amp;","&amp;BI109&amp;","&amp;BJ109&amp;")"</f>
        <v>InitUnitMagic('IT14',,,,,,,,,,)</v>
      </c>
      <c r="CQ109" s="7" t="str">
        <f t="shared" ref="CQ109" si="1553">"InitUnitAdd('"&amp;B109&amp;"',"&amp;BK109&amp;","&amp;BL109&amp;","&amp;BM109&amp;","&amp;BN109&amp;","&amp;BO109&amp;","&amp;BP109&amp;","&amp;BQ109&amp;","&amp;BR109&amp;","&amp;BS109&amp;","&amp;BT109&amp;")"</f>
        <v>InitUnitAdd('IT14',,,,,,,,,,)</v>
      </c>
      <c r="CR109" s="7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114&amp;CR$1&amp;")"</f>
        <v>InitEquipData('IT14',,"",,,,,'','','','','','',"ReplaceableTextures\\CommandButtons\\BTNTome.blp")</v>
      </c>
      <c r="CU109" s="45" t="str">
        <f t="shared" ref="CU109" si="1554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29" t="str">
        <f t="shared" ref="CV109" si="1555">T109</f>
        <v>境界挑战14</v>
      </c>
      <c r="CW109" s="24"/>
      <c r="CX109" s="24"/>
      <c r="CY109" s="24"/>
      <c r="CZ109" s="24"/>
      <c r="DA109" s="24"/>
      <c r="DB109" s="30" t="str">
        <f t="shared" ref="DB109" si="1556">IF(V109="","","|n"&amp;DB$2&amp;"+"&amp;V109&amp;DB$1)</f>
        <v/>
      </c>
      <c r="DC109" s="30" t="str">
        <f t="shared" ref="DC109" si="1557">IF(W109="","","|n"&amp;DC$2&amp;"+"&amp;W109&amp;DC$1)</f>
        <v/>
      </c>
      <c r="DD109" s="30" t="str">
        <f t="shared" ref="DD109" si="1558">IF(X109="","","|n"&amp;DD$2&amp;"+"&amp;X109&amp;DD$1)</f>
        <v/>
      </c>
      <c r="DE109" s="30" t="str">
        <f t="shared" ref="DE109" si="1559">IF(Y109="","","|n"&amp;DE$2&amp;"+"&amp;Y109&amp;DE$1)</f>
        <v/>
      </c>
      <c r="DF109" s="30" t="str">
        <f t="shared" ref="DF109" si="1560">IF(Z109="","","|n"&amp;DF$2&amp;"+"&amp;Z109&amp;DF$1)</f>
        <v/>
      </c>
      <c r="DG109" s="30" t="str">
        <f t="shared" ref="DG109" si="1561">IF(AA109="","","|n"&amp;DG$2&amp;"+"&amp;AA109&amp;DG$1)</f>
        <v/>
      </c>
      <c r="DH109" s="30" t="str">
        <f t="shared" ref="DH109" si="1562">IF(AB109="","","|n"&amp;DH$2&amp;"+"&amp;AB109&amp;DH$1)</f>
        <v/>
      </c>
      <c r="DI109" s="30" t="str">
        <f t="shared" ref="DI109" si="1563">IF(AC109="","","|n"&amp;DI$2&amp;"+"&amp;AC109&amp;DI$1)</f>
        <v/>
      </c>
      <c r="DJ109" s="30" t="str">
        <f t="shared" ref="DJ109" si="1564">IF(AD109="","","|n"&amp;DJ$2&amp;"+"&amp;AD109&amp;DJ$1)</f>
        <v/>
      </c>
      <c r="DK109" s="30" t="str">
        <f t="shared" ref="DK109" si="1565">IF(AE109="","","|n"&amp;DK$2&amp;"+"&amp;AE109&amp;DK$1)</f>
        <v/>
      </c>
      <c r="DL109" s="30" t="str">
        <f t="shared" ref="DL109" si="1566">IF(AF109="","","|n"&amp;DL$2&amp;"+"&amp;AF109&amp;DL$1)</f>
        <v/>
      </c>
      <c r="DM109" s="30" t="str">
        <f t="shared" ref="DM109" si="1567">IF(AG109="","","|n"&amp;DM$2&amp;"+"&amp;AG109&amp;DM$1)</f>
        <v/>
      </c>
      <c r="DN109" s="30" t="str">
        <f t="shared" ref="DN109" si="1568">IF(AH109="","","|n"&amp;DN$2&amp;"+"&amp;AH109&amp;DN$1)</f>
        <v/>
      </c>
      <c r="DO109" s="30" t="str">
        <f t="shared" ref="DO109" si="1569">IF(AI109="","","|n"&amp;DO$2&amp;"+"&amp;AI109&amp;DO$1)</f>
        <v/>
      </c>
      <c r="DP109" s="30" t="str">
        <f t="shared" ref="DP109" si="1570">IF(AJ109="","","|n"&amp;DP$2&amp;"+"&amp;AJ109&amp;DP$1)</f>
        <v/>
      </c>
      <c r="DQ109" s="30" t="str">
        <f t="shared" ref="DQ109" si="1571">IF(AK109="","","|n"&amp;DQ$2&amp;"+"&amp;AK109&amp;DQ$1)</f>
        <v/>
      </c>
      <c r="DR109" s="30" t="str">
        <f t="shared" ref="DR109" si="1572">IF(AL109="","","|n"&amp;DR$2&amp;"+"&amp;AL109&amp;DR$1)</f>
        <v/>
      </c>
      <c r="DS109" s="30" t="str">
        <f t="shared" ref="DS109" si="1573">IF(AM109="","","|n"&amp;DS$2&amp;"+"&amp;AM109&amp;DS$1)</f>
        <v/>
      </c>
      <c r="DT109" s="30" t="str">
        <f t="shared" ref="DT109" si="1574">IF(AN109="","","|n"&amp;DT$2&amp;"+"&amp;AN109&amp;DT$1)</f>
        <v/>
      </c>
      <c r="DU109" s="30" t="str">
        <f t="shared" ref="DU109" si="1575">IF(AO109="","","|n"&amp;DU$2&amp;"+"&amp;AO109&amp;DU$1)</f>
        <v/>
      </c>
      <c r="DV109" s="30" t="str">
        <f t="shared" ref="DV109" si="1576">IF(AP109="","","|n"&amp;DV$2&amp;"+"&amp;AP109&amp;DV$1)</f>
        <v/>
      </c>
      <c r="DW109" s="30" t="str">
        <f t="shared" ref="DW109" si="1577">IF(AQ109="","","|n"&amp;DW$2&amp;"+"&amp;AQ109&amp;DW$1)</f>
        <v/>
      </c>
      <c r="DX109" s="30" t="str">
        <f t="shared" ref="DX109" si="1578">IF(AR109="","","|n"&amp;DX$2&amp;"+"&amp;AR109&amp;DX$1)</f>
        <v/>
      </c>
      <c r="DY109" s="30" t="str">
        <f t="shared" ref="DY109" si="1579">IF(AS109="","","|n"&amp;DY$2&amp;"+"&amp;AS109&amp;DY$1)</f>
        <v/>
      </c>
      <c r="DZ109" s="30" t="str">
        <f t="shared" ref="DZ109" si="1580">IF(AT109="","","|n"&amp;DZ$2&amp;"+"&amp;AT109&amp;DZ$1)</f>
        <v/>
      </c>
      <c r="EA109" s="30" t="str">
        <f t="shared" ref="EA109" si="1581">IF(AU109="","","|n"&amp;EA$2&amp;"+"&amp;AU109&amp;EA$1)</f>
        <v/>
      </c>
      <c r="EB109" s="30" t="str">
        <f t="shared" ref="EB109" si="1582">IF(AV109="","","|n"&amp;EB$2&amp;"+"&amp;AV109&amp;EB$1)</f>
        <v/>
      </c>
      <c r="EC109" s="30" t="str">
        <f t="shared" ref="EC109" si="1583">IF(AW109="","","|n"&amp;EC$2&amp;"+"&amp;AW109&amp;EC$1)</f>
        <v/>
      </c>
      <c r="ED109" s="30" t="str">
        <f t="shared" ref="ED109" si="1584">IF(AX109="","","|n"&amp;ED$2&amp;"+"&amp;AX109&amp;ED$1)</f>
        <v/>
      </c>
      <c r="EE109" s="30" t="str">
        <f t="shared" ref="EE109" si="1585">IF(AY109="","","|n"&amp;EE$2&amp;"+"&amp;AY109&amp;EE$1)</f>
        <v/>
      </c>
      <c r="EF109" s="30" t="str">
        <f t="shared" ref="EF109" si="1586">IF(AZ109="","","|n"&amp;EF$2&amp;"+"&amp;AZ109&amp;EF$1)</f>
        <v/>
      </c>
      <c r="EG109" s="30" t="str">
        <f t="shared" ref="EG109" si="1587">IF(BA109="","","|n"&amp;EG$2&amp;"+"&amp;BA109&amp;EG$1)</f>
        <v/>
      </c>
      <c r="EH109" s="30" t="str">
        <f t="shared" ref="EH109" si="1588">IF(BB109="","","|n"&amp;EH$2&amp;"+"&amp;BB109&amp;EH$1)</f>
        <v/>
      </c>
      <c r="EI109" s="30" t="str">
        <f t="shared" ref="EI109" si="1589">IF(BC109="","","|n"&amp;EI$2&amp;"+"&amp;BC109&amp;EI$1)</f>
        <v/>
      </c>
      <c r="EJ109" s="30" t="str">
        <f t="shared" ref="EJ109" si="1590">IF(BD109="","","|n"&amp;EJ$2&amp;"+"&amp;BD109&amp;EJ$1)</f>
        <v/>
      </c>
      <c r="EK109" s="30" t="str">
        <f t="shared" ref="EK109" si="1591">IF(BE109="","","|n"&amp;EK$2&amp;"+"&amp;BE109&amp;EK$1)</f>
        <v/>
      </c>
      <c r="EL109" s="30" t="str">
        <f t="shared" ref="EL109" si="1592">IF(BF109="","","|n"&amp;EL$2&amp;"+"&amp;BF109&amp;EL$1)</f>
        <v/>
      </c>
      <c r="EM109" s="30" t="str">
        <f t="shared" ref="EM109" si="1593">IF(BG109="","","|n"&amp;EM$2&amp;"+"&amp;BG109&amp;EM$1)</f>
        <v/>
      </c>
      <c r="EN109" s="30" t="str">
        <f t="shared" ref="EN109" si="1594">IF(BH109="","","|n"&amp;EN$2&amp;"+"&amp;BH109&amp;EN$1)</f>
        <v/>
      </c>
      <c r="EO109" s="30" t="str">
        <f t="shared" ref="EO109" si="1595">IF(BI109="","","|n"&amp;EO$2&amp;"+"&amp;BI109&amp;EO$1)</f>
        <v/>
      </c>
      <c r="EP109" s="30" t="str">
        <f t="shared" ref="EP109" si="1596">IF(BJ109="","","|n"&amp;EP$2&amp;"+"&amp;BJ109&amp;EP$1)</f>
        <v/>
      </c>
      <c r="EQ109" s="30" t="str">
        <f t="shared" ref="EQ109" si="1597">IF(BK109="","","|n"&amp;EQ$2&amp;"+"&amp;BK109&amp;EQ$1)</f>
        <v/>
      </c>
      <c r="ER109" s="30" t="str">
        <f t="shared" ref="ER109" si="1598">IF(BL109="","","|n"&amp;ER$2&amp;"+"&amp;BL109&amp;ER$1)</f>
        <v/>
      </c>
      <c r="ES109" s="30" t="str">
        <f t="shared" ref="ES109" si="1599">IF(BM109="","","|n"&amp;ES$2&amp;"+"&amp;BM109&amp;ES$1)</f>
        <v/>
      </c>
      <c r="ET109" s="30" t="str">
        <f t="shared" ref="ET109" si="1600">IF(BN109="","","|n"&amp;ET$2&amp;"+"&amp;BN109&amp;ET$1)</f>
        <v/>
      </c>
      <c r="EU109" s="30" t="str">
        <f t="shared" ref="EU109" si="1601">IF(BO109="","","|n"&amp;EU$2&amp;"+"&amp;BO109&amp;EU$1)</f>
        <v/>
      </c>
      <c r="EV109" s="30" t="str">
        <f t="shared" ref="EV109" si="1602">IF(BP109="","","|n"&amp;EV$2&amp;"+"&amp;BP109&amp;EV$1)</f>
        <v/>
      </c>
      <c r="EW109" s="30" t="str">
        <f t="shared" ref="EW109" si="1603">IF(BQ109="","","|n"&amp;EW$2&amp;"+"&amp;BQ109&amp;EW$1)</f>
        <v/>
      </c>
      <c r="EX109" s="30" t="str">
        <f t="shared" ref="EX109" si="1604">IF(BR109="","","|n"&amp;EX$2&amp;"+"&amp;BR109&amp;EX$1)</f>
        <v/>
      </c>
      <c r="EY109" s="30" t="str">
        <f t="shared" ref="EY109" si="1605">IF(BS109="","","|n"&amp;EY$2&amp;"+"&amp;BS109&amp;EY$1)</f>
        <v/>
      </c>
      <c r="EZ109" s="30" t="str">
        <f t="shared" ref="EZ109" si="1606">IF(BT109="","","|n"&amp;EZ$2&amp;"+"&amp;BT109&amp;EZ$1)</f>
        <v/>
      </c>
      <c r="FA109" s="30" t="str">
        <f t="shared" ref="FA109" si="1607">IF(BU109="","","|n"&amp;FA$2&amp;"+"&amp;BU109&amp;FA$1)</f>
        <v/>
      </c>
      <c r="FB109" s="30" t="str">
        <f t="shared" ref="FB109" si="1608">IF(BV109="","","|n"&amp;FB$2&amp;"+"&amp;BV109&amp;FB$1)</f>
        <v/>
      </c>
      <c r="FC109" s="30" t="str">
        <f t="shared" ref="FC109" si="1609">IF(BW109="","","|n"&amp;FC$2&amp;"+"&amp;BW109&amp;FC$1)</f>
        <v/>
      </c>
      <c r="FD109" s="30" t="str">
        <f t="shared" ref="FD109" si="1610">IF(BX109="","","|n"&amp;FD$2&amp;"+"&amp;BX109&amp;FD$1)</f>
        <v/>
      </c>
      <c r="FE109" s="30" t="str">
        <f t="shared" ref="FE109" si="1611">IF(BY109="","","|n"&amp;FE$2&amp;"+"&amp;BY109&amp;FE$1)</f>
        <v/>
      </c>
      <c r="FF109" s="30" t="str">
        <f t="shared" ref="FF109" si="1612">IF(BZ109="","","|n"&amp;FF$2&amp;"+"&amp;BZ109&amp;FF$1)</f>
        <v/>
      </c>
      <c r="FG109" s="30" t="str">
        <f t="shared" ref="FG109" si="1613">IF(CA109="","","|n"&amp;FG$2&amp;"+"&amp;CA109&amp;FG$1)</f>
        <v/>
      </c>
      <c r="FH109" s="30" t="str">
        <f t="shared" ref="FH109" si="1614">IF(CB109="","","|n"&amp;FH$2&amp;"+"&amp;CB109&amp;FH$1)</f>
        <v/>
      </c>
      <c r="FI109" s="30" t="str">
        <f t="shared" ref="FI109" si="1615">IF(CC109="","","|n"&amp;FI$2&amp;"+"&amp;CC109&amp;FI$1)</f>
        <v/>
      </c>
      <c r="FJ109" s="30" t="str">
        <f t="shared" ref="FJ109" si="1616">IF(CD109="","","|n"&amp;FJ$2&amp;"+"&amp;CD109&amp;FJ$1)</f>
        <v/>
      </c>
      <c r="FK109" s="30" t="str">
        <f t="shared" ref="FK109" si="1617">IF(CE109="","","|n"&amp;FK$2&amp;"+"&amp;CE109&amp;FK$1)</f>
        <v/>
      </c>
      <c r="FL109" s="30" t="str">
        <f t="shared" ref="FL109" si="1618">IF(CF109="","","|n"&amp;FL$2&amp;"+"&amp;CF109&amp;FL$1)</f>
        <v/>
      </c>
      <c r="FM109" s="30" t="str">
        <f t="shared" ref="FM109" si="1619">IF(CG109="","","|n"&amp;FM$2&amp;"+"&amp;CG109&amp;FM$1)</f>
        <v/>
      </c>
      <c r="FN109" s="30" t="str">
        <f t="shared" ref="FN109" si="1620">IF(CH109="","","|n"&amp;FN$2&amp;"+"&amp;CH109&amp;FN$1)</f>
        <v/>
      </c>
      <c r="FO109" s="30" t="str">
        <f t="shared" ref="FO109" si="1621">IF(CI109="","","|n"&amp;FO$2&amp;"+"&amp;CI109&amp;FO$1)</f>
        <v/>
      </c>
      <c r="FP109" s="30" t="str">
        <f t="shared" ref="FP109" si="1622">IF(CJ109="","","|n"&amp;FP$2&amp;"+"&amp;CJ109&amp;FP$1)</f>
        <v/>
      </c>
      <c r="FQ109" s="30" t="str">
        <f t="shared" ref="FQ109" si="1623">IF(CK109="","","|n"&amp;FQ$2&amp;"+"&amp;CK109&amp;FQ$1)</f>
        <v/>
      </c>
      <c r="FR109" s="30" t="str">
        <f t="shared" ref="FR109" si="1624">IF(CL109="","","|n"&amp;FR$2&amp;"+"&amp;CL109&amp;FR$1)</f>
        <v/>
      </c>
      <c r="FS109" s="30" t="str">
        <f t="shared" ref="FS109" si="1625">IF(CM109="","","|n"&amp;FS$2&amp;"+"&amp;CM109&amp;FS$1)</f>
        <v/>
      </c>
    </row>
    <row r="110" spans="1:175" ht="16.5">
      <c r="A110" s="117"/>
      <c r="B110" s="111" t="s">
        <v>883</v>
      </c>
      <c r="C110" s="117" t="s">
        <v>887</v>
      </c>
      <c r="T110" s="117" t="s">
        <v>887</v>
      </c>
      <c r="U110" s="37" t="s">
        <v>822</v>
      </c>
      <c r="CN110" s="7" t="str">
        <f t="shared" si="1396"/>
        <v>InitUnitState('IS01',,,,,,,,,,)</v>
      </c>
      <c r="CO110" s="7" t="str">
        <f t="shared" si="1397"/>
        <v>InitUnitNormal('IS01',,,,,,,,,,)</v>
      </c>
      <c r="CP110" s="7" t="str">
        <f t="shared" si="1398"/>
        <v>InitUnitMagic('IS01',,,,,,,,,,)</v>
      </c>
      <c r="CQ110" s="7" t="str">
        <f t="shared" si="1399"/>
        <v>InitUnitAdd('IS01',,,,,,,,,,)</v>
      </c>
      <c r="CR110" s="7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InitEquipData('IS01',,"",,,,,'','','','','','',"ReplaceableTextures\\CommandButtons\\BTNTome.blp")</v>
      </c>
      <c r="CU110" s="45" t="str">
        <f t="shared" si="1401"/>
        <v>|n</v>
      </c>
      <c r="CV110" s="29" t="str">
        <f t="shared" si="1402"/>
        <v>抽技能DC</v>
      </c>
      <c r="CW110" s="24"/>
      <c r="CX110" s="24"/>
      <c r="CY110" s="24"/>
      <c r="CZ110" s="24"/>
      <c r="DA110" s="24"/>
      <c r="DB110" s="30" t="str">
        <f t="shared" si="1403"/>
        <v/>
      </c>
      <c r="DC110" s="30" t="str">
        <f t="shared" si="1404"/>
        <v/>
      </c>
      <c r="DD110" s="30" t="str">
        <f t="shared" si="1405"/>
        <v/>
      </c>
      <c r="DE110" s="30" t="str">
        <f t="shared" si="1406"/>
        <v/>
      </c>
      <c r="DF110" s="30" t="str">
        <f t="shared" si="1407"/>
        <v/>
      </c>
      <c r="DG110" s="30" t="str">
        <f t="shared" si="1408"/>
        <v/>
      </c>
      <c r="DH110" s="30" t="str">
        <f t="shared" si="1409"/>
        <v/>
      </c>
      <c r="DI110" s="30" t="str">
        <f t="shared" si="1410"/>
        <v/>
      </c>
      <c r="DJ110" s="30" t="str">
        <f t="shared" si="1411"/>
        <v/>
      </c>
      <c r="DK110" s="30" t="str">
        <f t="shared" si="1412"/>
        <v/>
      </c>
      <c r="DL110" s="30" t="str">
        <f t="shared" si="1413"/>
        <v/>
      </c>
      <c r="DM110" s="30" t="str">
        <f t="shared" si="1414"/>
        <v/>
      </c>
      <c r="DN110" s="30" t="str">
        <f t="shared" si="1415"/>
        <v/>
      </c>
      <c r="DO110" s="30" t="str">
        <f t="shared" si="1416"/>
        <v/>
      </c>
      <c r="DP110" s="30" t="str">
        <f t="shared" si="1417"/>
        <v/>
      </c>
      <c r="DQ110" s="30" t="str">
        <f t="shared" si="1418"/>
        <v/>
      </c>
      <c r="DR110" s="30" t="str">
        <f t="shared" si="1419"/>
        <v/>
      </c>
      <c r="DS110" s="30" t="str">
        <f t="shared" si="1420"/>
        <v/>
      </c>
      <c r="DT110" s="30" t="str">
        <f t="shared" si="1421"/>
        <v/>
      </c>
      <c r="DU110" s="30" t="str">
        <f t="shared" si="1422"/>
        <v/>
      </c>
      <c r="DV110" s="30" t="str">
        <f t="shared" si="1423"/>
        <v/>
      </c>
      <c r="DW110" s="30" t="str">
        <f t="shared" si="1424"/>
        <v/>
      </c>
      <c r="DX110" s="30" t="str">
        <f t="shared" si="1425"/>
        <v/>
      </c>
      <c r="DY110" s="30" t="str">
        <f t="shared" si="1426"/>
        <v/>
      </c>
      <c r="DZ110" s="30" t="str">
        <f t="shared" si="1427"/>
        <v/>
      </c>
      <c r="EA110" s="30" t="str">
        <f t="shared" si="1428"/>
        <v/>
      </c>
      <c r="EB110" s="30" t="str">
        <f t="shared" si="1429"/>
        <v/>
      </c>
      <c r="EC110" s="30" t="str">
        <f t="shared" si="1430"/>
        <v/>
      </c>
      <c r="ED110" s="30" t="str">
        <f t="shared" si="1431"/>
        <v/>
      </c>
      <c r="EE110" s="30" t="str">
        <f t="shared" si="1432"/>
        <v/>
      </c>
      <c r="EF110" s="30" t="str">
        <f t="shared" si="1433"/>
        <v/>
      </c>
      <c r="EG110" s="30" t="str">
        <f t="shared" si="1434"/>
        <v/>
      </c>
      <c r="EH110" s="30" t="str">
        <f t="shared" si="1435"/>
        <v/>
      </c>
      <c r="EI110" s="30" t="str">
        <f t="shared" si="1436"/>
        <v/>
      </c>
      <c r="EJ110" s="30" t="str">
        <f t="shared" si="1437"/>
        <v/>
      </c>
      <c r="EK110" s="30" t="str">
        <f t="shared" si="1438"/>
        <v/>
      </c>
      <c r="EL110" s="30" t="str">
        <f t="shared" si="1439"/>
        <v/>
      </c>
      <c r="EM110" s="30" t="str">
        <f t="shared" si="1440"/>
        <v/>
      </c>
      <c r="EN110" s="30" t="str">
        <f t="shared" si="1441"/>
        <v/>
      </c>
      <c r="EO110" s="30" t="str">
        <f t="shared" si="1442"/>
        <v/>
      </c>
      <c r="EP110" s="30" t="str">
        <f t="shared" si="1443"/>
        <v/>
      </c>
      <c r="EQ110" s="30" t="str">
        <f t="shared" si="1444"/>
        <v/>
      </c>
      <c r="ER110" s="30" t="str">
        <f t="shared" si="1445"/>
        <v/>
      </c>
      <c r="ES110" s="30" t="str">
        <f t="shared" si="1446"/>
        <v/>
      </c>
      <c r="ET110" s="30" t="str">
        <f t="shared" si="1447"/>
        <v/>
      </c>
      <c r="EU110" s="30" t="str">
        <f t="shared" si="1448"/>
        <v/>
      </c>
      <c r="EV110" s="30" t="str">
        <f t="shared" si="1449"/>
        <v/>
      </c>
      <c r="EW110" s="30" t="str">
        <f t="shared" si="1450"/>
        <v/>
      </c>
      <c r="EX110" s="30" t="str">
        <f t="shared" si="1451"/>
        <v/>
      </c>
      <c r="EY110" s="30" t="str">
        <f t="shared" si="1452"/>
        <v/>
      </c>
      <c r="EZ110" s="30" t="str">
        <f t="shared" si="1453"/>
        <v/>
      </c>
      <c r="FA110" s="30" t="str">
        <f t="shared" si="1454"/>
        <v/>
      </c>
      <c r="FB110" s="30" t="str">
        <f t="shared" si="1455"/>
        <v/>
      </c>
      <c r="FC110" s="30" t="str">
        <f t="shared" si="1456"/>
        <v/>
      </c>
      <c r="FD110" s="30" t="str">
        <f t="shared" si="1457"/>
        <v/>
      </c>
      <c r="FE110" s="30" t="str">
        <f t="shared" si="1458"/>
        <v/>
      </c>
      <c r="FF110" s="30" t="str">
        <f t="shared" si="1459"/>
        <v/>
      </c>
      <c r="FG110" s="30" t="str">
        <f t="shared" si="1460"/>
        <v/>
      </c>
      <c r="FH110" s="30" t="str">
        <f t="shared" si="1461"/>
        <v/>
      </c>
      <c r="FI110" s="30" t="str">
        <f t="shared" si="1462"/>
        <v/>
      </c>
      <c r="FJ110" s="30" t="str">
        <f t="shared" si="1463"/>
        <v/>
      </c>
      <c r="FK110" s="30" t="str">
        <f t="shared" si="1464"/>
        <v/>
      </c>
      <c r="FL110" s="30" t="str">
        <f t="shared" si="1465"/>
        <v/>
      </c>
      <c r="FM110" s="30" t="str">
        <f t="shared" si="1466"/>
        <v/>
      </c>
      <c r="FN110" s="30" t="str">
        <f t="shared" si="1467"/>
        <v/>
      </c>
      <c r="FO110" s="30" t="str">
        <f t="shared" si="1468"/>
        <v/>
      </c>
      <c r="FP110" s="30" t="str">
        <f t="shared" si="1469"/>
        <v/>
      </c>
      <c r="FQ110" s="30" t="str">
        <f t="shared" si="1470"/>
        <v/>
      </c>
      <c r="FR110" s="30" t="str">
        <f t="shared" si="1471"/>
        <v/>
      </c>
      <c r="FS110" s="30" t="str">
        <f t="shared" si="1472"/>
        <v/>
      </c>
    </row>
    <row r="111" spans="1:175" ht="16.5">
      <c r="A111" s="117"/>
      <c r="B111" s="111" t="s">
        <v>884</v>
      </c>
      <c r="C111" s="117" t="s">
        <v>888</v>
      </c>
      <c r="T111" s="117" t="s">
        <v>888</v>
      </c>
      <c r="U111" s="37" t="s">
        <v>822</v>
      </c>
      <c r="CN111" s="7" t="str">
        <f t="shared" ref="CN111:CN114" si="1626">"InitUnitState('"&amp;B111&amp;"',"&amp;V111&amp;","&amp;W111&amp;","&amp;X111&amp;","&amp;Y111&amp;","&amp;Z111&amp;","&amp;AA111&amp;","&amp;AB111&amp;","&amp;AC111&amp;","&amp;AD111&amp;","&amp;AE111&amp;")"</f>
        <v>InitUnitState('IS02',,,,,,,,,,)</v>
      </c>
      <c r="CO111" s="7" t="str">
        <f t="shared" ref="CO111:CO114" si="1627">"InitUnitNormal('"&amp;B111&amp;"',"&amp;AF111&amp;","&amp;AG111&amp;","&amp;AH111&amp;","&amp;AI111&amp;","&amp;AJ111&amp;","&amp;AK111&amp;","&amp;AL111&amp;","&amp;AM111&amp;","&amp;AN111&amp;","&amp;AO111&amp;")"</f>
        <v>InitUnitNormal('IS02',,,,,,,,,,)</v>
      </c>
      <c r="CP111" s="7" t="str">
        <f t="shared" ref="CP111:CP114" si="1628">"InitUnitMagic('"&amp;B111&amp;"',"&amp;AP111&amp;","&amp;AQ111&amp;","&amp;AR111&amp;","&amp;AS111&amp;","&amp;AT111&amp;","&amp;AU111&amp;","&amp;AV111&amp;","&amp;AW111&amp;","&amp;BI111&amp;","&amp;BJ111&amp;")"</f>
        <v>InitUnitMagic('IS02',,,,,,,,,,)</v>
      </c>
      <c r="CQ111" s="7" t="str">
        <f t="shared" ref="CQ111:CQ114" si="1629">"InitUnitAdd('"&amp;B111&amp;"',"&amp;BK111&amp;","&amp;BL111&amp;","&amp;BM111&amp;","&amp;BN111&amp;","&amp;BO111&amp;","&amp;BP111&amp;","&amp;BQ111&amp;","&amp;BR111&amp;","&amp;BS111&amp;","&amp;BT111&amp;")"</f>
        <v>InitUnitAdd('IS02',,,,,,,,,,)</v>
      </c>
      <c r="CR111" s="7" t="str">
        <f t="shared" ref="CR111:CR113" si="1630"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InitEquipData('IS02',,"",,,,,'','','','','','',"ReplaceableTextures\\CommandButtons\\BTNTome.blp")</v>
      </c>
      <c r="CU111" s="45" t="str">
        <f t="shared" ref="CU111:CU114" si="163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29" t="str">
        <f t="shared" ref="CV111:CV114" si="1632">T111</f>
        <v>抽技能B</v>
      </c>
      <c r="CW111" s="24"/>
      <c r="CX111" s="24"/>
      <c r="CY111" s="24"/>
      <c r="CZ111" s="24"/>
      <c r="DA111" s="24"/>
      <c r="DB111" s="30" t="str">
        <f t="shared" ref="DB111:DB114" si="1633">IF(V111="","","|n"&amp;DB$2&amp;"+"&amp;V111&amp;DB$1)</f>
        <v/>
      </c>
      <c r="DC111" s="30" t="str">
        <f t="shared" ref="DC111:DC114" si="1634">IF(W111="","","|n"&amp;DC$2&amp;"+"&amp;W111&amp;DC$1)</f>
        <v/>
      </c>
      <c r="DD111" s="30" t="str">
        <f t="shared" ref="DD111:DD114" si="1635">IF(X111="","","|n"&amp;DD$2&amp;"+"&amp;X111&amp;DD$1)</f>
        <v/>
      </c>
      <c r="DE111" s="30" t="str">
        <f t="shared" ref="DE111:DE114" si="1636">IF(Y111="","","|n"&amp;DE$2&amp;"+"&amp;Y111&amp;DE$1)</f>
        <v/>
      </c>
      <c r="DF111" s="30" t="str">
        <f t="shared" ref="DF111:DF114" si="1637">IF(Z111="","","|n"&amp;DF$2&amp;"+"&amp;Z111&amp;DF$1)</f>
        <v/>
      </c>
      <c r="DG111" s="30" t="str">
        <f t="shared" ref="DG111:DG114" si="1638">IF(AA111="","","|n"&amp;DG$2&amp;"+"&amp;AA111&amp;DG$1)</f>
        <v/>
      </c>
      <c r="DH111" s="30" t="str">
        <f t="shared" ref="DH111:DH114" si="1639">IF(AB111="","","|n"&amp;DH$2&amp;"+"&amp;AB111&amp;DH$1)</f>
        <v/>
      </c>
      <c r="DI111" s="30" t="str">
        <f t="shared" ref="DI111:DI114" si="1640">IF(AC111="","","|n"&amp;DI$2&amp;"+"&amp;AC111&amp;DI$1)</f>
        <v/>
      </c>
      <c r="DJ111" s="30" t="str">
        <f t="shared" ref="DJ111:DJ114" si="1641">IF(AD111="","","|n"&amp;DJ$2&amp;"+"&amp;AD111&amp;DJ$1)</f>
        <v/>
      </c>
      <c r="DK111" s="30" t="str">
        <f t="shared" ref="DK111:DK114" si="1642">IF(AE111="","","|n"&amp;DK$2&amp;"+"&amp;AE111&amp;DK$1)</f>
        <v/>
      </c>
      <c r="DL111" s="30" t="str">
        <f t="shared" ref="DL111:DL114" si="1643">IF(AF111="","","|n"&amp;DL$2&amp;"+"&amp;AF111&amp;DL$1)</f>
        <v/>
      </c>
      <c r="DM111" s="30" t="str">
        <f t="shared" ref="DM111:DM114" si="1644">IF(AG111="","","|n"&amp;DM$2&amp;"+"&amp;AG111&amp;DM$1)</f>
        <v/>
      </c>
      <c r="DN111" s="30" t="str">
        <f t="shared" ref="DN111:DN114" si="1645">IF(AH111="","","|n"&amp;DN$2&amp;"+"&amp;AH111&amp;DN$1)</f>
        <v/>
      </c>
      <c r="DO111" s="30" t="str">
        <f t="shared" ref="DO111:DO114" si="1646">IF(AI111="","","|n"&amp;DO$2&amp;"+"&amp;AI111&amp;DO$1)</f>
        <v/>
      </c>
      <c r="DP111" s="30" t="str">
        <f t="shared" ref="DP111:DP114" si="1647">IF(AJ111="","","|n"&amp;DP$2&amp;"+"&amp;AJ111&amp;DP$1)</f>
        <v/>
      </c>
      <c r="DQ111" s="30" t="str">
        <f t="shared" ref="DQ111:DQ114" si="1648">IF(AK111="","","|n"&amp;DQ$2&amp;"+"&amp;AK111&amp;DQ$1)</f>
        <v/>
      </c>
      <c r="DR111" s="30" t="str">
        <f t="shared" ref="DR111:DR114" si="1649">IF(AL111="","","|n"&amp;DR$2&amp;"+"&amp;AL111&amp;DR$1)</f>
        <v/>
      </c>
      <c r="DS111" s="30" t="str">
        <f t="shared" ref="DS111:DS114" si="1650">IF(AM111="","","|n"&amp;DS$2&amp;"+"&amp;AM111&amp;DS$1)</f>
        <v/>
      </c>
      <c r="DT111" s="30" t="str">
        <f t="shared" ref="DT111:DT114" si="1651">IF(AN111="","","|n"&amp;DT$2&amp;"+"&amp;AN111&amp;DT$1)</f>
        <v/>
      </c>
      <c r="DU111" s="30" t="str">
        <f t="shared" ref="DU111:DU114" si="1652">IF(AO111="","","|n"&amp;DU$2&amp;"+"&amp;AO111&amp;DU$1)</f>
        <v/>
      </c>
      <c r="DV111" s="30" t="str">
        <f t="shared" ref="DV111:DV114" si="1653">IF(AP111="","","|n"&amp;DV$2&amp;"+"&amp;AP111&amp;DV$1)</f>
        <v/>
      </c>
      <c r="DW111" s="30" t="str">
        <f t="shared" ref="DW111:DW114" si="1654">IF(AQ111="","","|n"&amp;DW$2&amp;"+"&amp;AQ111&amp;DW$1)</f>
        <v/>
      </c>
      <c r="DX111" s="30" t="str">
        <f t="shared" ref="DX111:DX114" si="1655">IF(AR111="","","|n"&amp;DX$2&amp;"+"&amp;AR111&amp;DX$1)</f>
        <v/>
      </c>
      <c r="DY111" s="30" t="str">
        <f t="shared" ref="DY111:DY114" si="1656">IF(AS111="","","|n"&amp;DY$2&amp;"+"&amp;AS111&amp;DY$1)</f>
        <v/>
      </c>
      <c r="DZ111" s="30" t="str">
        <f t="shared" ref="DZ111:DZ114" si="1657">IF(AT111="","","|n"&amp;DZ$2&amp;"+"&amp;AT111&amp;DZ$1)</f>
        <v/>
      </c>
      <c r="EA111" s="30" t="str">
        <f t="shared" ref="EA111:EA114" si="1658">IF(AU111="","","|n"&amp;EA$2&amp;"+"&amp;AU111&amp;EA$1)</f>
        <v/>
      </c>
      <c r="EB111" s="30" t="str">
        <f t="shared" ref="EB111:EB114" si="1659">IF(AV111="","","|n"&amp;EB$2&amp;"+"&amp;AV111&amp;EB$1)</f>
        <v/>
      </c>
      <c r="EC111" s="30" t="str">
        <f t="shared" ref="EC111:EC114" si="1660">IF(AW111="","","|n"&amp;EC$2&amp;"+"&amp;AW111&amp;EC$1)</f>
        <v/>
      </c>
      <c r="ED111" s="30" t="str">
        <f t="shared" ref="ED111:ED114" si="1661">IF(AX111="","","|n"&amp;ED$2&amp;"+"&amp;AX111&amp;ED$1)</f>
        <v/>
      </c>
      <c r="EE111" s="30" t="str">
        <f t="shared" ref="EE111:EE114" si="1662">IF(AY111="","","|n"&amp;EE$2&amp;"+"&amp;AY111&amp;EE$1)</f>
        <v/>
      </c>
      <c r="EF111" s="30" t="str">
        <f t="shared" ref="EF111:EF114" si="1663">IF(AZ111="","","|n"&amp;EF$2&amp;"+"&amp;AZ111&amp;EF$1)</f>
        <v/>
      </c>
      <c r="EG111" s="30" t="str">
        <f t="shared" ref="EG111:EG114" si="1664">IF(BA111="","","|n"&amp;EG$2&amp;"+"&amp;BA111&amp;EG$1)</f>
        <v/>
      </c>
      <c r="EH111" s="30" t="str">
        <f t="shared" ref="EH111:EH114" si="1665">IF(BB111="","","|n"&amp;EH$2&amp;"+"&amp;BB111&amp;EH$1)</f>
        <v/>
      </c>
      <c r="EI111" s="30" t="str">
        <f t="shared" ref="EI111:EI114" si="1666">IF(BC111="","","|n"&amp;EI$2&amp;"+"&amp;BC111&amp;EI$1)</f>
        <v/>
      </c>
      <c r="EJ111" s="30" t="str">
        <f t="shared" ref="EJ111:EJ114" si="1667">IF(BD111="","","|n"&amp;EJ$2&amp;"+"&amp;BD111&amp;EJ$1)</f>
        <v/>
      </c>
      <c r="EK111" s="30" t="str">
        <f t="shared" ref="EK111:EK114" si="1668">IF(BE111="","","|n"&amp;EK$2&amp;"+"&amp;BE111&amp;EK$1)</f>
        <v/>
      </c>
      <c r="EL111" s="30" t="str">
        <f t="shared" ref="EL111:EL114" si="1669">IF(BF111="","","|n"&amp;EL$2&amp;"+"&amp;BF111&amp;EL$1)</f>
        <v/>
      </c>
      <c r="EM111" s="30" t="str">
        <f t="shared" ref="EM111:EM114" si="1670">IF(BG111="","","|n"&amp;EM$2&amp;"+"&amp;BG111&amp;EM$1)</f>
        <v/>
      </c>
      <c r="EN111" s="30" t="str">
        <f t="shared" ref="EN111:EN114" si="1671">IF(BH111="","","|n"&amp;EN$2&amp;"+"&amp;BH111&amp;EN$1)</f>
        <v/>
      </c>
      <c r="EO111" s="30" t="str">
        <f t="shared" ref="EO111:EO114" si="1672">IF(BI111="","","|n"&amp;EO$2&amp;"+"&amp;BI111&amp;EO$1)</f>
        <v/>
      </c>
      <c r="EP111" s="30" t="str">
        <f t="shared" ref="EP111:EP114" si="1673">IF(BJ111="","","|n"&amp;EP$2&amp;"+"&amp;BJ111&amp;EP$1)</f>
        <v/>
      </c>
      <c r="EQ111" s="30" t="str">
        <f t="shared" ref="EQ111:EQ114" si="1674">IF(BK111="","","|n"&amp;EQ$2&amp;"+"&amp;BK111&amp;EQ$1)</f>
        <v/>
      </c>
      <c r="ER111" s="30" t="str">
        <f t="shared" ref="ER111:ER114" si="1675">IF(BL111="","","|n"&amp;ER$2&amp;"+"&amp;BL111&amp;ER$1)</f>
        <v/>
      </c>
      <c r="ES111" s="30" t="str">
        <f t="shared" ref="ES111:ES114" si="1676">IF(BM111="","","|n"&amp;ES$2&amp;"+"&amp;BM111&amp;ES$1)</f>
        <v/>
      </c>
      <c r="ET111" s="30" t="str">
        <f t="shared" ref="ET111:ET114" si="1677">IF(BN111="","","|n"&amp;ET$2&amp;"+"&amp;BN111&amp;ET$1)</f>
        <v/>
      </c>
      <c r="EU111" s="30" t="str">
        <f t="shared" ref="EU111:EU114" si="1678">IF(BO111="","","|n"&amp;EU$2&amp;"+"&amp;BO111&amp;EU$1)</f>
        <v/>
      </c>
      <c r="EV111" s="30" t="str">
        <f t="shared" ref="EV111:EV114" si="1679">IF(BP111="","","|n"&amp;EV$2&amp;"+"&amp;BP111&amp;EV$1)</f>
        <v/>
      </c>
      <c r="EW111" s="30" t="str">
        <f t="shared" ref="EW111:EW114" si="1680">IF(BQ111="","","|n"&amp;EW$2&amp;"+"&amp;BQ111&amp;EW$1)</f>
        <v/>
      </c>
      <c r="EX111" s="30" t="str">
        <f t="shared" ref="EX111:EX114" si="1681">IF(BR111="","","|n"&amp;EX$2&amp;"+"&amp;BR111&amp;EX$1)</f>
        <v/>
      </c>
      <c r="EY111" s="30" t="str">
        <f t="shared" ref="EY111:EY114" si="1682">IF(BS111="","","|n"&amp;EY$2&amp;"+"&amp;BS111&amp;EY$1)</f>
        <v/>
      </c>
      <c r="EZ111" s="30" t="str">
        <f t="shared" ref="EZ111:EZ114" si="1683">IF(BT111="","","|n"&amp;EZ$2&amp;"+"&amp;BT111&amp;EZ$1)</f>
        <v/>
      </c>
      <c r="FA111" s="30" t="str">
        <f t="shared" ref="FA111:FA114" si="1684">IF(BU111="","","|n"&amp;FA$2&amp;"+"&amp;BU111&amp;FA$1)</f>
        <v/>
      </c>
      <c r="FB111" s="30" t="str">
        <f t="shared" ref="FB111:FB114" si="1685">IF(BV111="","","|n"&amp;FB$2&amp;"+"&amp;BV111&amp;FB$1)</f>
        <v/>
      </c>
      <c r="FC111" s="30" t="str">
        <f t="shared" ref="FC111:FC114" si="1686">IF(BW111="","","|n"&amp;FC$2&amp;"+"&amp;BW111&amp;FC$1)</f>
        <v/>
      </c>
      <c r="FD111" s="30" t="str">
        <f t="shared" ref="FD111:FD114" si="1687">IF(BX111="","","|n"&amp;FD$2&amp;"+"&amp;BX111&amp;FD$1)</f>
        <v/>
      </c>
      <c r="FE111" s="30" t="str">
        <f t="shared" ref="FE111:FE114" si="1688">IF(BY111="","","|n"&amp;FE$2&amp;"+"&amp;BY111&amp;FE$1)</f>
        <v/>
      </c>
      <c r="FF111" s="30" t="str">
        <f t="shared" ref="FF111:FF114" si="1689">IF(BZ111="","","|n"&amp;FF$2&amp;"+"&amp;BZ111&amp;FF$1)</f>
        <v/>
      </c>
      <c r="FG111" s="30" t="str">
        <f t="shared" ref="FG111:FG114" si="1690">IF(CA111="","","|n"&amp;FG$2&amp;"+"&amp;CA111&amp;FG$1)</f>
        <v/>
      </c>
      <c r="FH111" s="30" t="str">
        <f t="shared" ref="FH111:FH114" si="1691">IF(CB111="","","|n"&amp;FH$2&amp;"+"&amp;CB111&amp;FH$1)</f>
        <v/>
      </c>
      <c r="FI111" s="30" t="str">
        <f t="shared" ref="FI111:FI114" si="1692">IF(CC111="","","|n"&amp;FI$2&amp;"+"&amp;CC111&amp;FI$1)</f>
        <v/>
      </c>
      <c r="FJ111" s="30" t="str">
        <f t="shared" ref="FJ111:FJ114" si="1693">IF(CD111="","","|n"&amp;FJ$2&amp;"+"&amp;CD111&amp;FJ$1)</f>
        <v/>
      </c>
      <c r="FK111" s="30" t="str">
        <f t="shared" ref="FK111:FK114" si="1694">IF(CE111="","","|n"&amp;FK$2&amp;"+"&amp;CE111&amp;FK$1)</f>
        <v/>
      </c>
      <c r="FL111" s="30" t="str">
        <f t="shared" ref="FL111:FL114" si="1695">IF(CF111="","","|n"&amp;FL$2&amp;"+"&amp;CF111&amp;FL$1)</f>
        <v/>
      </c>
      <c r="FM111" s="30" t="str">
        <f t="shared" ref="FM111:FM114" si="1696">IF(CG111="","","|n"&amp;FM$2&amp;"+"&amp;CG111&amp;FM$1)</f>
        <v/>
      </c>
      <c r="FN111" s="30" t="str">
        <f t="shared" ref="FN111:FN114" si="1697">IF(CH111="","","|n"&amp;FN$2&amp;"+"&amp;CH111&amp;FN$1)</f>
        <v/>
      </c>
      <c r="FO111" s="30" t="str">
        <f t="shared" ref="FO111:FO114" si="1698">IF(CI111="","","|n"&amp;FO$2&amp;"+"&amp;CI111&amp;FO$1)</f>
        <v/>
      </c>
      <c r="FP111" s="30" t="str">
        <f t="shared" ref="FP111:FP114" si="1699">IF(CJ111="","","|n"&amp;FP$2&amp;"+"&amp;CJ111&amp;FP$1)</f>
        <v/>
      </c>
      <c r="FQ111" s="30" t="str">
        <f t="shared" ref="FQ111:FQ114" si="1700">IF(CK111="","","|n"&amp;FQ$2&amp;"+"&amp;CK111&amp;FQ$1)</f>
        <v/>
      </c>
      <c r="FR111" s="30" t="str">
        <f t="shared" ref="FR111:FR114" si="1701">IF(CL111="","","|n"&amp;FR$2&amp;"+"&amp;CL111&amp;FR$1)</f>
        <v/>
      </c>
      <c r="FS111" s="30" t="str">
        <f t="shared" ref="FS111:FS114" si="1702">IF(CM111="","","|n"&amp;FS$2&amp;"+"&amp;CM111&amp;FS$1)</f>
        <v/>
      </c>
    </row>
    <row r="112" spans="1:175" ht="16.5">
      <c r="A112" s="117"/>
      <c r="B112" s="111" t="s">
        <v>885</v>
      </c>
      <c r="C112" s="117" t="s">
        <v>889</v>
      </c>
      <c r="T112" s="117" t="s">
        <v>889</v>
      </c>
      <c r="U112" s="37" t="s">
        <v>822</v>
      </c>
      <c r="CN112" s="7" t="str">
        <f t="shared" si="1626"/>
        <v>InitUnitState('IS03',,,,,,,,,,)</v>
      </c>
      <c r="CO112" s="7" t="str">
        <f t="shared" si="1627"/>
        <v>InitUnitNormal('IS03',,,,,,,,,,)</v>
      </c>
      <c r="CP112" s="7" t="str">
        <f t="shared" si="1628"/>
        <v>InitUnitMagic('IS03',,,,,,,,,,)</v>
      </c>
      <c r="CQ112" s="7" t="str">
        <f t="shared" si="1629"/>
        <v>InitUnitAdd('IS03',,,,,,,,,,)</v>
      </c>
      <c r="CR112" s="7" t="str">
        <f t="shared" si="1630"/>
        <v>InitEquipData('IS03',,"",,,,,'','','','','','',"ReplaceableTextures\\CommandButtons\\BTNTome.blp")</v>
      </c>
      <c r="CU112" s="45" t="str">
        <f t="shared" si="1631"/>
        <v>|n</v>
      </c>
      <c r="CV112" s="29" t="str">
        <f t="shared" si="1632"/>
        <v>抽技能A</v>
      </c>
      <c r="CW112" s="24"/>
      <c r="CX112" s="24"/>
      <c r="CY112" s="24"/>
      <c r="CZ112" s="24"/>
      <c r="DA112" s="24"/>
      <c r="DB112" s="30" t="str">
        <f t="shared" si="1633"/>
        <v/>
      </c>
      <c r="DC112" s="30" t="str">
        <f t="shared" si="1634"/>
        <v/>
      </c>
      <c r="DD112" s="30" t="str">
        <f t="shared" si="1635"/>
        <v/>
      </c>
      <c r="DE112" s="30" t="str">
        <f t="shared" si="1636"/>
        <v/>
      </c>
      <c r="DF112" s="30" t="str">
        <f t="shared" si="1637"/>
        <v/>
      </c>
      <c r="DG112" s="30" t="str">
        <f t="shared" si="1638"/>
        <v/>
      </c>
      <c r="DH112" s="30" t="str">
        <f t="shared" si="1639"/>
        <v/>
      </c>
      <c r="DI112" s="30" t="str">
        <f t="shared" si="1640"/>
        <v/>
      </c>
      <c r="DJ112" s="30" t="str">
        <f t="shared" si="1641"/>
        <v/>
      </c>
      <c r="DK112" s="30" t="str">
        <f t="shared" si="1642"/>
        <v/>
      </c>
      <c r="DL112" s="30" t="str">
        <f t="shared" si="1643"/>
        <v/>
      </c>
      <c r="DM112" s="30" t="str">
        <f t="shared" si="1644"/>
        <v/>
      </c>
      <c r="DN112" s="30" t="str">
        <f t="shared" si="1645"/>
        <v/>
      </c>
      <c r="DO112" s="30" t="str">
        <f t="shared" si="1646"/>
        <v/>
      </c>
      <c r="DP112" s="30" t="str">
        <f t="shared" si="1647"/>
        <v/>
      </c>
      <c r="DQ112" s="30" t="str">
        <f t="shared" si="1648"/>
        <v/>
      </c>
      <c r="DR112" s="30" t="str">
        <f t="shared" si="1649"/>
        <v/>
      </c>
      <c r="DS112" s="30" t="str">
        <f t="shared" si="1650"/>
        <v/>
      </c>
      <c r="DT112" s="30" t="str">
        <f t="shared" si="1651"/>
        <v/>
      </c>
      <c r="DU112" s="30" t="str">
        <f t="shared" si="1652"/>
        <v/>
      </c>
      <c r="DV112" s="30" t="str">
        <f t="shared" si="1653"/>
        <v/>
      </c>
      <c r="DW112" s="30" t="str">
        <f t="shared" si="1654"/>
        <v/>
      </c>
      <c r="DX112" s="30" t="str">
        <f t="shared" si="1655"/>
        <v/>
      </c>
      <c r="DY112" s="30" t="str">
        <f t="shared" si="1656"/>
        <v/>
      </c>
      <c r="DZ112" s="30" t="str">
        <f t="shared" si="1657"/>
        <v/>
      </c>
      <c r="EA112" s="30" t="str">
        <f t="shared" si="1658"/>
        <v/>
      </c>
      <c r="EB112" s="30" t="str">
        <f t="shared" si="1659"/>
        <v/>
      </c>
      <c r="EC112" s="30" t="str">
        <f t="shared" si="1660"/>
        <v/>
      </c>
      <c r="ED112" s="30" t="str">
        <f t="shared" si="1661"/>
        <v/>
      </c>
      <c r="EE112" s="30" t="str">
        <f t="shared" si="1662"/>
        <v/>
      </c>
      <c r="EF112" s="30" t="str">
        <f t="shared" si="1663"/>
        <v/>
      </c>
      <c r="EG112" s="30" t="str">
        <f t="shared" si="1664"/>
        <v/>
      </c>
      <c r="EH112" s="30" t="str">
        <f t="shared" si="1665"/>
        <v/>
      </c>
      <c r="EI112" s="30" t="str">
        <f t="shared" si="1666"/>
        <v/>
      </c>
      <c r="EJ112" s="30" t="str">
        <f t="shared" si="1667"/>
        <v/>
      </c>
      <c r="EK112" s="30" t="str">
        <f t="shared" si="1668"/>
        <v/>
      </c>
      <c r="EL112" s="30" t="str">
        <f t="shared" si="1669"/>
        <v/>
      </c>
      <c r="EM112" s="30" t="str">
        <f t="shared" si="1670"/>
        <v/>
      </c>
      <c r="EN112" s="30" t="str">
        <f t="shared" si="1671"/>
        <v/>
      </c>
      <c r="EO112" s="30" t="str">
        <f t="shared" si="1672"/>
        <v/>
      </c>
      <c r="EP112" s="30" t="str">
        <f t="shared" si="1673"/>
        <v/>
      </c>
      <c r="EQ112" s="30" t="str">
        <f t="shared" si="1674"/>
        <v/>
      </c>
      <c r="ER112" s="30" t="str">
        <f t="shared" si="1675"/>
        <v/>
      </c>
      <c r="ES112" s="30" t="str">
        <f t="shared" si="1676"/>
        <v/>
      </c>
      <c r="ET112" s="30" t="str">
        <f t="shared" si="1677"/>
        <v/>
      </c>
      <c r="EU112" s="30" t="str">
        <f t="shared" si="1678"/>
        <v/>
      </c>
      <c r="EV112" s="30" t="str">
        <f t="shared" si="1679"/>
        <v/>
      </c>
      <c r="EW112" s="30" t="str">
        <f t="shared" si="1680"/>
        <v/>
      </c>
      <c r="EX112" s="30" t="str">
        <f t="shared" si="1681"/>
        <v/>
      </c>
      <c r="EY112" s="30" t="str">
        <f t="shared" si="1682"/>
        <v/>
      </c>
      <c r="EZ112" s="30" t="str">
        <f t="shared" si="1683"/>
        <v/>
      </c>
      <c r="FA112" s="30" t="str">
        <f t="shared" si="1684"/>
        <v/>
      </c>
      <c r="FB112" s="30" t="str">
        <f t="shared" si="1685"/>
        <v/>
      </c>
      <c r="FC112" s="30" t="str">
        <f t="shared" si="1686"/>
        <v/>
      </c>
      <c r="FD112" s="30" t="str">
        <f t="shared" si="1687"/>
        <v/>
      </c>
      <c r="FE112" s="30" t="str">
        <f t="shared" si="1688"/>
        <v/>
      </c>
      <c r="FF112" s="30" t="str">
        <f t="shared" si="1689"/>
        <v/>
      </c>
      <c r="FG112" s="30" t="str">
        <f t="shared" si="1690"/>
        <v/>
      </c>
      <c r="FH112" s="30" t="str">
        <f t="shared" si="1691"/>
        <v/>
      </c>
      <c r="FI112" s="30" t="str">
        <f t="shared" si="1692"/>
        <v/>
      </c>
      <c r="FJ112" s="30" t="str">
        <f t="shared" si="1693"/>
        <v/>
      </c>
      <c r="FK112" s="30" t="str">
        <f t="shared" si="1694"/>
        <v/>
      </c>
      <c r="FL112" s="30" t="str">
        <f t="shared" si="1695"/>
        <v/>
      </c>
      <c r="FM112" s="30" t="str">
        <f t="shared" si="1696"/>
        <v/>
      </c>
      <c r="FN112" s="30" t="str">
        <f t="shared" si="1697"/>
        <v/>
      </c>
      <c r="FO112" s="30" t="str">
        <f t="shared" si="1698"/>
        <v/>
      </c>
      <c r="FP112" s="30" t="str">
        <f t="shared" si="1699"/>
        <v/>
      </c>
      <c r="FQ112" s="30" t="str">
        <f t="shared" si="1700"/>
        <v/>
      </c>
      <c r="FR112" s="30" t="str">
        <f t="shared" si="1701"/>
        <v/>
      </c>
      <c r="FS112" s="30" t="str">
        <f t="shared" si="1702"/>
        <v/>
      </c>
    </row>
    <row r="113" spans="1:175" ht="16.5">
      <c r="A113" s="117"/>
      <c r="B113" s="111" t="s">
        <v>886</v>
      </c>
      <c r="C113" s="117" t="s">
        <v>890</v>
      </c>
      <c r="T113" s="117" t="s">
        <v>890</v>
      </c>
      <c r="U113" s="37" t="s">
        <v>822</v>
      </c>
      <c r="CN113" s="7" t="str">
        <f t="shared" si="1626"/>
        <v>InitUnitState('IS04',,,,,,,,,,)</v>
      </c>
      <c r="CO113" s="7" t="str">
        <f t="shared" si="1627"/>
        <v>InitUnitNormal('IS04',,,,,,,,,,)</v>
      </c>
      <c r="CP113" s="7" t="str">
        <f t="shared" si="1628"/>
        <v>InitUnitMagic('IS04',,,,,,,,,,)</v>
      </c>
      <c r="CQ113" s="7" t="str">
        <f t="shared" si="1629"/>
        <v>InitUnitAdd('IS04',,,,,,,,,,)</v>
      </c>
      <c r="CR113" s="7" t="str">
        <f t="shared" si="1630"/>
        <v>InitEquipData('IS04',,"",,,,,'','','','','','',"ReplaceableTextures\\CommandButtons\\BTNTome.blp")</v>
      </c>
      <c r="CU113" s="45" t="str">
        <f t="shared" si="1631"/>
        <v>|n</v>
      </c>
      <c r="CV113" s="29" t="str">
        <f t="shared" si="1632"/>
        <v>抽技能S</v>
      </c>
      <c r="CW113" s="24"/>
      <c r="CX113" s="24"/>
      <c r="CY113" s="24"/>
      <c r="CZ113" s="24"/>
      <c r="DA113" s="24"/>
      <c r="DB113" s="30" t="str">
        <f t="shared" si="1633"/>
        <v/>
      </c>
      <c r="DC113" s="30" t="str">
        <f t="shared" si="1634"/>
        <v/>
      </c>
      <c r="DD113" s="30" t="str">
        <f t="shared" si="1635"/>
        <v/>
      </c>
      <c r="DE113" s="30" t="str">
        <f t="shared" si="1636"/>
        <v/>
      </c>
      <c r="DF113" s="30" t="str">
        <f t="shared" si="1637"/>
        <v/>
      </c>
      <c r="DG113" s="30" t="str">
        <f t="shared" si="1638"/>
        <v/>
      </c>
      <c r="DH113" s="30" t="str">
        <f t="shared" si="1639"/>
        <v/>
      </c>
      <c r="DI113" s="30" t="str">
        <f t="shared" si="1640"/>
        <v/>
      </c>
      <c r="DJ113" s="30" t="str">
        <f t="shared" si="1641"/>
        <v/>
      </c>
      <c r="DK113" s="30" t="str">
        <f t="shared" si="1642"/>
        <v/>
      </c>
      <c r="DL113" s="30" t="str">
        <f t="shared" si="1643"/>
        <v/>
      </c>
      <c r="DM113" s="30" t="str">
        <f t="shared" si="1644"/>
        <v/>
      </c>
      <c r="DN113" s="30" t="str">
        <f t="shared" si="1645"/>
        <v/>
      </c>
      <c r="DO113" s="30" t="str">
        <f t="shared" si="1646"/>
        <v/>
      </c>
      <c r="DP113" s="30" t="str">
        <f t="shared" si="1647"/>
        <v/>
      </c>
      <c r="DQ113" s="30" t="str">
        <f t="shared" si="1648"/>
        <v/>
      </c>
      <c r="DR113" s="30" t="str">
        <f t="shared" si="1649"/>
        <v/>
      </c>
      <c r="DS113" s="30" t="str">
        <f t="shared" si="1650"/>
        <v/>
      </c>
      <c r="DT113" s="30" t="str">
        <f t="shared" si="1651"/>
        <v/>
      </c>
      <c r="DU113" s="30" t="str">
        <f t="shared" si="1652"/>
        <v/>
      </c>
      <c r="DV113" s="30" t="str">
        <f t="shared" si="1653"/>
        <v/>
      </c>
      <c r="DW113" s="30" t="str">
        <f t="shared" si="1654"/>
        <v/>
      </c>
      <c r="DX113" s="30" t="str">
        <f t="shared" si="1655"/>
        <v/>
      </c>
      <c r="DY113" s="30" t="str">
        <f t="shared" si="1656"/>
        <v/>
      </c>
      <c r="DZ113" s="30" t="str">
        <f t="shared" si="1657"/>
        <v/>
      </c>
      <c r="EA113" s="30" t="str">
        <f t="shared" si="1658"/>
        <v/>
      </c>
      <c r="EB113" s="30" t="str">
        <f t="shared" si="1659"/>
        <v/>
      </c>
      <c r="EC113" s="30" t="str">
        <f t="shared" si="1660"/>
        <v/>
      </c>
      <c r="ED113" s="30" t="str">
        <f t="shared" si="1661"/>
        <v/>
      </c>
      <c r="EE113" s="30" t="str">
        <f t="shared" si="1662"/>
        <v/>
      </c>
      <c r="EF113" s="30" t="str">
        <f t="shared" si="1663"/>
        <v/>
      </c>
      <c r="EG113" s="30" t="str">
        <f t="shared" si="1664"/>
        <v/>
      </c>
      <c r="EH113" s="30" t="str">
        <f t="shared" si="1665"/>
        <v/>
      </c>
      <c r="EI113" s="30" t="str">
        <f t="shared" si="1666"/>
        <v/>
      </c>
      <c r="EJ113" s="30" t="str">
        <f t="shared" si="1667"/>
        <v/>
      </c>
      <c r="EK113" s="30" t="str">
        <f t="shared" si="1668"/>
        <v/>
      </c>
      <c r="EL113" s="30" t="str">
        <f t="shared" si="1669"/>
        <v/>
      </c>
      <c r="EM113" s="30" t="str">
        <f t="shared" si="1670"/>
        <v/>
      </c>
      <c r="EN113" s="30" t="str">
        <f t="shared" si="1671"/>
        <v/>
      </c>
      <c r="EO113" s="30" t="str">
        <f t="shared" si="1672"/>
        <v/>
      </c>
      <c r="EP113" s="30" t="str">
        <f t="shared" si="1673"/>
        <v/>
      </c>
      <c r="EQ113" s="30" t="str">
        <f t="shared" si="1674"/>
        <v/>
      </c>
      <c r="ER113" s="30" t="str">
        <f t="shared" si="1675"/>
        <v/>
      </c>
      <c r="ES113" s="30" t="str">
        <f t="shared" si="1676"/>
        <v/>
      </c>
      <c r="ET113" s="30" t="str">
        <f t="shared" si="1677"/>
        <v/>
      </c>
      <c r="EU113" s="30" t="str">
        <f t="shared" si="1678"/>
        <v/>
      </c>
      <c r="EV113" s="30" t="str">
        <f t="shared" si="1679"/>
        <v/>
      </c>
      <c r="EW113" s="30" t="str">
        <f t="shared" si="1680"/>
        <v/>
      </c>
      <c r="EX113" s="30" t="str">
        <f t="shared" si="1681"/>
        <v/>
      </c>
      <c r="EY113" s="30" t="str">
        <f t="shared" si="1682"/>
        <v/>
      </c>
      <c r="EZ113" s="30" t="str">
        <f t="shared" si="1683"/>
        <v/>
      </c>
      <c r="FA113" s="30" t="str">
        <f t="shared" si="1684"/>
        <v/>
      </c>
      <c r="FB113" s="30" t="str">
        <f t="shared" si="1685"/>
        <v/>
      </c>
      <c r="FC113" s="30" t="str">
        <f t="shared" si="1686"/>
        <v/>
      </c>
      <c r="FD113" s="30" t="str">
        <f t="shared" si="1687"/>
        <v/>
      </c>
      <c r="FE113" s="30" t="str">
        <f t="shared" si="1688"/>
        <v/>
      </c>
      <c r="FF113" s="30" t="str">
        <f t="shared" si="1689"/>
        <v/>
      </c>
      <c r="FG113" s="30" t="str">
        <f t="shared" si="1690"/>
        <v/>
      </c>
      <c r="FH113" s="30" t="str">
        <f t="shared" si="1691"/>
        <v/>
      </c>
      <c r="FI113" s="30" t="str">
        <f t="shared" si="1692"/>
        <v/>
      </c>
      <c r="FJ113" s="30" t="str">
        <f t="shared" si="1693"/>
        <v/>
      </c>
      <c r="FK113" s="30" t="str">
        <f t="shared" si="1694"/>
        <v/>
      </c>
      <c r="FL113" s="30" t="str">
        <f t="shared" si="1695"/>
        <v/>
      </c>
      <c r="FM113" s="30" t="str">
        <f t="shared" si="1696"/>
        <v/>
      </c>
      <c r="FN113" s="30" t="str">
        <f t="shared" si="1697"/>
        <v/>
      </c>
      <c r="FO113" s="30" t="str">
        <f t="shared" si="1698"/>
        <v/>
      </c>
      <c r="FP113" s="30" t="str">
        <f t="shared" si="1699"/>
        <v/>
      </c>
      <c r="FQ113" s="30" t="str">
        <f t="shared" si="1700"/>
        <v/>
      </c>
      <c r="FR113" s="30" t="str">
        <f t="shared" si="1701"/>
        <v/>
      </c>
      <c r="FS113" s="30" t="str">
        <f t="shared" si="1702"/>
        <v/>
      </c>
    </row>
    <row r="114" spans="1:175" ht="16.5">
      <c r="A114" s="117"/>
      <c r="B114" s="111" t="s">
        <v>891</v>
      </c>
      <c r="C114" s="117" t="s">
        <v>892</v>
      </c>
      <c r="T114" s="117" t="s">
        <v>892</v>
      </c>
      <c r="U114" s="37" t="s">
        <v>822</v>
      </c>
      <c r="CN114" s="7" t="str">
        <f t="shared" si="1626"/>
        <v>InitUnitState('IH00',,,,,,,,,,)</v>
      </c>
      <c r="CO114" s="7" t="str">
        <f t="shared" si="1627"/>
        <v>InitUnitNormal('IH00',,,,,,,,,,)</v>
      </c>
      <c r="CP114" s="7" t="str">
        <f t="shared" si="1628"/>
        <v>InitUnitMagic('IH00',,,,,,,,,,)</v>
      </c>
      <c r="CQ114" s="7" t="str">
        <f t="shared" si="1629"/>
        <v>InitUnitAdd('IH00',,,,,,,,,,)</v>
      </c>
      <c r="CR114" s="7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InitEquipData('IH00',,"",,,,,'','','','','','',"ReplaceableTextures\\CommandButtons\\BTNTome.blp")</v>
      </c>
      <c r="CU114" s="45" t="str">
        <f t="shared" si="1631"/>
        <v>|n</v>
      </c>
      <c r="CV114" s="29" t="str">
        <f t="shared" si="1632"/>
        <v>觉醒兽魂</v>
      </c>
      <c r="CW114" s="24"/>
      <c r="CX114" s="24"/>
      <c r="CY114" s="24"/>
      <c r="CZ114" s="24"/>
      <c r="DA114" s="24"/>
      <c r="DB114" s="30" t="str">
        <f t="shared" si="1633"/>
        <v/>
      </c>
      <c r="DC114" s="30" t="str">
        <f t="shared" si="1634"/>
        <v/>
      </c>
      <c r="DD114" s="30" t="str">
        <f t="shared" si="1635"/>
        <v/>
      </c>
      <c r="DE114" s="30" t="str">
        <f t="shared" si="1636"/>
        <v/>
      </c>
      <c r="DF114" s="30" t="str">
        <f t="shared" si="1637"/>
        <v/>
      </c>
      <c r="DG114" s="30" t="str">
        <f t="shared" si="1638"/>
        <v/>
      </c>
      <c r="DH114" s="30" t="str">
        <f t="shared" si="1639"/>
        <v/>
      </c>
      <c r="DI114" s="30" t="str">
        <f t="shared" si="1640"/>
        <v/>
      </c>
      <c r="DJ114" s="30" t="str">
        <f t="shared" si="1641"/>
        <v/>
      </c>
      <c r="DK114" s="30" t="str">
        <f t="shared" si="1642"/>
        <v/>
      </c>
      <c r="DL114" s="30" t="str">
        <f t="shared" si="1643"/>
        <v/>
      </c>
      <c r="DM114" s="30" t="str">
        <f t="shared" si="1644"/>
        <v/>
      </c>
      <c r="DN114" s="30" t="str">
        <f t="shared" si="1645"/>
        <v/>
      </c>
      <c r="DO114" s="30" t="str">
        <f t="shared" si="1646"/>
        <v/>
      </c>
      <c r="DP114" s="30" t="str">
        <f t="shared" si="1647"/>
        <v/>
      </c>
      <c r="DQ114" s="30" t="str">
        <f t="shared" si="1648"/>
        <v/>
      </c>
      <c r="DR114" s="30" t="str">
        <f t="shared" si="1649"/>
        <v/>
      </c>
      <c r="DS114" s="30" t="str">
        <f t="shared" si="1650"/>
        <v/>
      </c>
      <c r="DT114" s="30" t="str">
        <f t="shared" si="1651"/>
        <v/>
      </c>
      <c r="DU114" s="30" t="str">
        <f t="shared" si="1652"/>
        <v/>
      </c>
      <c r="DV114" s="30" t="str">
        <f t="shared" si="1653"/>
        <v/>
      </c>
      <c r="DW114" s="30" t="str">
        <f t="shared" si="1654"/>
        <v/>
      </c>
      <c r="DX114" s="30" t="str">
        <f t="shared" si="1655"/>
        <v/>
      </c>
      <c r="DY114" s="30" t="str">
        <f t="shared" si="1656"/>
        <v/>
      </c>
      <c r="DZ114" s="30" t="str">
        <f t="shared" si="1657"/>
        <v/>
      </c>
      <c r="EA114" s="30" t="str">
        <f t="shared" si="1658"/>
        <v/>
      </c>
      <c r="EB114" s="30" t="str">
        <f t="shared" si="1659"/>
        <v/>
      </c>
      <c r="EC114" s="30" t="str">
        <f t="shared" si="1660"/>
        <v/>
      </c>
      <c r="ED114" s="30" t="str">
        <f t="shared" si="1661"/>
        <v/>
      </c>
      <c r="EE114" s="30" t="str">
        <f t="shared" si="1662"/>
        <v/>
      </c>
      <c r="EF114" s="30" t="str">
        <f t="shared" si="1663"/>
        <v/>
      </c>
      <c r="EG114" s="30" t="str">
        <f t="shared" si="1664"/>
        <v/>
      </c>
      <c r="EH114" s="30" t="str">
        <f t="shared" si="1665"/>
        <v/>
      </c>
      <c r="EI114" s="30" t="str">
        <f t="shared" si="1666"/>
        <v/>
      </c>
      <c r="EJ114" s="30" t="str">
        <f t="shared" si="1667"/>
        <v/>
      </c>
      <c r="EK114" s="30" t="str">
        <f t="shared" si="1668"/>
        <v/>
      </c>
      <c r="EL114" s="30" t="str">
        <f t="shared" si="1669"/>
        <v/>
      </c>
      <c r="EM114" s="30" t="str">
        <f t="shared" si="1670"/>
        <v/>
      </c>
      <c r="EN114" s="30" t="str">
        <f t="shared" si="1671"/>
        <v/>
      </c>
      <c r="EO114" s="30" t="str">
        <f t="shared" si="1672"/>
        <v/>
      </c>
      <c r="EP114" s="30" t="str">
        <f t="shared" si="1673"/>
        <v/>
      </c>
      <c r="EQ114" s="30" t="str">
        <f t="shared" si="1674"/>
        <v/>
      </c>
      <c r="ER114" s="30" t="str">
        <f t="shared" si="1675"/>
        <v/>
      </c>
      <c r="ES114" s="30" t="str">
        <f t="shared" si="1676"/>
        <v/>
      </c>
      <c r="ET114" s="30" t="str">
        <f t="shared" si="1677"/>
        <v/>
      </c>
      <c r="EU114" s="30" t="str">
        <f t="shared" si="1678"/>
        <v/>
      </c>
      <c r="EV114" s="30" t="str">
        <f t="shared" si="1679"/>
        <v/>
      </c>
      <c r="EW114" s="30" t="str">
        <f t="shared" si="1680"/>
        <v/>
      </c>
      <c r="EX114" s="30" t="str">
        <f t="shared" si="1681"/>
        <v/>
      </c>
      <c r="EY114" s="30" t="str">
        <f t="shared" si="1682"/>
        <v/>
      </c>
      <c r="EZ114" s="30" t="str">
        <f t="shared" si="1683"/>
        <v/>
      </c>
      <c r="FA114" s="30" t="str">
        <f t="shared" si="1684"/>
        <v/>
      </c>
      <c r="FB114" s="30" t="str">
        <f t="shared" si="1685"/>
        <v/>
      </c>
      <c r="FC114" s="30" t="str">
        <f t="shared" si="1686"/>
        <v/>
      </c>
      <c r="FD114" s="30" t="str">
        <f t="shared" si="1687"/>
        <v/>
      </c>
      <c r="FE114" s="30" t="str">
        <f t="shared" si="1688"/>
        <v/>
      </c>
      <c r="FF114" s="30" t="str">
        <f t="shared" si="1689"/>
        <v/>
      </c>
      <c r="FG114" s="30" t="str">
        <f t="shared" si="1690"/>
        <v/>
      </c>
      <c r="FH114" s="30" t="str">
        <f t="shared" si="1691"/>
        <v/>
      </c>
      <c r="FI114" s="30" t="str">
        <f t="shared" si="1692"/>
        <v/>
      </c>
      <c r="FJ114" s="30" t="str">
        <f t="shared" si="1693"/>
        <v/>
      </c>
      <c r="FK114" s="30" t="str">
        <f t="shared" si="1694"/>
        <v/>
      </c>
      <c r="FL114" s="30" t="str">
        <f t="shared" si="1695"/>
        <v/>
      </c>
      <c r="FM114" s="30" t="str">
        <f t="shared" si="1696"/>
        <v/>
      </c>
      <c r="FN114" s="30" t="str">
        <f t="shared" si="1697"/>
        <v/>
      </c>
      <c r="FO114" s="30" t="str">
        <f t="shared" si="1698"/>
        <v/>
      </c>
      <c r="FP114" s="30" t="str">
        <f t="shared" si="1699"/>
        <v/>
      </c>
      <c r="FQ114" s="30" t="str">
        <f t="shared" si="1700"/>
        <v/>
      </c>
      <c r="FR114" s="30" t="str">
        <f t="shared" si="1701"/>
        <v/>
      </c>
      <c r="FS114" s="30" t="str">
        <f t="shared" si="1702"/>
        <v/>
      </c>
    </row>
    <row r="115" spans="1:175" ht="16.5">
      <c r="A115" s="117"/>
      <c r="B115" s="111" t="s">
        <v>893</v>
      </c>
      <c r="C115" s="117" t="s">
        <v>894</v>
      </c>
      <c r="T115" s="117" t="s">
        <v>892</v>
      </c>
      <c r="U115" s="37" t="s">
        <v>822</v>
      </c>
      <c r="CN115" s="7" t="str">
        <f t="shared" ref="CN115" si="1703">"InitUnitState('"&amp;B115&amp;"',"&amp;V115&amp;","&amp;W115&amp;","&amp;X115&amp;","&amp;Y115&amp;","&amp;Z115&amp;","&amp;AA115&amp;","&amp;AB115&amp;","&amp;AC115&amp;","&amp;AD115&amp;","&amp;AE115&amp;")"</f>
        <v>InitUnitState('IH01',,,,,,,,,,)</v>
      </c>
      <c r="CO115" s="7" t="str">
        <f t="shared" ref="CO115" si="1704">"InitUnitNormal('"&amp;B115&amp;"',"&amp;AF115&amp;","&amp;AG115&amp;","&amp;AH115&amp;","&amp;AI115&amp;","&amp;AJ115&amp;","&amp;AK115&amp;","&amp;AL115&amp;","&amp;AM115&amp;","&amp;AN115&amp;","&amp;AO115&amp;")"</f>
        <v>InitUnitNormal('IH01',,,,,,,,,,)</v>
      </c>
      <c r="CP115" s="7" t="str">
        <f t="shared" ref="CP115" si="1705">"InitUnitMagic('"&amp;B115&amp;"',"&amp;AP115&amp;","&amp;AQ115&amp;","&amp;AR115&amp;","&amp;AS115&amp;","&amp;AT115&amp;","&amp;AU115&amp;","&amp;AV115&amp;","&amp;AW115&amp;","&amp;BI115&amp;","&amp;BJ115&amp;")"</f>
        <v>InitUnitMagic('IH01',,,,,,,,,,)</v>
      </c>
      <c r="CQ115" s="7" t="str">
        <f t="shared" ref="CQ115" si="1706">"InitUnitAdd('"&amp;B115&amp;"',"&amp;BK115&amp;","&amp;BL115&amp;","&amp;BM115&amp;","&amp;BN115&amp;","&amp;BO115&amp;","&amp;BP115&amp;","&amp;BQ115&amp;","&amp;BR115&amp;","&amp;BS115&amp;","&amp;BT115&amp;")"</f>
        <v>InitUnitAdd('IH01',,,,,,,,,,)</v>
      </c>
      <c r="CR115" s="7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InitEquipData('IH01',,"",,,,,'','','','','','',"ReplaceableTextures\\CommandButtons\\BTNTome.blp")</v>
      </c>
      <c r="CU115" s="45" t="str">
        <f t="shared" ref="CU115" si="170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29" t="str">
        <f t="shared" ref="CV115" si="1708">T115</f>
        <v>觉醒兽魂</v>
      </c>
      <c r="CW115" s="24"/>
      <c r="CX115" s="24"/>
      <c r="CY115" s="24"/>
      <c r="CZ115" s="24"/>
      <c r="DA115" s="24"/>
      <c r="DB115" s="30" t="str">
        <f t="shared" ref="DB115" si="1709">IF(V115="","","|n"&amp;DB$2&amp;"+"&amp;V115&amp;DB$1)</f>
        <v/>
      </c>
      <c r="DC115" s="30" t="str">
        <f t="shared" ref="DC115" si="1710">IF(W115="","","|n"&amp;DC$2&amp;"+"&amp;W115&amp;DC$1)</f>
        <v/>
      </c>
      <c r="DD115" s="30" t="str">
        <f t="shared" ref="DD115" si="1711">IF(X115="","","|n"&amp;DD$2&amp;"+"&amp;X115&amp;DD$1)</f>
        <v/>
      </c>
      <c r="DE115" s="30" t="str">
        <f t="shared" ref="DE115" si="1712">IF(Y115="","","|n"&amp;DE$2&amp;"+"&amp;Y115&amp;DE$1)</f>
        <v/>
      </c>
      <c r="DF115" s="30" t="str">
        <f t="shared" ref="DF115" si="1713">IF(Z115="","","|n"&amp;DF$2&amp;"+"&amp;Z115&amp;DF$1)</f>
        <v/>
      </c>
      <c r="DG115" s="30" t="str">
        <f t="shared" ref="DG115" si="1714">IF(AA115="","","|n"&amp;DG$2&amp;"+"&amp;AA115&amp;DG$1)</f>
        <v/>
      </c>
      <c r="DH115" s="30" t="str">
        <f t="shared" ref="DH115" si="1715">IF(AB115="","","|n"&amp;DH$2&amp;"+"&amp;AB115&amp;DH$1)</f>
        <v/>
      </c>
      <c r="DI115" s="30" t="str">
        <f t="shared" ref="DI115" si="1716">IF(AC115="","","|n"&amp;DI$2&amp;"+"&amp;AC115&amp;DI$1)</f>
        <v/>
      </c>
      <c r="DJ115" s="30" t="str">
        <f t="shared" ref="DJ115" si="1717">IF(AD115="","","|n"&amp;DJ$2&amp;"+"&amp;AD115&amp;DJ$1)</f>
        <v/>
      </c>
      <c r="DK115" s="30" t="str">
        <f t="shared" ref="DK115" si="1718">IF(AE115="","","|n"&amp;DK$2&amp;"+"&amp;AE115&amp;DK$1)</f>
        <v/>
      </c>
      <c r="DL115" s="30" t="str">
        <f t="shared" ref="DL115" si="1719">IF(AF115="","","|n"&amp;DL$2&amp;"+"&amp;AF115&amp;DL$1)</f>
        <v/>
      </c>
      <c r="DM115" s="30" t="str">
        <f t="shared" ref="DM115" si="1720">IF(AG115="","","|n"&amp;DM$2&amp;"+"&amp;AG115&amp;DM$1)</f>
        <v/>
      </c>
      <c r="DN115" s="30" t="str">
        <f t="shared" ref="DN115" si="1721">IF(AH115="","","|n"&amp;DN$2&amp;"+"&amp;AH115&amp;DN$1)</f>
        <v/>
      </c>
      <c r="DO115" s="30" t="str">
        <f t="shared" ref="DO115" si="1722">IF(AI115="","","|n"&amp;DO$2&amp;"+"&amp;AI115&amp;DO$1)</f>
        <v/>
      </c>
      <c r="DP115" s="30" t="str">
        <f t="shared" ref="DP115" si="1723">IF(AJ115="","","|n"&amp;DP$2&amp;"+"&amp;AJ115&amp;DP$1)</f>
        <v/>
      </c>
      <c r="DQ115" s="30" t="str">
        <f t="shared" ref="DQ115" si="1724">IF(AK115="","","|n"&amp;DQ$2&amp;"+"&amp;AK115&amp;DQ$1)</f>
        <v/>
      </c>
      <c r="DR115" s="30" t="str">
        <f t="shared" ref="DR115" si="1725">IF(AL115="","","|n"&amp;DR$2&amp;"+"&amp;AL115&amp;DR$1)</f>
        <v/>
      </c>
      <c r="DS115" s="30" t="str">
        <f t="shared" ref="DS115" si="1726">IF(AM115="","","|n"&amp;DS$2&amp;"+"&amp;AM115&amp;DS$1)</f>
        <v/>
      </c>
      <c r="DT115" s="30" t="str">
        <f t="shared" ref="DT115" si="1727">IF(AN115="","","|n"&amp;DT$2&amp;"+"&amp;AN115&amp;DT$1)</f>
        <v/>
      </c>
      <c r="DU115" s="30" t="str">
        <f t="shared" ref="DU115" si="1728">IF(AO115="","","|n"&amp;DU$2&amp;"+"&amp;AO115&amp;DU$1)</f>
        <v/>
      </c>
      <c r="DV115" s="30" t="str">
        <f t="shared" ref="DV115" si="1729">IF(AP115="","","|n"&amp;DV$2&amp;"+"&amp;AP115&amp;DV$1)</f>
        <v/>
      </c>
      <c r="DW115" s="30" t="str">
        <f t="shared" ref="DW115" si="1730">IF(AQ115="","","|n"&amp;DW$2&amp;"+"&amp;AQ115&amp;DW$1)</f>
        <v/>
      </c>
      <c r="DX115" s="30" t="str">
        <f t="shared" ref="DX115" si="1731">IF(AR115="","","|n"&amp;DX$2&amp;"+"&amp;AR115&amp;DX$1)</f>
        <v/>
      </c>
      <c r="DY115" s="30" t="str">
        <f t="shared" ref="DY115" si="1732">IF(AS115="","","|n"&amp;DY$2&amp;"+"&amp;AS115&amp;DY$1)</f>
        <v/>
      </c>
      <c r="DZ115" s="30" t="str">
        <f t="shared" ref="DZ115" si="1733">IF(AT115="","","|n"&amp;DZ$2&amp;"+"&amp;AT115&amp;DZ$1)</f>
        <v/>
      </c>
      <c r="EA115" s="30" t="str">
        <f t="shared" ref="EA115" si="1734">IF(AU115="","","|n"&amp;EA$2&amp;"+"&amp;AU115&amp;EA$1)</f>
        <v/>
      </c>
      <c r="EB115" s="30" t="str">
        <f t="shared" ref="EB115" si="1735">IF(AV115="","","|n"&amp;EB$2&amp;"+"&amp;AV115&amp;EB$1)</f>
        <v/>
      </c>
      <c r="EC115" s="30" t="str">
        <f t="shared" ref="EC115" si="1736">IF(AW115="","","|n"&amp;EC$2&amp;"+"&amp;AW115&amp;EC$1)</f>
        <v/>
      </c>
      <c r="ED115" s="30" t="str">
        <f t="shared" ref="ED115" si="1737">IF(AX115="","","|n"&amp;ED$2&amp;"+"&amp;AX115&amp;ED$1)</f>
        <v/>
      </c>
      <c r="EE115" s="30" t="str">
        <f t="shared" ref="EE115" si="1738">IF(AY115="","","|n"&amp;EE$2&amp;"+"&amp;AY115&amp;EE$1)</f>
        <v/>
      </c>
      <c r="EF115" s="30" t="str">
        <f t="shared" ref="EF115" si="1739">IF(AZ115="","","|n"&amp;EF$2&amp;"+"&amp;AZ115&amp;EF$1)</f>
        <v/>
      </c>
      <c r="EG115" s="30" t="str">
        <f t="shared" ref="EG115" si="1740">IF(BA115="","","|n"&amp;EG$2&amp;"+"&amp;BA115&amp;EG$1)</f>
        <v/>
      </c>
      <c r="EH115" s="30" t="str">
        <f t="shared" ref="EH115" si="1741">IF(BB115="","","|n"&amp;EH$2&amp;"+"&amp;BB115&amp;EH$1)</f>
        <v/>
      </c>
      <c r="EI115" s="30" t="str">
        <f t="shared" ref="EI115" si="1742">IF(BC115="","","|n"&amp;EI$2&amp;"+"&amp;BC115&amp;EI$1)</f>
        <v/>
      </c>
      <c r="EJ115" s="30" t="str">
        <f t="shared" ref="EJ115" si="1743">IF(BD115="","","|n"&amp;EJ$2&amp;"+"&amp;BD115&amp;EJ$1)</f>
        <v/>
      </c>
      <c r="EK115" s="30" t="str">
        <f t="shared" ref="EK115" si="1744">IF(BE115="","","|n"&amp;EK$2&amp;"+"&amp;BE115&amp;EK$1)</f>
        <v/>
      </c>
      <c r="EL115" s="30" t="str">
        <f t="shared" ref="EL115" si="1745">IF(BF115="","","|n"&amp;EL$2&amp;"+"&amp;BF115&amp;EL$1)</f>
        <v/>
      </c>
      <c r="EM115" s="30" t="str">
        <f t="shared" ref="EM115" si="1746">IF(BG115="","","|n"&amp;EM$2&amp;"+"&amp;BG115&amp;EM$1)</f>
        <v/>
      </c>
      <c r="EN115" s="30" t="str">
        <f t="shared" ref="EN115" si="1747">IF(BH115="","","|n"&amp;EN$2&amp;"+"&amp;BH115&amp;EN$1)</f>
        <v/>
      </c>
      <c r="EO115" s="30" t="str">
        <f t="shared" ref="EO115" si="1748">IF(BI115="","","|n"&amp;EO$2&amp;"+"&amp;BI115&amp;EO$1)</f>
        <v/>
      </c>
      <c r="EP115" s="30" t="str">
        <f t="shared" ref="EP115" si="1749">IF(BJ115="","","|n"&amp;EP$2&amp;"+"&amp;BJ115&amp;EP$1)</f>
        <v/>
      </c>
      <c r="EQ115" s="30" t="str">
        <f t="shared" ref="EQ115" si="1750">IF(BK115="","","|n"&amp;EQ$2&amp;"+"&amp;BK115&amp;EQ$1)</f>
        <v/>
      </c>
      <c r="ER115" s="30" t="str">
        <f t="shared" ref="ER115" si="1751">IF(BL115="","","|n"&amp;ER$2&amp;"+"&amp;BL115&amp;ER$1)</f>
        <v/>
      </c>
      <c r="ES115" s="30" t="str">
        <f t="shared" ref="ES115" si="1752">IF(BM115="","","|n"&amp;ES$2&amp;"+"&amp;BM115&amp;ES$1)</f>
        <v/>
      </c>
      <c r="ET115" s="30" t="str">
        <f t="shared" ref="ET115" si="1753">IF(BN115="","","|n"&amp;ET$2&amp;"+"&amp;BN115&amp;ET$1)</f>
        <v/>
      </c>
      <c r="EU115" s="30" t="str">
        <f t="shared" ref="EU115" si="1754">IF(BO115="","","|n"&amp;EU$2&amp;"+"&amp;BO115&amp;EU$1)</f>
        <v/>
      </c>
      <c r="EV115" s="30" t="str">
        <f t="shared" ref="EV115" si="1755">IF(BP115="","","|n"&amp;EV$2&amp;"+"&amp;BP115&amp;EV$1)</f>
        <v/>
      </c>
      <c r="EW115" s="30" t="str">
        <f t="shared" ref="EW115" si="1756">IF(BQ115="","","|n"&amp;EW$2&amp;"+"&amp;BQ115&amp;EW$1)</f>
        <v/>
      </c>
      <c r="EX115" s="30" t="str">
        <f t="shared" ref="EX115" si="1757">IF(BR115="","","|n"&amp;EX$2&amp;"+"&amp;BR115&amp;EX$1)</f>
        <v/>
      </c>
      <c r="EY115" s="30" t="str">
        <f t="shared" ref="EY115" si="1758">IF(BS115="","","|n"&amp;EY$2&amp;"+"&amp;BS115&amp;EY$1)</f>
        <v/>
      </c>
      <c r="EZ115" s="30" t="str">
        <f t="shared" ref="EZ115" si="1759">IF(BT115="","","|n"&amp;EZ$2&amp;"+"&amp;BT115&amp;EZ$1)</f>
        <v/>
      </c>
      <c r="FA115" s="30" t="str">
        <f t="shared" ref="FA115" si="1760">IF(BU115="","","|n"&amp;FA$2&amp;"+"&amp;BU115&amp;FA$1)</f>
        <v/>
      </c>
      <c r="FB115" s="30" t="str">
        <f t="shared" ref="FB115" si="1761">IF(BV115="","","|n"&amp;FB$2&amp;"+"&amp;BV115&amp;FB$1)</f>
        <v/>
      </c>
      <c r="FC115" s="30" t="str">
        <f t="shared" ref="FC115" si="1762">IF(BW115="","","|n"&amp;FC$2&amp;"+"&amp;BW115&amp;FC$1)</f>
        <v/>
      </c>
      <c r="FD115" s="30" t="str">
        <f t="shared" ref="FD115" si="1763">IF(BX115="","","|n"&amp;FD$2&amp;"+"&amp;BX115&amp;FD$1)</f>
        <v/>
      </c>
      <c r="FE115" s="30" t="str">
        <f t="shared" ref="FE115" si="1764">IF(BY115="","","|n"&amp;FE$2&amp;"+"&amp;BY115&amp;FE$1)</f>
        <v/>
      </c>
      <c r="FF115" s="30" t="str">
        <f t="shared" ref="FF115" si="1765">IF(BZ115="","","|n"&amp;FF$2&amp;"+"&amp;BZ115&amp;FF$1)</f>
        <v/>
      </c>
      <c r="FG115" s="30" t="str">
        <f t="shared" ref="FG115" si="1766">IF(CA115="","","|n"&amp;FG$2&amp;"+"&amp;CA115&amp;FG$1)</f>
        <v/>
      </c>
      <c r="FH115" s="30" t="str">
        <f t="shared" ref="FH115" si="1767">IF(CB115="","","|n"&amp;FH$2&amp;"+"&amp;CB115&amp;FH$1)</f>
        <v/>
      </c>
      <c r="FI115" s="30" t="str">
        <f t="shared" ref="FI115" si="1768">IF(CC115="","","|n"&amp;FI$2&amp;"+"&amp;CC115&amp;FI$1)</f>
        <v/>
      </c>
      <c r="FJ115" s="30" t="str">
        <f t="shared" ref="FJ115" si="1769">IF(CD115="","","|n"&amp;FJ$2&amp;"+"&amp;CD115&amp;FJ$1)</f>
        <v/>
      </c>
      <c r="FK115" s="30" t="str">
        <f t="shared" ref="FK115" si="1770">IF(CE115="","","|n"&amp;FK$2&amp;"+"&amp;CE115&amp;FK$1)</f>
        <v/>
      </c>
      <c r="FL115" s="30" t="str">
        <f t="shared" ref="FL115" si="1771">IF(CF115="","","|n"&amp;FL$2&amp;"+"&amp;CF115&amp;FL$1)</f>
        <v/>
      </c>
      <c r="FM115" s="30" t="str">
        <f t="shared" ref="FM115" si="1772">IF(CG115="","","|n"&amp;FM$2&amp;"+"&amp;CG115&amp;FM$1)</f>
        <v/>
      </c>
      <c r="FN115" s="30" t="str">
        <f t="shared" ref="FN115" si="1773">IF(CH115="","","|n"&amp;FN$2&amp;"+"&amp;CH115&amp;FN$1)</f>
        <v/>
      </c>
      <c r="FO115" s="30" t="str">
        <f t="shared" ref="FO115" si="1774">IF(CI115="","","|n"&amp;FO$2&amp;"+"&amp;CI115&amp;FO$1)</f>
        <v/>
      </c>
      <c r="FP115" s="30" t="str">
        <f t="shared" ref="FP115" si="1775">IF(CJ115="","","|n"&amp;FP$2&amp;"+"&amp;CJ115&amp;FP$1)</f>
        <v/>
      </c>
      <c r="FQ115" s="30" t="str">
        <f t="shared" ref="FQ115" si="1776">IF(CK115="","","|n"&amp;FQ$2&amp;"+"&amp;CK115&amp;FQ$1)</f>
        <v/>
      </c>
      <c r="FR115" s="30" t="str">
        <f t="shared" ref="FR115" si="1777">IF(CL115="","","|n"&amp;FR$2&amp;"+"&amp;CL115&amp;FR$1)</f>
        <v/>
      </c>
      <c r="FS115" s="30" t="str">
        <f t="shared" ref="FS115" si="1778">IF(CM115="","","|n"&amp;FS$2&amp;"+"&amp;CM115&amp;FS$1)</f>
        <v/>
      </c>
    </row>
    <row r="116" spans="1:175" ht="16.5">
      <c r="A116" s="117"/>
      <c r="B116" s="111" t="s">
        <v>895</v>
      </c>
      <c r="C116" s="117" t="s">
        <v>896</v>
      </c>
      <c r="T116" s="117" t="s">
        <v>892</v>
      </c>
      <c r="U116" s="37" t="s">
        <v>822</v>
      </c>
      <c r="CN116" s="7" t="str">
        <f t="shared" ref="CN116:CN122" si="1779">"InitUnitState('"&amp;B116&amp;"',"&amp;V116&amp;","&amp;W116&amp;","&amp;X116&amp;","&amp;Y116&amp;","&amp;Z116&amp;","&amp;AA116&amp;","&amp;AB116&amp;","&amp;AC116&amp;","&amp;AD116&amp;","&amp;AE116&amp;")"</f>
        <v>InitUnitState('IH02',,,,,,,,,,)</v>
      </c>
      <c r="CO116" s="7" t="str">
        <f t="shared" ref="CO116:CO122" si="1780">"InitUnitNormal('"&amp;B116&amp;"',"&amp;AF116&amp;","&amp;AG116&amp;","&amp;AH116&amp;","&amp;AI116&amp;","&amp;AJ116&amp;","&amp;AK116&amp;","&amp;AL116&amp;","&amp;AM116&amp;","&amp;AN116&amp;","&amp;AO116&amp;")"</f>
        <v>InitUnitNormal('IH02',,,,,,,,,,)</v>
      </c>
      <c r="CP116" s="7" t="str">
        <f t="shared" ref="CP116:CP122" si="1781">"InitUnitMagic('"&amp;B116&amp;"',"&amp;AP116&amp;","&amp;AQ116&amp;","&amp;AR116&amp;","&amp;AS116&amp;","&amp;AT116&amp;","&amp;AU116&amp;","&amp;AV116&amp;","&amp;AW116&amp;","&amp;BI116&amp;","&amp;BJ116&amp;")"</f>
        <v>InitUnitMagic('IH02',,,,,,,,,,)</v>
      </c>
      <c r="CQ116" s="7" t="str">
        <f t="shared" ref="CQ116:CQ122" si="1782">"InitUnitAdd('"&amp;B116&amp;"',"&amp;BK116&amp;","&amp;BL116&amp;","&amp;BM116&amp;","&amp;BN116&amp;","&amp;BO116&amp;","&amp;BP116&amp;","&amp;BQ116&amp;","&amp;BR116&amp;","&amp;BS116&amp;","&amp;BT116&amp;")"</f>
        <v>InitUnitAdd('IH02',,,,,,,,,,)</v>
      </c>
      <c r="CR116" s="7" t="str">
        <f t="shared" ref="CR116:CR121" si="1783"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InitEquipData('IH02',,"",,,,,'','','','','','',"ReplaceableTextures\\CommandButtons\\BTNTome.blp")</v>
      </c>
      <c r="CU116" s="45" t="str">
        <f t="shared" ref="CU116:CU122" si="1784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29" t="str">
        <f t="shared" ref="CV116:CV122" si="1785">T116</f>
        <v>觉醒兽魂</v>
      </c>
      <c r="CW116" s="24"/>
      <c r="CX116" s="24"/>
      <c r="CY116" s="24"/>
      <c r="CZ116" s="24"/>
      <c r="DA116" s="24"/>
      <c r="DB116" s="30" t="str">
        <f t="shared" ref="DB116:DB122" si="1786">IF(V116="","","|n"&amp;DB$2&amp;"+"&amp;V116&amp;DB$1)</f>
        <v/>
      </c>
      <c r="DC116" s="30" t="str">
        <f t="shared" ref="DC116:DC122" si="1787">IF(W116="","","|n"&amp;DC$2&amp;"+"&amp;W116&amp;DC$1)</f>
        <v/>
      </c>
      <c r="DD116" s="30" t="str">
        <f t="shared" ref="DD116:DD122" si="1788">IF(X116="","","|n"&amp;DD$2&amp;"+"&amp;X116&amp;DD$1)</f>
        <v/>
      </c>
      <c r="DE116" s="30" t="str">
        <f t="shared" ref="DE116:DE122" si="1789">IF(Y116="","","|n"&amp;DE$2&amp;"+"&amp;Y116&amp;DE$1)</f>
        <v/>
      </c>
      <c r="DF116" s="30" t="str">
        <f t="shared" ref="DF116:DF122" si="1790">IF(Z116="","","|n"&amp;DF$2&amp;"+"&amp;Z116&amp;DF$1)</f>
        <v/>
      </c>
      <c r="DG116" s="30" t="str">
        <f t="shared" ref="DG116:DG122" si="1791">IF(AA116="","","|n"&amp;DG$2&amp;"+"&amp;AA116&amp;DG$1)</f>
        <v/>
      </c>
      <c r="DH116" s="30" t="str">
        <f t="shared" ref="DH116:DH122" si="1792">IF(AB116="","","|n"&amp;DH$2&amp;"+"&amp;AB116&amp;DH$1)</f>
        <v/>
      </c>
      <c r="DI116" s="30" t="str">
        <f t="shared" ref="DI116:DI122" si="1793">IF(AC116="","","|n"&amp;DI$2&amp;"+"&amp;AC116&amp;DI$1)</f>
        <v/>
      </c>
      <c r="DJ116" s="30" t="str">
        <f t="shared" ref="DJ116:DJ122" si="1794">IF(AD116="","","|n"&amp;DJ$2&amp;"+"&amp;AD116&amp;DJ$1)</f>
        <v/>
      </c>
      <c r="DK116" s="30" t="str">
        <f t="shared" ref="DK116:DK122" si="1795">IF(AE116="","","|n"&amp;DK$2&amp;"+"&amp;AE116&amp;DK$1)</f>
        <v/>
      </c>
      <c r="DL116" s="30" t="str">
        <f t="shared" ref="DL116:DL122" si="1796">IF(AF116="","","|n"&amp;DL$2&amp;"+"&amp;AF116&amp;DL$1)</f>
        <v/>
      </c>
      <c r="DM116" s="30" t="str">
        <f t="shared" ref="DM116:DM122" si="1797">IF(AG116="","","|n"&amp;DM$2&amp;"+"&amp;AG116&amp;DM$1)</f>
        <v/>
      </c>
      <c r="DN116" s="30" t="str">
        <f t="shared" ref="DN116:DN122" si="1798">IF(AH116="","","|n"&amp;DN$2&amp;"+"&amp;AH116&amp;DN$1)</f>
        <v/>
      </c>
      <c r="DO116" s="30" t="str">
        <f t="shared" ref="DO116:DO122" si="1799">IF(AI116="","","|n"&amp;DO$2&amp;"+"&amp;AI116&amp;DO$1)</f>
        <v/>
      </c>
      <c r="DP116" s="30" t="str">
        <f t="shared" ref="DP116:DP122" si="1800">IF(AJ116="","","|n"&amp;DP$2&amp;"+"&amp;AJ116&amp;DP$1)</f>
        <v/>
      </c>
      <c r="DQ116" s="30" t="str">
        <f t="shared" ref="DQ116:DQ122" si="1801">IF(AK116="","","|n"&amp;DQ$2&amp;"+"&amp;AK116&amp;DQ$1)</f>
        <v/>
      </c>
      <c r="DR116" s="30" t="str">
        <f t="shared" ref="DR116:DR122" si="1802">IF(AL116="","","|n"&amp;DR$2&amp;"+"&amp;AL116&amp;DR$1)</f>
        <v/>
      </c>
      <c r="DS116" s="30" t="str">
        <f t="shared" ref="DS116:DS122" si="1803">IF(AM116="","","|n"&amp;DS$2&amp;"+"&amp;AM116&amp;DS$1)</f>
        <v/>
      </c>
      <c r="DT116" s="30" t="str">
        <f t="shared" ref="DT116:DT122" si="1804">IF(AN116="","","|n"&amp;DT$2&amp;"+"&amp;AN116&amp;DT$1)</f>
        <v/>
      </c>
      <c r="DU116" s="30" t="str">
        <f t="shared" ref="DU116:DU122" si="1805">IF(AO116="","","|n"&amp;DU$2&amp;"+"&amp;AO116&amp;DU$1)</f>
        <v/>
      </c>
      <c r="DV116" s="30" t="str">
        <f t="shared" ref="DV116:DV122" si="1806">IF(AP116="","","|n"&amp;DV$2&amp;"+"&amp;AP116&amp;DV$1)</f>
        <v/>
      </c>
      <c r="DW116" s="30" t="str">
        <f t="shared" ref="DW116:DW122" si="1807">IF(AQ116="","","|n"&amp;DW$2&amp;"+"&amp;AQ116&amp;DW$1)</f>
        <v/>
      </c>
      <c r="DX116" s="30" t="str">
        <f t="shared" ref="DX116:DX122" si="1808">IF(AR116="","","|n"&amp;DX$2&amp;"+"&amp;AR116&amp;DX$1)</f>
        <v/>
      </c>
      <c r="DY116" s="30" t="str">
        <f t="shared" ref="DY116:DY122" si="1809">IF(AS116="","","|n"&amp;DY$2&amp;"+"&amp;AS116&amp;DY$1)</f>
        <v/>
      </c>
      <c r="DZ116" s="30" t="str">
        <f t="shared" ref="DZ116:DZ122" si="1810">IF(AT116="","","|n"&amp;DZ$2&amp;"+"&amp;AT116&amp;DZ$1)</f>
        <v/>
      </c>
      <c r="EA116" s="30" t="str">
        <f t="shared" ref="EA116:EA122" si="1811">IF(AU116="","","|n"&amp;EA$2&amp;"+"&amp;AU116&amp;EA$1)</f>
        <v/>
      </c>
      <c r="EB116" s="30" t="str">
        <f t="shared" ref="EB116:EB122" si="1812">IF(AV116="","","|n"&amp;EB$2&amp;"+"&amp;AV116&amp;EB$1)</f>
        <v/>
      </c>
      <c r="EC116" s="30" t="str">
        <f t="shared" ref="EC116:EC122" si="1813">IF(AW116="","","|n"&amp;EC$2&amp;"+"&amp;AW116&amp;EC$1)</f>
        <v/>
      </c>
      <c r="ED116" s="30" t="str">
        <f t="shared" ref="ED116:ED122" si="1814">IF(AX116="","","|n"&amp;ED$2&amp;"+"&amp;AX116&amp;ED$1)</f>
        <v/>
      </c>
      <c r="EE116" s="30" t="str">
        <f t="shared" ref="EE116:EE122" si="1815">IF(AY116="","","|n"&amp;EE$2&amp;"+"&amp;AY116&amp;EE$1)</f>
        <v/>
      </c>
      <c r="EF116" s="30" t="str">
        <f t="shared" ref="EF116:EF122" si="1816">IF(AZ116="","","|n"&amp;EF$2&amp;"+"&amp;AZ116&amp;EF$1)</f>
        <v/>
      </c>
      <c r="EG116" s="30" t="str">
        <f t="shared" ref="EG116:EG122" si="1817">IF(BA116="","","|n"&amp;EG$2&amp;"+"&amp;BA116&amp;EG$1)</f>
        <v/>
      </c>
      <c r="EH116" s="30" t="str">
        <f t="shared" ref="EH116:EH122" si="1818">IF(BB116="","","|n"&amp;EH$2&amp;"+"&amp;BB116&amp;EH$1)</f>
        <v/>
      </c>
      <c r="EI116" s="30" t="str">
        <f t="shared" ref="EI116:EI122" si="1819">IF(BC116="","","|n"&amp;EI$2&amp;"+"&amp;BC116&amp;EI$1)</f>
        <v/>
      </c>
      <c r="EJ116" s="30" t="str">
        <f t="shared" ref="EJ116:EJ122" si="1820">IF(BD116="","","|n"&amp;EJ$2&amp;"+"&amp;BD116&amp;EJ$1)</f>
        <v/>
      </c>
      <c r="EK116" s="30" t="str">
        <f t="shared" ref="EK116:EK122" si="1821">IF(BE116="","","|n"&amp;EK$2&amp;"+"&amp;BE116&amp;EK$1)</f>
        <v/>
      </c>
      <c r="EL116" s="30" t="str">
        <f t="shared" ref="EL116:EL122" si="1822">IF(BF116="","","|n"&amp;EL$2&amp;"+"&amp;BF116&amp;EL$1)</f>
        <v/>
      </c>
      <c r="EM116" s="30" t="str">
        <f t="shared" ref="EM116:EM122" si="1823">IF(BG116="","","|n"&amp;EM$2&amp;"+"&amp;BG116&amp;EM$1)</f>
        <v/>
      </c>
      <c r="EN116" s="30" t="str">
        <f t="shared" ref="EN116:EN122" si="1824">IF(BH116="","","|n"&amp;EN$2&amp;"+"&amp;BH116&amp;EN$1)</f>
        <v/>
      </c>
      <c r="EO116" s="30" t="str">
        <f t="shared" ref="EO116:EO122" si="1825">IF(BI116="","","|n"&amp;EO$2&amp;"+"&amp;BI116&amp;EO$1)</f>
        <v/>
      </c>
      <c r="EP116" s="30" t="str">
        <f t="shared" ref="EP116:EP122" si="1826">IF(BJ116="","","|n"&amp;EP$2&amp;"+"&amp;BJ116&amp;EP$1)</f>
        <v/>
      </c>
      <c r="EQ116" s="30" t="str">
        <f t="shared" ref="EQ116:EQ122" si="1827">IF(BK116="","","|n"&amp;EQ$2&amp;"+"&amp;BK116&amp;EQ$1)</f>
        <v/>
      </c>
      <c r="ER116" s="30" t="str">
        <f t="shared" ref="ER116:ER122" si="1828">IF(BL116="","","|n"&amp;ER$2&amp;"+"&amp;BL116&amp;ER$1)</f>
        <v/>
      </c>
      <c r="ES116" s="30" t="str">
        <f t="shared" ref="ES116:ES122" si="1829">IF(BM116="","","|n"&amp;ES$2&amp;"+"&amp;BM116&amp;ES$1)</f>
        <v/>
      </c>
      <c r="ET116" s="30" t="str">
        <f t="shared" ref="ET116:ET122" si="1830">IF(BN116="","","|n"&amp;ET$2&amp;"+"&amp;BN116&amp;ET$1)</f>
        <v/>
      </c>
      <c r="EU116" s="30" t="str">
        <f t="shared" ref="EU116:EU122" si="1831">IF(BO116="","","|n"&amp;EU$2&amp;"+"&amp;BO116&amp;EU$1)</f>
        <v/>
      </c>
      <c r="EV116" s="30" t="str">
        <f t="shared" ref="EV116:EV122" si="1832">IF(BP116="","","|n"&amp;EV$2&amp;"+"&amp;BP116&amp;EV$1)</f>
        <v/>
      </c>
      <c r="EW116" s="30" t="str">
        <f t="shared" ref="EW116:EW122" si="1833">IF(BQ116="","","|n"&amp;EW$2&amp;"+"&amp;BQ116&amp;EW$1)</f>
        <v/>
      </c>
      <c r="EX116" s="30" t="str">
        <f t="shared" ref="EX116:EX122" si="1834">IF(BR116="","","|n"&amp;EX$2&amp;"+"&amp;BR116&amp;EX$1)</f>
        <v/>
      </c>
      <c r="EY116" s="30" t="str">
        <f t="shared" ref="EY116:EY122" si="1835">IF(BS116="","","|n"&amp;EY$2&amp;"+"&amp;BS116&amp;EY$1)</f>
        <v/>
      </c>
      <c r="EZ116" s="30" t="str">
        <f t="shared" ref="EZ116:EZ122" si="1836">IF(BT116="","","|n"&amp;EZ$2&amp;"+"&amp;BT116&amp;EZ$1)</f>
        <v/>
      </c>
      <c r="FA116" s="30" t="str">
        <f t="shared" ref="FA116:FA122" si="1837">IF(BU116="","","|n"&amp;FA$2&amp;"+"&amp;BU116&amp;FA$1)</f>
        <v/>
      </c>
      <c r="FB116" s="30" t="str">
        <f t="shared" ref="FB116:FB122" si="1838">IF(BV116="","","|n"&amp;FB$2&amp;"+"&amp;BV116&amp;FB$1)</f>
        <v/>
      </c>
      <c r="FC116" s="30" t="str">
        <f t="shared" ref="FC116:FC122" si="1839">IF(BW116="","","|n"&amp;FC$2&amp;"+"&amp;BW116&amp;FC$1)</f>
        <v/>
      </c>
      <c r="FD116" s="30" t="str">
        <f t="shared" ref="FD116:FD122" si="1840">IF(BX116="","","|n"&amp;FD$2&amp;"+"&amp;BX116&amp;FD$1)</f>
        <v/>
      </c>
      <c r="FE116" s="30" t="str">
        <f t="shared" ref="FE116:FE122" si="1841">IF(BY116="","","|n"&amp;FE$2&amp;"+"&amp;BY116&amp;FE$1)</f>
        <v/>
      </c>
      <c r="FF116" s="30" t="str">
        <f t="shared" ref="FF116:FF122" si="1842">IF(BZ116="","","|n"&amp;FF$2&amp;"+"&amp;BZ116&amp;FF$1)</f>
        <v/>
      </c>
      <c r="FG116" s="30" t="str">
        <f t="shared" ref="FG116:FG122" si="1843">IF(CA116="","","|n"&amp;FG$2&amp;"+"&amp;CA116&amp;FG$1)</f>
        <v/>
      </c>
      <c r="FH116" s="30" t="str">
        <f t="shared" ref="FH116:FH122" si="1844">IF(CB116="","","|n"&amp;FH$2&amp;"+"&amp;CB116&amp;FH$1)</f>
        <v/>
      </c>
      <c r="FI116" s="30" t="str">
        <f t="shared" ref="FI116:FI122" si="1845">IF(CC116="","","|n"&amp;FI$2&amp;"+"&amp;CC116&amp;FI$1)</f>
        <v/>
      </c>
      <c r="FJ116" s="30" t="str">
        <f t="shared" ref="FJ116:FJ122" si="1846">IF(CD116="","","|n"&amp;FJ$2&amp;"+"&amp;CD116&amp;FJ$1)</f>
        <v/>
      </c>
      <c r="FK116" s="30" t="str">
        <f t="shared" ref="FK116:FK122" si="1847">IF(CE116="","","|n"&amp;FK$2&amp;"+"&amp;CE116&amp;FK$1)</f>
        <v/>
      </c>
      <c r="FL116" s="30" t="str">
        <f t="shared" ref="FL116:FL122" si="1848">IF(CF116="","","|n"&amp;FL$2&amp;"+"&amp;CF116&amp;FL$1)</f>
        <v/>
      </c>
      <c r="FM116" s="30" t="str">
        <f t="shared" ref="FM116:FM122" si="1849">IF(CG116="","","|n"&amp;FM$2&amp;"+"&amp;CG116&amp;FM$1)</f>
        <v/>
      </c>
      <c r="FN116" s="30" t="str">
        <f t="shared" ref="FN116:FN122" si="1850">IF(CH116="","","|n"&amp;FN$2&amp;"+"&amp;CH116&amp;FN$1)</f>
        <v/>
      </c>
      <c r="FO116" s="30" t="str">
        <f t="shared" ref="FO116:FO122" si="1851">IF(CI116="","","|n"&amp;FO$2&amp;"+"&amp;CI116&amp;FO$1)</f>
        <v/>
      </c>
      <c r="FP116" s="30" t="str">
        <f t="shared" ref="FP116:FP122" si="1852">IF(CJ116="","","|n"&amp;FP$2&amp;"+"&amp;CJ116&amp;FP$1)</f>
        <v/>
      </c>
      <c r="FQ116" s="30" t="str">
        <f t="shared" ref="FQ116:FQ122" si="1853">IF(CK116="","","|n"&amp;FQ$2&amp;"+"&amp;CK116&amp;FQ$1)</f>
        <v/>
      </c>
      <c r="FR116" s="30" t="str">
        <f t="shared" ref="FR116:FR122" si="1854">IF(CL116="","","|n"&amp;FR$2&amp;"+"&amp;CL116&amp;FR$1)</f>
        <v/>
      </c>
      <c r="FS116" s="30" t="str">
        <f t="shared" ref="FS116:FS122" si="1855">IF(CM116="","","|n"&amp;FS$2&amp;"+"&amp;CM116&amp;FS$1)</f>
        <v/>
      </c>
    </row>
    <row r="117" spans="1:175" ht="16.5">
      <c r="A117" s="117"/>
      <c r="B117" s="111" t="s">
        <v>897</v>
      </c>
      <c r="C117" s="117" t="s">
        <v>898</v>
      </c>
      <c r="T117" s="117" t="s">
        <v>892</v>
      </c>
      <c r="U117" s="37" t="s">
        <v>822</v>
      </c>
      <c r="CN117" s="7" t="str">
        <f t="shared" si="1779"/>
        <v>InitUnitState('IH03',,,,,,,,,,)</v>
      </c>
      <c r="CO117" s="7" t="str">
        <f t="shared" si="1780"/>
        <v>InitUnitNormal('IH03',,,,,,,,,,)</v>
      </c>
      <c r="CP117" s="7" t="str">
        <f t="shared" si="1781"/>
        <v>InitUnitMagic('IH03',,,,,,,,,,)</v>
      </c>
      <c r="CQ117" s="7" t="str">
        <f t="shared" si="1782"/>
        <v>InitUnitAdd('IH03',,,,,,,,,,)</v>
      </c>
      <c r="CR117" s="7" t="str">
        <f t="shared" si="1783"/>
        <v>InitEquipData('IH03',,"",,,,,'','','','','','',"ReplaceableTextures\\CommandButtons\\BTNTome.blp")</v>
      </c>
      <c r="CU117" s="45" t="str">
        <f t="shared" si="1784"/>
        <v>|n</v>
      </c>
      <c r="CV117" s="29" t="str">
        <f t="shared" si="1785"/>
        <v>觉醒兽魂</v>
      </c>
      <c r="CW117" s="24"/>
      <c r="CX117" s="24"/>
      <c r="CY117" s="24"/>
      <c r="CZ117" s="24"/>
      <c r="DA117" s="24"/>
      <c r="DB117" s="30" t="str">
        <f t="shared" si="1786"/>
        <v/>
      </c>
      <c r="DC117" s="30" t="str">
        <f t="shared" si="1787"/>
        <v/>
      </c>
      <c r="DD117" s="30" t="str">
        <f t="shared" si="1788"/>
        <v/>
      </c>
      <c r="DE117" s="30" t="str">
        <f t="shared" si="1789"/>
        <v/>
      </c>
      <c r="DF117" s="30" t="str">
        <f t="shared" si="1790"/>
        <v/>
      </c>
      <c r="DG117" s="30" t="str">
        <f t="shared" si="1791"/>
        <v/>
      </c>
      <c r="DH117" s="30" t="str">
        <f t="shared" si="1792"/>
        <v/>
      </c>
      <c r="DI117" s="30" t="str">
        <f t="shared" si="1793"/>
        <v/>
      </c>
      <c r="DJ117" s="30" t="str">
        <f t="shared" si="1794"/>
        <v/>
      </c>
      <c r="DK117" s="30" t="str">
        <f t="shared" si="1795"/>
        <v/>
      </c>
      <c r="DL117" s="30" t="str">
        <f t="shared" si="1796"/>
        <v/>
      </c>
      <c r="DM117" s="30" t="str">
        <f t="shared" si="1797"/>
        <v/>
      </c>
      <c r="DN117" s="30" t="str">
        <f t="shared" si="1798"/>
        <v/>
      </c>
      <c r="DO117" s="30" t="str">
        <f t="shared" si="1799"/>
        <v/>
      </c>
      <c r="DP117" s="30" t="str">
        <f t="shared" si="1800"/>
        <v/>
      </c>
      <c r="DQ117" s="30" t="str">
        <f t="shared" si="1801"/>
        <v/>
      </c>
      <c r="DR117" s="30" t="str">
        <f t="shared" si="1802"/>
        <v/>
      </c>
      <c r="DS117" s="30" t="str">
        <f t="shared" si="1803"/>
        <v/>
      </c>
      <c r="DT117" s="30" t="str">
        <f t="shared" si="1804"/>
        <v/>
      </c>
      <c r="DU117" s="30" t="str">
        <f t="shared" si="1805"/>
        <v/>
      </c>
      <c r="DV117" s="30" t="str">
        <f t="shared" si="1806"/>
        <v/>
      </c>
      <c r="DW117" s="30" t="str">
        <f t="shared" si="1807"/>
        <v/>
      </c>
      <c r="DX117" s="30" t="str">
        <f t="shared" si="1808"/>
        <v/>
      </c>
      <c r="DY117" s="30" t="str">
        <f t="shared" si="1809"/>
        <v/>
      </c>
      <c r="DZ117" s="30" t="str">
        <f t="shared" si="1810"/>
        <v/>
      </c>
      <c r="EA117" s="30" t="str">
        <f t="shared" si="1811"/>
        <v/>
      </c>
      <c r="EB117" s="30" t="str">
        <f t="shared" si="1812"/>
        <v/>
      </c>
      <c r="EC117" s="30" t="str">
        <f t="shared" si="1813"/>
        <v/>
      </c>
      <c r="ED117" s="30" t="str">
        <f t="shared" si="1814"/>
        <v/>
      </c>
      <c r="EE117" s="30" t="str">
        <f t="shared" si="1815"/>
        <v/>
      </c>
      <c r="EF117" s="30" t="str">
        <f t="shared" si="1816"/>
        <v/>
      </c>
      <c r="EG117" s="30" t="str">
        <f t="shared" si="1817"/>
        <v/>
      </c>
      <c r="EH117" s="30" t="str">
        <f t="shared" si="1818"/>
        <v/>
      </c>
      <c r="EI117" s="30" t="str">
        <f t="shared" si="1819"/>
        <v/>
      </c>
      <c r="EJ117" s="30" t="str">
        <f t="shared" si="1820"/>
        <v/>
      </c>
      <c r="EK117" s="30" t="str">
        <f t="shared" si="1821"/>
        <v/>
      </c>
      <c r="EL117" s="30" t="str">
        <f t="shared" si="1822"/>
        <v/>
      </c>
      <c r="EM117" s="30" t="str">
        <f t="shared" si="1823"/>
        <v/>
      </c>
      <c r="EN117" s="30" t="str">
        <f t="shared" si="1824"/>
        <v/>
      </c>
      <c r="EO117" s="30" t="str">
        <f t="shared" si="1825"/>
        <v/>
      </c>
      <c r="EP117" s="30" t="str">
        <f t="shared" si="1826"/>
        <v/>
      </c>
      <c r="EQ117" s="30" t="str">
        <f t="shared" si="1827"/>
        <v/>
      </c>
      <c r="ER117" s="30" t="str">
        <f t="shared" si="1828"/>
        <v/>
      </c>
      <c r="ES117" s="30" t="str">
        <f t="shared" si="1829"/>
        <v/>
      </c>
      <c r="ET117" s="30" t="str">
        <f t="shared" si="1830"/>
        <v/>
      </c>
      <c r="EU117" s="30" t="str">
        <f t="shared" si="1831"/>
        <v/>
      </c>
      <c r="EV117" s="30" t="str">
        <f t="shared" si="1832"/>
        <v/>
      </c>
      <c r="EW117" s="30" t="str">
        <f t="shared" si="1833"/>
        <v/>
      </c>
      <c r="EX117" s="30" t="str">
        <f t="shared" si="1834"/>
        <v/>
      </c>
      <c r="EY117" s="30" t="str">
        <f t="shared" si="1835"/>
        <v/>
      </c>
      <c r="EZ117" s="30" t="str">
        <f t="shared" si="1836"/>
        <v/>
      </c>
      <c r="FA117" s="30" t="str">
        <f t="shared" si="1837"/>
        <v/>
      </c>
      <c r="FB117" s="30" t="str">
        <f t="shared" si="1838"/>
        <v/>
      </c>
      <c r="FC117" s="30" t="str">
        <f t="shared" si="1839"/>
        <v/>
      </c>
      <c r="FD117" s="30" t="str">
        <f t="shared" si="1840"/>
        <v/>
      </c>
      <c r="FE117" s="30" t="str">
        <f t="shared" si="1841"/>
        <v/>
      </c>
      <c r="FF117" s="30" t="str">
        <f t="shared" si="1842"/>
        <v/>
      </c>
      <c r="FG117" s="30" t="str">
        <f t="shared" si="1843"/>
        <v/>
      </c>
      <c r="FH117" s="30" t="str">
        <f t="shared" si="1844"/>
        <v/>
      </c>
      <c r="FI117" s="30" t="str">
        <f t="shared" si="1845"/>
        <v/>
      </c>
      <c r="FJ117" s="30" t="str">
        <f t="shared" si="1846"/>
        <v/>
      </c>
      <c r="FK117" s="30" t="str">
        <f t="shared" si="1847"/>
        <v/>
      </c>
      <c r="FL117" s="30" t="str">
        <f t="shared" si="1848"/>
        <v/>
      </c>
      <c r="FM117" s="30" t="str">
        <f t="shared" si="1849"/>
        <v/>
      </c>
      <c r="FN117" s="30" t="str">
        <f t="shared" si="1850"/>
        <v/>
      </c>
      <c r="FO117" s="30" t="str">
        <f t="shared" si="1851"/>
        <v/>
      </c>
      <c r="FP117" s="30" t="str">
        <f t="shared" si="1852"/>
        <v/>
      </c>
      <c r="FQ117" s="30" t="str">
        <f t="shared" si="1853"/>
        <v/>
      </c>
      <c r="FR117" s="30" t="str">
        <f t="shared" si="1854"/>
        <v/>
      </c>
      <c r="FS117" s="30" t="str">
        <f t="shared" si="1855"/>
        <v/>
      </c>
    </row>
    <row r="118" spans="1:175" ht="16.5">
      <c r="A118" s="117"/>
      <c r="B118" s="111" t="s">
        <v>899</v>
      </c>
      <c r="C118" s="117" t="s">
        <v>900</v>
      </c>
      <c r="T118" s="117" t="s">
        <v>892</v>
      </c>
      <c r="U118" s="37" t="s">
        <v>822</v>
      </c>
      <c r="CN118" s="7" t="str">
        <f t="shared" si="1779"/>
        <v>InitUnitState('IH04',,,,,,,,,,)</v>
      </c>
      <c r="CO118" s="7" t="str">
        <f t="shared" si="1780"/>
        <v>InitUnitNormal('IH04',,,,,,,,,,)</v>
      </c>
      <c r="CP118" s="7" t="str">
        <f t="shared" si="1781"/>
        <v>InitUnitMagic('IH04',,,,,,,,,,)</v>
      </c>
      <c r="CQ118" s="7" t="str">
        <f t="shared" si="1782"/>
        <v>InitUnitAdd('IH04',,,,,,,,,,)</v>
      </c>
      <c r="CR118" s="7" t="str">
        <f t="shared" si="1783"/>
        <v>InitEquipData('IH04',,"",,,,,'','','','','','',"ReplaceableTextures\\CommandButtons\\BTNTome.blp")</v>
      </c>
      <c r="CU118" s="45" t="str">
        <f t="shared" si="1784"/>
        <v>|n</v>
      </c>
      <c r="CV118" s="29" t="str">
        <f t="shared" si="1785"/>
        <v>觉醒兽魂</v>
      </c>
      <c r="CW118" s="24"/>
      <c r="CX118" s="24"/>
      <c r="CY118" s="24"/>
      <c r="CZ118" s="24"/>
      <c r="DA118" s="24"/>
      <c r="DB118" s="30" t="str">
        <f t="shared" si="1786"/>
        <v/>
      </c>
      <c r="DC118" s="30" t="str">
        <f t="shared" si="1787"/>
        <v/>
      </c>
      <c r="DD118" s="30" t="str">
        <f t="shared" si="1788"/>
        <v/>
      </c>
      <c r="DE118" s="30" t="str">
        <f t="shared" si="1789"/>
        <v/>
      </c>
      <c r="DF118" s="30" t="str">
        <f t="shared" si="1790"/>
        <v/>
      </c>
      <c r="DG118" s="30" t="str">
        <f t="shared" si="1791"/>
        <v/>
      </c>
      <c r="DH118" s="30" t="str">
        <f t="shared" si="1792"/>
        <v/>
      </c>
      <c r="DI118" s="30" t="str">
        <f t="shared" si="1793"/>
        <v/>
      </c>
      <c r="DJ118" s="30" t="str">
        <f t="shared" si="1794"/>
        <v/>
      </c>
      <c r="DK118" s="30" t="str">
        <f t="shared" si="1795"/>
        <v/>
      </c>
      <c r="DL118" s="30" t="str">
        <f t="shared" si="1796"/>
        <v/>
      </c>
      <c r="DM118" s="30" t="str">
        <f t="shared" si="1797"/>
        <v/>
      </c>
      <c r="DN118" s="30" t="str">
        <f t="shared" si="1798"/>
        <v/>
      </c>
      <c r="DO118" s="30" t="str">
        <f t="shared" si="1799"/>
        <v/>
      </c>
      <c r="DP118" s="30" t="str">
        <f t="shared" si="1800"/>
        <v/>
      </c>
      <c r="DQ118" s="30" t="str">
        <f t="shared" si="1801"/>
        <v/>
      </c>
      <c r="DR118" s="30" t="str">
        <f t="shared" si="1802"/>
        <v/>
      </c>
      <c r="DS118" s="30" t="str">
        <f t="shared" si="1803"/>
        <v/>
      </c>
      <c r="DT118" s="30" t="str">
        <f t="shared" si="1804"/>
        <v/>
      </c>
      <c r="DU118" s="30" t="str">
        <f t="shared" si="1805"/>
        <v/>
      </c>
      <c r="DV118" s="30" t="str">
        <f t="shared" si="1806"/>
        <v/>
      </c>
      <c r="DW118" s="30" t="str">
        <f t="shared" si="1807"/>
        <v/>
      </c>
      <c r="DX118" s="30" t="str">
        <f t="shared" si="1808"/>
        <v/>
      </c>
      <c r="DY118" s="30" t="str">
        <f t="shared" si="1809"/>
        <v/>
      </c>
      <c r="DZ118" s="30" t="str">
        <f t="shared" si="1810"/>
        <v/>
      </c>
      <c r="EA118" s="30" t="str">
        <f t="shared" si="1811"/>
        <v/>
      </c>
      <c r="EB118" s="30" t="str">
        <f t="shared" si="1812"/>
        <v/>
      </c>
      <c r="EC118" s="30" t="str">
        <f t="shared" si="1813"/>
        <v/>
      </c>
      <c r="ED118" s="30" t="str">
        <f t="shared" si="1814"/>
        <v/>
      </c>
      <c r="EE118" s="30" t="str">
        <f t="shared" si="1815"/>
        <v/>
      </c>
      <c r="EF118" s="30" t="str">
        <f t="shared" si="1816"/>
        <v/>
      </c>
      <c r="EG118" s="30" t="str">
        <f t="shared" si="1817"/>
        <v/>
      </c>
      <c r="EH118" s="30" t="str">
        <f t="shared" si="1818"/>
        <v/>
      </c>
      <c r="EI118" s="30" t="str">
        <f t="shared" si="1819"/>
        <v/>
      </c>
      <c r="EJ118" s="30" t="str">
        <f t="shared" si="1820"/>
        <v/>
      </c>
      <c r="EK118" s="30" t="str">
        <f t="shared" si="1821"/>
        <v/>
      </c>
      <c r="EL118" s="30" t="str">
        <f t="shared" si="1822"/>
        <v/>
      </c>
      <c r="EM118" s="30" t="str">
        <f t="shared" si="1823"/>
        <v/>
      </c>
      <c r="EN118" s="30" t="str">
        <f t="shared" si="1824"/>
        <v/>
      </c>
      <c r="EO118" s="30" t="str">
        <f t="shared" si="1825"/>
        <v/>
      </c>
      <c r="EP118" s="30" t="str">
        <f t="shared" si="1826"/>
        <v/>
      </c>
      <c r="EQ118" s="30" t="str">
        <f t="shared" si="1827"/>
        <v/>
      </c>
      <c r="ER118" s="30" t="str">
        <f t="shared" si="1828"/>
        <v/>
      </c>
      <c r="ES118" s="30" t="str">
        <f t="shared" si="1829"/>
        <v/>
      </c>
      <c r="ET118" s="30" t="str">
        <f t="shared" si="1830"/>
        <v/>
      </c>
      <c r="EU118" s="30" t="str">
        <f t="shared" si="1831"/>
        <v/>
      </c>
      <c r="EV118" s="30" t="str">
        <f t="shared" si="1832"/>
        <v/>
      </c>
      <c r="EW118" s="30" t="str">
        <f t="shared" si="1833"/>
        <v/>
      </c>
      <c r="EX118" s="30" t="str">
        <f t="shared" si="1834"/>
        <v/>
      </c>
      <c r="EY118" s="30" t="str">
        <f t="shared" si="1835"/>
        <v/>
      </c>
      <c r="EZ118" s="30" t="str">
        <f t="shared" si="1836"/>
        <v/>
      </c>
      <c r="FA118" s="30" t="str">
        <f t="shared" si="1837"/>
        <v/>
      </c>
      <c r="FB118" s="30" t="str">
        <f t="shared" si="1838"/>
        <v/>
      </c>
      <c r="FC118" s="30" t="str">
        <f t="shared" si="1839"/>
        <v/>
      </c>
      <c r="FD118" s="30" t="str">
        <f t="shared" si="1840"/>
        <v/>
      </c>
      <c r="FE118" s="30" t="str">
        <f t="shared" si="1841"/>
        <v/>
      </c>
      <c r="FF118" s="30" t="str">
        <f t="shared" si="1842"/>
        <v/>
      </c>
      <c r="FG118" s="30" t="str">
        <f t="shared" si="1843"/>
        <v/>
      </c>
      <c r="FH118" s="30" t="str">
        <f t="shared" si="1844"/>
        <v/>
      </c>
      <c r="FI118" s="30" t="str">
        <f t="shared" si="1845"/>
        <v/>
      </c>
      <c r="FJ118" s="30" t="str">
        <f t="shared" si="1846"/>
        <v/>
      </c>
      <c r="FK118" s="30" t="str">
        <f t="shared" si="1847"/>
        <v/>
      </c>
      <c r="FL118" s="30" t="str">
        <f t="shared" si="1848"/>
        <v/>
      </c>
      <c r="FM118" s="30" t="str">
        <f t="shared" si="1849"/>
        <v/>
      </c>
      <c r="FN118" s="30" t="str">
        <f t="shared" si="1850"/>
        <v/>
      </c>
      <c r="FO118" s="30" t="str">
        <f t="shared" si="1851"/>
        <v/>
      </c>
      <c r="FP118" s="30" t="str">
        <f t="shared" si="1852"/>
        <v/>
      </c>
      <c r="FQ118" s="30" t="str">
        <f t="shared" si="1853"/>
        <v/>
      </c>
      <c r="FR118" s="30" t="str">
        <f t="shared" si="1854"/>
        <v/>
      </c>
      <c r="FS118" s="30" t="str">
        <f t="shared" si="1855"/>
        <v/>
      </c>
    </row>
    <row r="119" spans="1:175" ht="16.5">
      <c r="A119" s="117"/>
      <c r="B119" s="111" t="s">
        <v>901</v>
      </c>
      <c r="C119" s="117" t="s">
        <v>902</v>
      </c>
      <c r="T119" s="117" t="s">
        <v>892</v>
      </c>
      <c r="U119" s="37" t="s">
        <v>822</v>
      </c>
      <c r="CN119" s="7" t="str">
        <f t="shared" si="1779"/>
        <v>InitUnitState('IH05',,,,,,,,,,)</v>
      </c>
      <c r="CO119" s="7" t="str">
        <f t="shared" si="1780"/>
        <v>InitUnitNormal('IH05',,,,,,,,,,)</v>
      </c>
      <c r="CP119" s="7" t="str">
        <f t="shared" si="1781"/>
        <v>InitUnitMagic('IH05',,,,,,,,,,)</v>
      </c>
      <c r="CQ119" s="7" t="str">
        <f t="shared" si="1782"/>
        <v>InitUnitAdd('IH05',,,,,,,,,,)</v>
      </c>
      <c r="CR119" s="7" t="str">
        <f t="shared" si="1783"/>
        <v>InitEquipData('IH05',,"",,,,,'','','','','','',"ReplaceableTextures\\CommandButtons\\BTNTome.blp")</v>
      </c>
      <c r="CU119" s="45" t="str">
        <f t="shared" si="1784"/>
        <v>|n</v>
      </c>
      <c r="CV119" s="29" t="str">
        <f t="shared" si="1785"/>
        <v>觉醒兽魂</v>
      </c>
      <c r="CW119" s="24"/>
      <c r="CX119" s="24"/>
      <c r="CY119" s="24"/>
      <c r="CZ119" s="24"/>
      <c r="DA119" s="24"/>
      <c r="DB119" s="30" t="str">
        <f t="shared" si="1786"/>
        <v/>
      </c>
      <c r="DC119" s="30" t="str">
        <f t="shared" si="1787"/>
        <v/>
      </c>
      <c r="DD119" s="30" t="str">
        <f t="shared" si="1788"/>
        <v/>
      </c>
      <c r="DE119" s="30" t="str">
        <f t="shared" si="1789"/>
        <v/>
      </c>
      <c r="DF119" s="30" t="str">
        <f t="shared" si="1790"/>
        <v/>
      </c>
      <c r="DG119" s="30" t="str">
        <f t="shared" si="1791"/>
        <v/>
      </c>
      <c r="DH119" s="30" t="str">
        <f t="shared" si="1792"/>
        <v/>
      </c>
      <c r="DI119" s="30" t="str">
        <f t="shared" si="1793"/>
        <v/>
      </c>
      <c r="DJ119" s="30" t="str">
        <f t="shared" si="1794"/>
        <v/>
      </c>
      <c r="DK119" s="30" t="str">
        <f t="shared" si="1795"/>
        <v/>
      </c>
      <c r="DL119" s="30" t="str">
        <f t="shared" si="1796"/>
        <v/>
      </c>
      <c r="DM119" s="30" t="str">
        <f t="shared" si="1797"/>
        <v/>
      </c>
      <c r="DN119" s="30" t="str">
        <f t="shared" si="1798"/>
        <v/>
      </c>
      <c r="DO119" s="30" t="str">
        <f t="shared" si="1799"/>
        <v/>
      </c>
      <c r="DP119" s="30" t="str">
        <f t="shared" si="1800"/>
        <v/>
      </c>
      <c r="DQ119" s="30" t="str">
        <f t="shared" si="1801"/>
        <v/>
      </c>
      <c r="DR119" s="30" t="str">
        <f t="shared" si="1802"/>
        <v/>
      </c>
      <c r="DS119" s="30" t="str">
        <f t="shared" si="1803"/>
        <v/>
      </c>
      <c r="DT119" s="30" t="str">
        <f t="shared" si="1804"/>
        <v/>
      </c>
      <c r="DU119" s="30" t="str">
        <f t="shared" si="1805"/>
        <v/>
      </c>
      <c r="DV119" s="30" t="str">
        <f t="shared" si="1806"/>
        <v/>
      </c>
      <c r="DW119" s="30" t="str">
        <f t="shared" si="1807"/>
        <v/>
      </c>
      <c r="DX119" s="30" t="str">
        <f t="shared" si="1808"/>
        <v/>
      </c>
      <c r="DY119" s="30" t="str">
        <f t="shared" si="1809"/>
        <v/>
      </c>
      <c r="DZ119" s="30" t="str">
        <f t="shared" si="1810"/>
        <v/>
      </c>
      <c r="EA119" s="30" t="str">
        <f t="shared" si="1811"/>
        <v/>
      </c>
      <c r="EB119" s="30" t="str">
        <f t="shared" si="1812"/>
        <v/>
      </c>
      <c r="EC119" s="30" t="str">
        <f t="shared" si="1813"/>
        <v/>
      </c>
      <c r="ED119" s="30" t="str">
        <f t="shared" si="1814"/>
        <v/>
      </c>
      <c r="EE119" s="30" t="str">
        <f t="shared" si="1815"/>
        <v/>
      </c>
      <c r="EF119" s="30" t="str">
        <f t="shared" si="1816"/>
        <v/>
      </c>
      <c r="EG119" s="30" t="str">
        <f t="shared" si="1817"/>
        <v/>
      </c>
      <c r="EH119" s="30" t="str">
        <f t="shared" si="1818"/>
        <v/>
      </c>
      <c r="EI119" s="30" t="str">
        <f t="shared" si="1819"/>
        <v/>
      </c>
      <c r="EJ119" s="30" t="str">
        <f t="shared" si="1820"/>
        <v/>
      </c>
      <c r="EK119" s="30" t="str">
        <f t="shared" si="1821"/>
        <v/>
      </c>
      <c r="EL119" s="30" t="str">
        <f t="shared" si="1822"/>
        <v/>
      </c>
      <c r="EM119" s="30" t="str">
        <f t="shared" si="1823"/>
        <v/>
      </c>
      <c r="EN119" s="30" t="str">
        <f t="shared" si="1824"/>
        <v/>
      </c>
      <c r="EO119" s="30" t="str">
        <f t="shared" si="1825"/>
        <v/>
      </c>
      <c r="EP119" s="30" t="str">
        <f t="shared" si="1826"/>
        <v/>
      </c>
      <c r="EQ119" s="30" t="str">
        <f t="shared" si="1827"/>
        <v/>
      </c>
      <c r="ER119" s="30" t="str">
        <f t="shared" si="1828"/>
        <v/>
      </c>
      <c r="ES119" s="30" t="str">
        <f t="shared" si="1829"/>
        <v/>
      </c>
      <c r="ET119" s="30" t="str">
        <f t="shared" si="1830"/>
        <v/>
      </c>
      <c r="EU119" s="30" t="str">
        <f t="shared" si="1831"/>
        <v/>
      </c>
      <c r="EV119" s="30" t="str">
        <f t="shared" si="1832"/>
        <v/>
      </c>
      <c r="EW119" s="30" t="str">
        <f t="shared" si="1833"/>
        <v/>
      </c>
      <c r="EX119" s="30" t="str">
        <f t="shared" si="1834"/>
        <v/>
      </c>
      <c r="EY119" s="30" t="str">
        <f t="shared" si="1835"/>
        <v/>
      </c>
      <c r="EZ119" s="30" t="str">
        <f t="shared" si="1836"/>
        <v/>
      </c>
      <c r="FA119" s="30" t="str">
        <f t="shared" si="1837"/>
        <v/>
      </c>
      <c r="FB119" s="30" t="str">
        <f t="shared" si="1838"/>
        <v/>
      </c>
      <c r="FC119" s="30" t="str">
        <f t="shared" si="1839"/>
        <v/>
      </c>
      <c r="FD119" s="30" t="str">
        <f t="shared" si="1840"/>
        <v/>
      </c>
      <c r="FE119" s="30" t="str">
        <f t="shared" si="1841"/>
        <v/>
      </c>
      <c r="FF119" s="30" t="str">
        <f t="shared" si="1842"/>
        <v/>
      </c>
      <c r="FG119" s="30" t="str">
        <f t="shared" si="1843"/>
        <v/>
      </c>
      <c r="FH119" s="30" t="str">
        <f t="shared" si="1844"/>
        <v/>
      </c>
      <c r="FI119" s="30" t="str">
        <f t="shared" si="1845"/>
        <v/>
      </c>
      <c r="FJ119" s="30" t="str">
        <f t="shared" si="1846"/>
        <v/>
      </c>
      <c r="FK119" s="30" t="str">
        <f t="shared" si="1847"/>
        <v/>
      </c>
      <c r="FL119" s="30" t="str">
        <f t="shared" si="1848"/>
        <v/>
      </c>
      <c r="FM119" s="30" t="str">
        <f t="shared" si="1849"/>
        <v/>
      </c>
      <c r="FN119" s="30" t="str">
        <f t="shared" si="1850"/>
        <v/>
      </c>
      <c r="FO119" s="30" t="str">
        <f t="shared" si="1851"/>
        <v/>
      </c>
      <c r="FP119" s="30" t="str">
        <f t="shared" si="1852"/>
        <v/>
      </c>
      <c r="FQ119" s="30" t="str">
        <f t="shared" si="1853"/>
        <v/>
      </c>
      <c r="FR119" s="30" t="str">
        <f t="shared" si="1854"/>
        <v/>
      </c>
      <c r="FS119" s="30" t="str">
        <f t="shared" si="1855"/>
        <v/>
      </c>
    </row>
    <row r="120" spans="1:175" ht="16.5">
      <c r="A120" s="117"/>
      <c r="B120" s="111" t="s">
        <v>903</v>
      </c>
      <c r="C120" s="117" t="s">
        <v>904</v>
      </c>
      <c r="T120" s="117" t="s">
        <v>892</v>
      </c>
      <c r="U120" s="37" t="s">
        <v>822</v>
      </c>
      <c r="CN120" s="7" t="str">
        <f t="shared" si="1779"/>
        <v>InitUnitState('IH06',,,,,,,,,,)</v>
      </c>
      <c r="CO120" s="7" t="str">
        <f t="shared" si="1780"/>
        <v>InitUnitNormal('IH06',,,,,,,,,,)</v>
      </c>
      <c r="CP120" s="7" t="str">
        <f t="shared" si="1781"/>
        <v>InitUnitMagic('IH06',,,,,,,,,,)</v>
      </c>
      <c r="CQ120" s="7" t="str">
        <f t="shared" si="1782"/>
        <v>InitUnitAdd('IH06',,,,,,,,,,)</v>
      </c>
      <c r="CR120" s="7" t="str">
        <f t="shared" si="1783"/>
        <v>InitEquipData('IH06',,"",,,,,'','','','','','',"ReplaceableTextures\\CommandButtons\\BTNTome.blp")</v>
      </c>
      <c r="CU120" s="45" t="str">
        <f t="shared" si="1784"/>
        <v>|n</v>
      </c>
      <c r="CV120" s="29" t="str">
        <f t="shared" si="1785"/>
        <v>觉醒兽魂</v>
      </c>
      <c r="CW120" s="24"/>
      <c r="CX120" s="24"/>
      <c r="CY120" s="24"/>
      <c r="CZ120" s="24"/>
      <c r="DA120" s="24"/>
      <c r="DB120" s="30" t="str">
        <f t="shared" si="1786"/>
        <v/>
      </c>
      <c r="DC120" s="30" t="str">
        <f t="shared" si="1787"/>
        <v/>
      </c>
      <c r="DD120" s="30" t="str">
        <f t="shared" si="1788"/>
        <v/>
      </c>
      <c r="DE120" s="30" t="str">
        <f t="shared" si="1789"/>
        <v/>
      </c>
      <c r="DF120" s="30" t="str">
        <f t="shared" si="1790"/>
        <v/>
      </c>
      <c r="DG120" s="30" t="str">
        <f t="shared" si="1791"/>
        <v/>
      </c>
      <c r="DH120" s="30" t="str">
        <f t="shared" si="1792"/>
        <v/>
      </c>
      <c r="DI120" s="30" t="str">
        <f t="shared" si="1793"/>
        <v/>
      </c>
      <c r="DJ120" s="30" t="str">
        <f t="shared" si="1794"/>
        <v/>
      </c>
      <c r="DK120" s="30" t="str">
        <f t="shared" si="1795"/>
        <v/>
      </c>
      <c r="DL120" s="30" t="str">
        <f t="shared" si="1796"/>
        <v/>
      </c>
      <c r="DM120" s="30" t="str">
        <f t="shared" si="1797"/>
        <v/>
      </c>
      <c r="DN120" s="30" t="str">
        <f t="shared" si="1798"/>
        <v/>
      </c>
      <c r="DO120" s="30" t="str">
        <f t="shared" si="1799"/>
        <v/>
      </c>
      <c r="DP120" s="30" t="str">
        <f t="shared" si="1800"/>
        <v/>
      </c>
      <c r="DQ120" s="30" t="str">
        <f t="shared" si="1801"/>
        <v/>
      </c>
      <c r="DR120" s="30" t="str">
        <f t="shared" si="1802"/>
        <v/>
      </c>
      <c r="DS120" s="30" t="str">
        <f t="shared" si="1803"/>
        <v/>
      </c>
      <c r="DT120" s="30" t="str">
        <f t="shared" si="1804"/>
        <v/>
      </c>
      <c r="DU120" s="30" t="str">
        <f t="shared" si="1805"/>
        <v/>
      </c>
      <c r="DV120" s="30" t="str">
        <f t="shared" si="1806"/>
        <v/>
      </c>
      <c r="DW120" s="30" t="str">
        <f t="shared" si="1807"/>
        <v/>
      </c>
      <c r="DX120" s="30" t="str">
        <f t="shared" si="1808"/>
        <v/>
      </c>
      <c r="DY120" s="30" t="str">
        <f t="shared" si="1809"/>
        <v/>
      </c>
      <c r="DZ120" s="30" t="str">
        <f t="shared" si="1810"/>
        <v/>
      </c>
      <c r="EA120" s="30" t="str">
        <f t="shared" si="1811"/>
        <v/>
      </c>
      <c r="EB120" s="30" t="str">
        <f t="shared" si="1812"/>
        <v/>
      </c>
      <c r="EC120" s="30" t="str">
        <f t="shared" si="1813"/>
        <v/>
      </c>
      <c r="ED120" s="30" t="str">
        <f t="shared" si="1814"/>
        <v/>
      </c>
      <c r="EE120" s="30" t="str">
        <f t="shared" si="1815"/>
        <v/>
      </c>
      <c r="EF120" s="30" t="str">
        <f t="shared" si="1816"/>
        <v/>
      </c>
      <c r="EG120" s="30" t="str">
        <f t="shared" si="1817"/>
        <v/>
      </c>
      <c r="EH120" s="30" t="str">
        <f t="shared" si="1818"/>
        <v/>
      </c>
      <c r="EI120" s="30" t="str">
        <f t="shared" si="1819"/>
        <v/>
      </c>
      <c r="EJ120" s="30" t="str">
        <f t="shared" si="1820"/>
        <v/>
      </c>
      <c r="EK120" s="30" t="str">
        <f t="shared" si="1821"/>
        <v/>
      </c>
      <c r="EL120" s="30" t="str">
        <f t="shared" si="1822"/>
        <v/>
      </c>
      <c r="EM120" s="30" t="str">
        <f t="shared" si="1823"/>
        <v/>
      </c>
      <c r="EN120" s="30" t="str">
        <f t="shared" si="1824"/>
        <v/>
      </c>
      <c r="EO120" s="30" t="str">
        <f t="shared" si="1825"/>
        <v/>
      </c>
      <c r="EP120" s="30" t="str">
        <f t="shared" si="1826"/>
        <v/>
      </c>
      <c r="EQ120" s="30" t="str">
        <f t="shared" si="1827"/>
        <v/>
      </c>
      <c r="ER120" s="30" t="str">
        <f t="shared" si="1828"/>
        <v/>
      </c>
      <c r="ES120" s="30" t="str">
        <f t="shared" si="1829"/>
        <v/>
      </c>
      <c r="ET120" s="30" t="str">
        <f t="shared" si="1830"/>
        <v/>
      </c>
      <c r="EU120" s="30" t="str">
        <f t="shared" si="1831"/>
        <v/>
      </c>
      <c r="EV120" s="30" t="str">
        <f t="shared" si="1832"/>
        <v/>
      </c>
      <c r="EW120" s="30" t="str">
        <f t="shared" si="1833"/>
        <v/>
      </c>
      <c r="EX120" s="30" t="str">
        <f t="shared" si="1834"/>
        <v/>
      </c>
      <c r="EY120" s="30" t="str">
        <f t="shared" si="1835"/>
        <v/>
      </c>
      <c r="EZ120" s="30" t="str">
        <f t="shared" si="1836"/>
        <v/>
      </c>
      <c r="FA120" s="30" t="str">
        <f t="shared" si="1837"/>
        <v/>
      </c>
      <c r="FB120" s="30" t="str">
        <f t="shared" si="1838"/>
        <v/>
      </c>
      <c r="FC120" s="30" t="str">
        <f t="shared" si="1839"/>
        <v/>
      </c>
      <c r="FD120" s="30" t="str">
        <f t="shared" si="1840"/>
        <v/>
      </c>
      <c r="FE120" s="30" t="str">
        <f t="shared" si="1841"/>
        <v/>
      </c>
      <c r="FF120" s="30" t="str">
        <f t="shared" si="1842"/>
        <v/>
      </c>
      <c r="FG120" s="30" t="str">
        <f t="shared" si="1843"/>
        <v/>
      </c>
      <c r="FH120" s="30" t="str">
        <f t="shared" si="1844"/>
        <v/>
      </c>
      <c r="FI120" s="30" t="str">
        <f t="shared" si="1845"/>
        <v/>
      </c>
      <c r="FJ120" s="30" t="str">
        <f t="shared" si="1846"/>
        <v/>
      </c>
      <c r="FK120" s="30" t="str">
        <f t="shared" si="1847"/>
        <v/>
      </c>
      <c r="FL120" s="30" t="str">
        <f t="shared" si="1848"/>
        <v/>
      </c>
      <c r="FM120" s="30" t="str">
        <f t="shared" si="1849"/>
        <v/>
      </c>
      <c r="FN120" s="30" t="str">
        <f t="shared" si="1850"/>
        <v/>
      </c>
      <c r="FO120" s="30" t="str">
        <f t="shared" si="1851"/>
        <v/>
      </c>
      <c r="FP120" s="30" t="str">
        <f t="shared" si="1852"/>
        <v/>
      </c>
      <c r="FQ120" s="30" t="str">
        <f t="shared" si="1853"/>
        <v/>
      </c>
      <c r="FR120" s="30" t="str">
        <f t="shared" si="1854"/>
        <v/>
      </c>
      <c r="FS120" s="30" t="str">
        <f t="shared" si="1855"/>
        <v/>
      </c>
    </row>
    <row r="121" spans="1:175" ht="16.5">
      <c r="A121" s="117"/>
      <c r="B121" s="111" t="s">
        <v>905</v>
      </c>
      <c r="C121" s="117" t="s">
        <v>906</v>
      </c>
      <c r="T121" s="117" t="s">
        <v>892</v>
      </c>
      <c r="U121" s="37" t="s">
        <v>822</v>
      </c>
      <c r="CN121" s="7" t="str">
        <f t="shared" si="1779"/>
        <v>InitUnitState('IH07',,,,,,,,,,)</v>
      </c>
      <c r="CO121" s="7" t="str">
        <f t="shared" si="1780"/>
        <v>InitUnitNormal('IH07',,,,,,,,,,)</v>
      </c>
      <c r="CP121" s="7" t="str">
        <f t="shared" si="1781"/>
        <v>InitUnitMagic('IH07',,,,,,,,,,)</v>
      </c>
      <c r="CQ121" s="7" t="str">
        <f t="shared" si="1782"/>
        <v>InitUnitAdd('IH07',,,,,,,,,,)</v>
      </c>
      <c r="CR121" s="7" t="str">
        <f t="shared" si="1783"/>
        <v>InitEquipData('IH07',,"",,,,,'','','','','','',"ReplaceableTextures\\CommandButtons\\BTNTome.blp")</v>
      </c>
      <c r="CU121" s="45" t="str">
        <f t="shared" si="1784"/>
        <v>|n</v>
      </c>
      <c r="CV121" s="29" t="str">
        <f t="shared" si="1785"/>
        <v>觉醒兽魂</v>
      </c>
      <c r="CW121" s="24"/>
      <c r="CX121" s="24"/>
      <c r="CY121" s="24"/>
      <c r="CZ121" s="24"/>
      <c r="DA121" s="24"/>
      <c r="DB121" s="30" t="str">
        <f t="shared" si="1786"/>
        <v/>
      </c>
      <c r="DC121" s="30" t="str">
        <f t="shared" si="1787"/>
        <v/>
      </c>
      <c r="DD121" s="30" t="str">
        <f t="shared" si="1788"/>
        <v/>
      </c>
      <c r="DE121" s="30" t="str">
        <f t="shared" si="1789"/>
        <v/>
      </c>
      <c r="DF121" s="30" t="str">
        <f t="shared" si="1790"/>
        <v/>
      </c>
      <c r="DG121" s="30" t="str">
        <f t="shared" si="1791"/>
        <v/>
      </c>
      <c r="DH121" s="30" t="str">
        <f t="shared" si="1792"/>
        <v/>
      </c>
      <c r="DI121" s="30" t="str">
        <f t="shared" si="1793"/>
        <v/>
      </c>
      <c r="DJ121" s="30" t="str">
        <f t="shared" si="1794"/>
        <v/>
      </c>
      <c r="DK121" s="30" t="str">
        <f t="shared" si="1795"/>
        <v/>
      </c>
      <c r="DL121" s="30" t="str">
        <f t="shared" si="1796"/>
        <v/>
      </c>
      <c r="DM121" s="30" t="str">
        <f t="shared" si="1797"/>
        <v/>
      </c>
      <c r="DN121" s="30" t="str">
        <f t="shared" si="1798"/>
        <v/>
      </c>
      <c r="DO121" s="30" t="str">
        <f t="shared" si="1799"/>
        <v/>
      </c>
      <c r="DP121" s="30" t="str">
        <f t="shared" si="1800"/>
        <v/>
      </c>
      <c r="DQ121" s="30" t="str">
        <f t="shared" si="1801"/>
        <v/>
      </c>
      <c r="DR121" s="30" t="str">
        <f t="shared" si="1802"/>
        <v/>
      </c>
      <c r="DS121" s="30" t="str">
        <f t="shared" si="1803"/>
        <v/>
      </c>
      <c r="DT121" s="30" t="str">
        <f t="shared" si="1804"/>
        <v/>
      </c>
      <c r="DU121" s="30" t="str">
        <f t="shared" si="1805"/>
        <v/>
      </c>
      <c r="DV121" s="30" t="str">
        <f t="shared" si="1806"/>
        <v/>
      </c>
      <c r="DW121" s="30" t="str">
        <f t="shared" si="1807"/>
        <v/>
      </c>
      <c r="DX121" s="30" t="str">
        <f t="shared" si="1808"/>
        <v/>
      </c>
      <c r="DY121" s="30" t="str">
        <f t="shared" si="1809"/>
        <v/>
      </c>
      <c r="DZ121" s="30" t="str">
        <f t="shared" si="1810"/>
        <v/>
      </c>
      <c r="EA121" s="30" t="str">
        <f t="shared" si="1811"/>
        <v/>
      </c>
      <c r="EB121" s="30" t="str">
        <f t="shared" si="1812"/>
        <v/>
      </c>
      <c r="EC121" s="30" t="str">
        <f t="shared" si="1813"/>
        <v/>
      </c>
      <c r="ED121" s="30" t="str">
        <f t="shared" si="1814"/>
        <v/>
      </c>
      <c r="EE121" s="30" t="str">
        <f t="shared" si="1815"/>
        <v/>
      </c>
      <c r="EF121" s="30" t="str">
        <f t="shared" si="1816"/>
        <v/>
      </c>
      <c r="EG121" s="30" t="str">
        <f t="shared" si="1817"/>
        <v/>
      </c>
      <c r="EH121" s="30" t="str">
        <f t="shared" si="1818"/>
        <v/>
      </c>
      <c r="EI121" s="30" t="str">
        <f t="shared" si="1819"/>
        <v/>
      </c>
      <c r="EJ121" s="30" t="str">
        <f t="shared" si="1820"/>
        <v/>
      </c>
      <c r="EK121" s="30" t="str">
        <f t="shared" si="1821"/>
        <v/>
      </c>
      <c r="EL121" s="30" t="str">
        <f t="shared" si="1822"/>
        <v/>
      </c>
      <c r="EM121" s="30" t="str">
        <f t="shared" si="1823"/>
        <v/>
      </c>
      <c r="EN121" s="30" t="str">
        <f t="shared" si="1824"/>
        <v/>
      </c>
      <c r="EO121" s="30" t="str">
        <f t="shared" si="1825"/>
        <v/>
      </c>
      <c r="EP121" s="30" t="str">
        <f t="shared" si="1826"/>
        <v/>
      </c>
      <c r="EQ121" s="30" t="str">
        <f t="shared" si="1827"/>
        <v/>
      </c>
      <c r="ER121" s="30" t="str">
        <f t="shared" si="1828"/>
        <v/>
      </c>
      <c r="ES121" s="30" t="str">
        <f t="shared" si="1829"/>
        <v/>
      </c>
      <c r="ET121" s="30" t="str">
        <f t="shared" si="1830"/>
        <v/>
      </c>
      <c r="EU121" s="30" t="str">
        <f t="shared" si="1831"/>
        <v/>
      </c>
      <c r="EV121" s="30" t="str">
        <f t="shared" si="1832"/>
        <v/>
      </c>
      <c r="EW121" s="30" t="str">
        <f t="shared" si="1833"/>
        <v/>
      </c>
      <c r="EX121" s="30" t="str">
        <f t="shared" si="1834"/>
        <v/>
      </c>
      <c r="EY121" s="30" t="str">
        <f t="shared" si="1835"/>
        <v/>
      </c>
      <c r="EZ121" s="30" t="str">
        <f t="shared" si="1836"/>
        <v/>
      </c>
      <c r="FA121" s="30" t="str">
        <f t="shared" si="1837"/>
        <v/>
      </c>
      <c r="FB121" s="30" t="str">
        <f t="shared" si="1838"/>
        <v/>
      </c>
      <c r="FC121" s="30" t="str">
        <f t="shared" si="1839"/>
        <v/>
      </c>
      <c r="FD121" s="30" t="str">
        <f t="shared" si="1840"/>
        <v/>
      </c>
      <c r="FE121" s="30" t="str">
        <f t="shared" si="1841"/>
        <v/>
      </c>
      <c r="FF121" s="30" t="str">
        <f t="shared" si="1842"/>
        <v/>
      </c>
      <c r="FG121" s="30" t="str">
        <f t="shared" si="1843"/>
        <v/>
      </c>
      <c r="FH121" s="30" t="str">
        <f t="shared" si="1844"/>
        <v/>
      </c>
      <c r="FI121" s="30" t="str">
        <f t="shared" si="1845"/>
        <v/>
      </c>
      <c r="FJ121" s="30" t="str">
        <f t="shared" si="1846"/>
        <v/>
      </c>
      <c r="FK121" s="30" t="str">
        <f t="shared" si="1847"/>
        <v/>
      </c>
      <c r="FL121" s="30" t="str">
        <f t="shared" si="1848"/>
        <v/>
      </c>
      <c r="FM121" s="30" t="str">
        <f t="shared" si="1849"/>
        <v/>
      </c>
      <c r="FN121" s="30" t="str">
        <f t="shared" si="1850"/>
        <v/>
      </c>
      <c r="FO121" s="30" t="str">
        <f t="shared" si="1851"/>
        <v/>
      </c>
      <c r="FP121" s="30" t="str">
        <f t="shared" si="1852"/>
        <v/>
      </c>
      <c r="FQ121" s="30" t="str">
        <f t="shared" si="1853"/>
        <v/>
      </c>
      <c r="FR121" s="30" t="str">
        <f t="shared" si="1854"/>
        <v/>
      </c>
      <c r="FS121" s="30" t="str">
        <f t="shared" si="1855"/>
        <v/>
      </c>
    </row>
    <row r="122" spans="1:175" ht="16.5">
      <c r="A122" s="117"/>
      <c r="B122" s="111" t="s">
        <v>907</v>
      </c>
      <c r="C122" s="117" t="s">
        <v>908</v>
      </c>
      <c r="T122" s="117" t="s">
        <v>892</v>
      </c>
      <c r="U122" s="37" t="s">
        <v>822</v>
      </c>
      <c r="CN122" s="7" t="str">
        <f t="shared" si="1779"/>
        <v>InitUnitState('IH08',,,,,,,,,,)</v>
      </c>
      <c r="CO122" s="7" t="str">
        <f t="shared" si="1780"/>
        <v>InitUnitNormal('IH08',,,,,,,,,,)</v>
      </c>
      <c r="CP122" s="7" t="str">
        <f t="shared" si="1781"/>
        <v>InitUnitMagic('IH08',,,,,,,,,,)</v>
      </c>
      <c r="CQ122" s="7" t="str">
        <f t="shared" si="1782"/>
        <v>InitUnitAdd('IH08',,,,,,,,,,)</v>
      </c>
      <c r="CR122" s="7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128&amp;CR$1&amp;")"</f>
        <v>InitEquipData('IH08',,"",,,,,'','','','','','',"")</v>
      </c>
      <c r="CU122" s="45" t="str">
        <f t="shared" si="1784"/>
        <v>|n</v>
      </c>
      <c r="CV122" s="29" t="str">
        <f t="shared" si="1785"/>
        <v>觉醒兽魂</v>
      </c>
      <c r="CW122" s="24"/>
      <c r="CX122" s="24"/>
      <c r="CY122" s="24"/>
      <c r="CZ122" s="24"/>
      <c r="DA122" s="24"/>
      <c r="DB122" s="30" t="str">
        <f t="shared" si="1786"/>
        <v/>
      </c>
      <c r="DC122" s="30" t="str">
        <f t="shared" si="1787"/>
        <v/>
      </c>
      <c r="DD122" s="30" t="str">
        <f t="shared" si="1788"/>
        <v/>
      </c>
      <c r="DE122" s="30" t="str">
        <f t="shared" si="1789"/>
        <v/>
      </c>
      <c r="DF122" s="30" t="str">
        <f t="shared" si="1790"/>
        <v/>
      </c>
      <c r="DG122" s="30" t="str">
        <f t="shared" si="1791"/>
        <v/>
      </c>
      <c r="DH122" s="30" t="str">
        <f t="shared" si="1792"/>
        <v/>
      </c>
      <c r="DI122" s="30" t="str">
        <f t="shared" si="1793"/>
        <v/>
      </c>
      <c r="DJ122" s="30" t="str">
        <f t="shared" si="1794"/>
        <v/>
      </c>
      <c r="DK122" s="30" t="str">
        <f t="shared" si="1795"/>
        <v/>
      </c>
      <c r="DL122" s="30" t="str">
        <f t="shared" si="1796"/>
        <v/>
      </c>
      <c r="DM122" s="30" t="str">
        <f t="shared" si="1797"/>
        <v/>
      </c>
      <c r="DN122" s="30" t="str">
        <f t="shared" si="1798"/>
        <v/>
      </c>
      <c r="DO122" s="30" t="str">
        <f t="shared" si="1799"/>
        <v/>
      </c>
      <c r="DP122" s="30" t="str">
        <f t="shared" si="1800"/>
        <v/>
      </c>
      <c r="DQ122" s="30" t="str">
        <f t="shared" si="1801"/>
        <v/>
      </c>
      <c r="DR122" s="30" t="str">
        <f t="shared" si="1802"/>
        <v/>
      </c>
      <c r="DS122" s="30" t="str">
        <f t="shared" si="1803"/>
        <v/>
      </c>
      <c r="DT122" s="30" t="str">
        <f t="shared" si="1804"/>
        <v/>
      </c>
      <c r="DU122" s="30" t="str">
        <f t="shared" si="1805"/>
        <v/>
      </c>
      <c r="DV122" s="30" t="str">
        <f t="shared" si="1806"/>
        <v/>
      </c>
      <c r="DW122" s="30" t="str">
        <f t="shared" si="1807"/>
        <v/>
      </c>
      <c r="DX122" s="30" t="str">
        <f t="shared" si="1808"/>
        <v/>
      </c>
      <c r="DY122" s="30" t="str">
        <f t="shared" si="1809"/>
        <v/>
      </c>
      <c r="DZ122" s="30" t="str">
        <f t="shared" si="1810"/>
        <v/>
      </c>
      <c r="EA122" s="30" t="str">
        <f t="shared" si="1811"/>
        <v/>
      </c>
      <c r="EB122" s="30" t="str">
        <f t="shared" si="1812"/>
        <v/>
      </c>
      <c r="EC122" s="30" t="str">
        <f t="shared" si="1813"/>
        <v/>
      </c>
      <c r="ED122" s="30" t="str">
        <f t="shared" si="1814"/>
        <v/>
      </c>
      <c r="EE122" s="30" t="str">
        <f t="shared" si="1815"/>
        <v/>
      </c>
      <c r="EF122" s="30" t="str">
        <f t="shared" si="1816"/>
        <v/>
      </c>
      <c r="EG122" s="30" t="str">
        <f t="shared" si="1817"/>
        <v/>
      </c>
      <c r="EH122" s="30" t="str">
        <f t="shared" si="1818"/>
        <v/>
      </c>
      <c r="EI122" s="30" t="str">
        <f t="shared" si="1819"/>
        <v/>
      </c>
      <c r="EJ122" s="30" t="str">
        <f t="shared" si="1820"/>
        <v/>
      </c>
      <c r="EK122" s="30" t="str">
        <f t="shared" si="1821"/>
        <v/>
      </c>
      <c r="EL122" s="30" t="str">
        <f t="shared" si="1822"/>
        <v/>
      </c>
      <c r="EM122" s="30" t="str">
        <f t="shared" si="1823"/>
        <v/>
      </c>
      <c r="EN122" s="30" t="str">
        <f t="shared" si="1824"/>
        <v/>
      </c>
      <c r="EO122" s="30" t="str">
        <f t="shared" si="1825"/>
        <v/>
      </c>
      <c r="EP122" s="30" t="str">
        <f t="shared" si="1826"/>
        <v/>
      </c>
      <c r="EQ122" s="30" t="str">
        <f t="shared" si="1827"/>
        <v/>
      </c>
      <c r="ER122" s="30" t="str">
        <f t="shared" si="1828"/>
        <v/>
      </c>
      <c r="ES122" s="30" t="str">
        <f t="shared" si="1829"/>
        <v/>
      </c>
      <c r="ET122" s="30" t="str">
        <f t="shared" si="1830"/>
        <v/>
      </c>
      <c r="EU122" s="30" t="str">
        <f t="shared" si="1831"/>
        <v/>
      </c>
      <c r="EV122" s="30" t="str">
        <f t="shared" si="1832"/>
        <v/>
      </c>
      <c r="EW122" s="30" t="str">
        <f t="shared" si="1833"/>
        <v/>
      </c>
      <c r="EX122" s="30" t="str">
        <f t="shared" si="1834"/>
        <v/>
      </c>
      <c r="EY122" s="30" t="str">
        <f t="shared" si="1835"/>
        <v/>
      </c>
      <c r="EZ122" s="30" t="str">
        <f t="shared" si="1836"/>
        <v/>
      </c>
      <c r="FA122" s="30" t="str">
        <f t="shared" si="1837"/>
        <v/>
      </c>
      <c r="FB122" s="30" t="str">
        <f t="shared" si="1838"/>
        <v/>
      </c>
      <c r="FC122" s="30" t="str">
        <f t="shared" si="1839"/>
        <v/>
      </c>
      <c r="FD122" s="30" t="str">
        <f t="shared" si="1840"/>
        <v/>
      </c>
      <c r="FE122" s="30" t="str">
        <f t="shared" si="1841"/>
        <v/>
      </c>
      <c r="FF122" s="30" t="str">
        <f t="shared" si="1842"/>
        <v/>
      </c>
      <c r="FG122" s="30" t="str">
        <f t="shared" si="1843"/>
        <v/>
      </c>
      <c r="FH122" s="30" t="str">
        <f t="shared" si="1844"/>
        <v/>
      </c>
      <c r="FI122" s="30" t="str">
        <f t="shared" si="1845"/>
        <v/>
      </c>
      <c r="FJ122" s="30" t="str">
        <f t="shared" si="1846"/>
        <v/>
      </c>
      <c r="FK122" s="30" t="str">
        <f t="shared" si="1847"/>
        <v/>
      </c>
      <c r="FL122" s="30" t="str">
        <f t="shared" si="1848"/>
        <v/>
      </c>
      <c r="FM122" s="30" t="str">
        <f t="shared" si="1849"/>
        <v/>
      </c>
      <c r="FN122" s="30" t="str">
        <f t="shared" si="1850"/>
        <v/>
      </c>
      <c r="FO122" s="30" t="str">
        <f t="shared" si="1851"/>
        <v/>
      </c>
      <c r="FP122" s="30" t="str">
        <f t="shared" si="1852"/>
        <v/>
      </c>
      <c r="FQ122" s="30" t="str">
        <f t="shared" si="1853"/>
        <v/>
      </c>
      <c r="FR122" s="30" t="str">
        <f t="shared" si="1854"/>
        <v/>
      </c>
      <c r="FS122" s="30" t="str">
        <f t="shared" si="1855"/>
        <v/>
      </c>
    </row>
    <row r="123" spans="1:175" ht="16.5">
      <c r="A123" s="117"/>
      <c r="B123" s="66" t="s">
        <v>909</v>
      </c>
      <c r="C123" s="88" t="s">
        <v>910</v>
      </c>
      <c r="T123" s="88" t="s">
        <v>910</v>
      </c>
      <c r="U123" s="37" t="s">
        <v>822</v>
      </c>
      <c r="CN123" s="7" t="str">
        <f t="shared" ref="CN123:CN127" si="1856">"InitUnitState('"&amp;B123&amp;"',"&amp;V123&amp;","&amp;W123&amp;","&amp;X123&amp;","&amp;Y123&amp;","&amp;Z123&amp;","&amp;AA123&amp;","&amp;AB123&amp;","&amp;AC123&amp;","&amp;AD123&amp;","&amp;AE123&amp;")"</f>
        <v>InitUnitState('IB01',,,,,,,,,,)</v>
      </c>
      <c r="CO123" s="7" t="str">
        <f t="shared" ref="CO123:CO127" si="1857">"InitUnitNormal('"&amp;B123&amp;"',"&amp;AF123&amp;","&amp;AG123&amp;","&amp;AH123&amp;","&amp;AI123&amp;","&amp;AJ123&amp;","&amp;AK123&amp;","&amp;AL123&amp;","&amp;AM123&amp;","&amp;AN123&amp;","&amp;AO123&amp;")"</f>
        <v>InitUnitNormal('IB01',,,,,,,,,,)</v>
      </c>
      <c r="CP123" s="7" t="str">
        <f t="shared" ref="CP123:CP127" si="1858">"InitUnitMagic('"&amp;B123&amp;"',"&amp;AP123&amp;","&amp;AQ123&amp;","&amp;AR123&amp;","&amp;AS123&amp;","&amp;AT123&amp;","&amp;AU123&amp;","&amp;AV123&amp;","&amp;AW123&amp;","&amp;BI123&amp;","&amp;BJ123&amp;")"</f>
        <v>InitUnitMagic('IB01',,,,,,,,,,)</v>
      </c>
      <c r="CQ123" s="7" t="str">
        <f t="shared" ref="CQ123:CQ127" si="1859">"InitUnitAdd('"&amp;B123&amp;"',"&amp;BK123&amp;","&amp;BL123&amp;","&amp;BM123&amp;","&amp;BN123&amp;","&amp;BO123&amp;","&amp;BP123&amp;","&amp;BQ123&amp;","&amp;BR123&amp;","&amp;BS123&amp;","&amp;BT123&amp;")"</f>
        <v>InitUnitAdd('IB01',,,,,,,,,,)</v>
      </c>
      <c r="CR123" s="7" t="str">
        <f t="shared" ref="CR123:CR126" si="1860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InitEquipData('IB01',,"",,,,,'','','','','','',"ReplaceableTextures\\CommandButtons\\BTNTome.blp")</v>
      </c>
      <c r="CU123" s="45" t="str">
        <f t="shared" ref="CU123:CU127" si="186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7" si="1862">T123</f>
        <v>入群礼包</v>
      </c>
      <c r="CW123" s="24"/>
      <c r="CX123" s="24"/>
      <c r="CY123" s="24"/>
      <c r="CZ123" s="24"/>
      <c r="DA123" s="24"/>
      <c r="DB123" s="30" t="str">
        <f t="shared" ref="DB123:DB127" si="1863">IF(V123="","","|n"&amp;DB$2&amp;"+"&amp;V123&amp;DB$1)</f>
        <v/>
      </c>
      <c r="DC123" s="30" t="str">
        <f t="shared" ref="DC123:DC127" si="1864">IF(W123="","","|n"&amp;DC$2&amp;"+"&amp;W123&amp;DC$1)</f>
        <v/>
      </c>
      <c r="DD123" s="30" t="str">
        <f t="shared" ref="DD123:DD127" si="1865">IF(X123="","","|n"&amp;DD$2&amp;"+"&amp;X123&amp;DD$1)</f>
        <v/>
      </c>
      <c r="DE123" s="30" t="str">
        <f t="shared" ref="DE123:DE127" si="1866">IF(Y123="","","|n"&amp;DE$2&amp;"+"&amp;Y123&amp;DE$1)</f>
        <v/>
      </c>
      <c r="DF123" s="30" t="str">
        <f t="shared" ref="DF123:DF127" si="1867">IF(Z123="","","|n"&amp;DF$2&amp;"+"&amp;Z123&amp;DF$1)</f>
        <v/>
      </c>
      <c r="DG123" s="30" t="str">
        <f t="shared" ref="DG123:DG127" si="1868">IF(AA123="","","|n"&amp;DG$2&amp;"+"&amp;AA123&amp;DG$1)</f>
        <v/>
      </c>
      <c r="DH123" s="30" t="str">
        <f t="shared" ref="DH123:DH127" si="1869">IF(AB123="","","|n"&amp;DH$2&amp;"+"&amp;AB123&amp;DH$1)</f>
        <v/>
      </c>
      <c r="DI123" s="30" t="str">
        <f t="shared" ref="DI123:DI127" si="1870">IF(AC123="","","|n"&amp;DI$2&amp;"+"&amp;AC123&amp;DI$1)</f>
        <v/>
      </c>
      <c r="DJ123" s="30" t="str">
        <f t="shared" ref="DJ123:DJ127" si="1871">IF(AD123="","","|n"&amp;DJ$2&amp;"+"&amp;AD123&amp;DJ$1)</f>
        <v/>
      </c>
      <c r="DK123" s="30" t="str">
        <f t="shared" ref="DK123:DK127" si="1872">IF(AE123="","","|n"&amp;DK$2&amp;"+"&amp;AE123&amp;DK$1)</f>
        <v/>
      </c>
      <c r="DL123" s="30" t="str">
        <f t="shared" ref="DL123:DL127" si="1873">IF(AF123="","","|n"&amp;DL$2&amp;"+"&amp;AF123&amp;DL$1)</f>
        <v/>
      </c>
      <c r="DM123" s="30" t="str">
        <f t="shared" ref="DM123:DM127" si="1874">IF(AG123="","","|n"&amp;DM$2&amp;"+"&amp;AG123&amp;DM$1)</f>
        <v/>
      </c>
      <c r="DN123" s="30" t="str">
        <f t="shared" ref="DN123:DN127" si="1875">IF(AH123="","","|n"&amp;DN$2&amp;"+"&amp;AH123&amp;DN$1)</f>
        <v/>
      </c>
      <c r="DO123" s="30" t="str">
        <f t="shared" ref="DO123:DO127" si="1876">IF(AI123="","","|n"&amp;DO$2&amp;"+"&amp;AI123&amp;DO$1)</f>
        <v/>
      </c>
      <c r="DP123" s="30" t="str">
        <f t="shared" ref="DP123:DP127" si="1877">IF(AJ123="","","|n"&amp;DP$2&amp;"+"&amp;AJ123&amp;DP$1)</f>
        <v/>
      </c>
      <c r="DQ123" s="30" t="str">
        <f t="shared" ref="DQ123:DQ127" si="1878">IF(AK123="","","|n"&amp;DQ$2&amp;"+"&amp;AK123&amp;DQ$1)</f>
        <v/>
      </c>
      <c r="DR123" s="30" t="str">
        <f t="shared" ref="DR123:DR127" si="1879">IF(AL123="","","|n"&amp;DR$2&amp;"+"&amp;AL123&amp;DR$1)</f>
        <v/>
      </c>
      <c r="DS123" s="30" t="str">
        <f t="shared" ref="DS123:DS127" si="1880">IF(AM123="","","|n"&amp;DS$2&amp;"+"&amp;AM123&amp;DS$1)</f>
        <v/>
      </c>
      <c r="DT123" s="30" t="str">
        <f t="shared" ref="DT123:DT127" si="1881">IF(AN123="","","|n"&amp;DT$2&amp;"+"&amp;AN123&amp;DT$1)</f>
        <v/>
      </c>
      <c r="DU123" s="30" t="str">
        <f t="shared" ref="DU123:DU127" si="1882">IF(AO123="","","|n"&amp;DU$2&amp;"+"&amp;AO123&amp;DU$1)</f>
        <v/>
      </c>
      <c r="DV123" s="30" t="str">
        <f t="shared" ref="DV123:DV127" si="1883">IF(AP123="","","|n"&amp;DV$2&amp;"+"&amp;AP123&amp;DV$1)</f>
        <v/>
      </c>
      <c r="DW123" s="30" t="str">
        <f t="shared" ref="DW123:DW127" si="1884">IF(AQ123="","","|n"&amp;DW$2&amp;"+"&amp;AQ123&amp;DW$1)</f>
        <v/>
      </c>
      <c r="DX123" s="30" t="str">
        <f t="shared" ref="DX123:DX127" si="1885">IF(AR123="","","|n"&amp;DX$2&amp;"+"&amp;AR123&amp;DX$1)</f>
        <v/>
      </c>
      <c r="DY123" s="30" t="str">
        <f t="shared" ref="DY123:DY127" si="1886">IF(AS123="","","|n"&amp;DY$2&amp;"+"&amp;AS123&amp;DY$1)</f>
        <v/>
      </c>
      <c r="DZ123" s="30" t="str">
        <f t="shared" ref="DZ123:DZ127" si="1887">IF(AT123="","","|n"&amp;DZ$2&amp;"+"&amp;AT123&amp;DZ$1)</f>
        <v/>
      </c>
      <c r="EA123" s="30" t="str">
        <f t="shared" ref="EA123:EA127" si="1888">IF(AU123="","","|n"&amp;EA$2&amp;"+"&amp;AU123&amp;EA$1)</f>
        <v/>
      </c>
      <c r="EB123" s="30" t="str">
        <f t="shared" ref="EB123:EB127" si="1889">IF(AV123="","","|n"&amp;EB$2&amp;"+"&amp;AV123&amp;EB$1)</f>
        <v/>
      </c>
      <c r="EC123" s="30" t="str">
        <f t="shared" ref="EC123:EC127" si="1890">IF(AW123="","","|n"&amp;EC$2&amp;"+"&amp;AW123&amp;EC$1)</f>
        <v/>
      </c>
      <c r="ED123" s="30" t="str">
        <f t="shared" ref="ED123:ED127" si="1891">IF(AX123="","","|n"&amp;ED$2&amp;"+"&amp;AX123&amp;ED$1)</f>
        <v/>
      </c>
      <c r="EE123" s="30" t="str">
        <f t="shared" ref="EE123:EE127" si="1892">IF(AY123="","","|n"&amp;EE$2&amp;"+"&amp;AY123&amp;EE$1)</f>
        <v/>
      </c>
      <c r="EF123" s="30" t="str">
        <f t="shared" ref="EF123:EF127" si="1893">IF(AZ123="","","|n"&amp;EF$2&amp;"+"&amp;AZ123&amp;EF$1)</f>
        <v/>
      </c>
      <c r="EG123" s="30" t="str">
        <f t="shared" ref="EG123:EG127" si="1894">IF(BA123="","","|n"&amp;EG$2&amp;"+"&amp;BA123&amp;EG$1)</f>
        <v/>
      </c>
      <c r="EH123" s="30" t="str">
        <f t="shared" ref="EH123:EH127" si="1895">IF(BB123="","","|n"&amp;EH$2&amp;"+"&amp;BB123&amp;EH$1)</f>
        <v/>
      </c>
      <c r="EI123" s="30" t="str">
        <f t="shared" ref="EI123:EI127" si="1896">IF(BC123="","","|n"&amp;EI$2&amp;"+"&amp;BC123&amp;EI$1)</f>
        <v/>
      </c>
      <c r="EJ123" s="30" t="str">
        <f t="shared" ref="EJ123:EJ127" si="1897">IF(BD123="","","|n"&amp;EJ$2&amp;"+"&amp;BD123&amp;EJ$1)</f>
        <v/>
      </c>
      <c r="EK123" s="30" t="str">
        <f t="shared" ref="EK123:EK127" si="1898">IF(BE123="","","|n"&amp;EK$2&amp;"+"&amp;BE123&amp;EK$1)</f>
        <v/>
      </c>
      <c r="EL123" s="30" t="str">
        <f t="shared" ref="EL123:EL127" si="1899">IF(BF123="","","|n"&amp;EL$2&amp;"+"&amp;BF123&amp;EL$1)</f>
        <v/>
      </c>
      <c r="EM123" s="30" t="str">
        <f t="shared" ref="EM123:EM127" si="1900">IF(BG123="","","|n"&amp;EM$2&amp;"+"&amp;BG123&amp;EM$1)</f>
        <v/>
      </c>
      <c r="EN123" s="30" t="str">
        <f t="shared" ref="EN123:EN127" si="1901">IF(BH123="","","|n"&amp;EN$2&amp;"+"&amp;BH123&amp;EN$1)</f>
        <v/>
      </c>
      <c r="EO123" s="30" t="str">
        <f t="shared" ref="EO123:EO127" si="1902">IF(BI123="","","|n"&amp;EO$2&amp;"+"&amp;BI123&amp;EO$1)</f>
        <v/>
      </c>
      <c r="EP123" s="30" t="str">
        <f t="shared" ref="EP123:EP127" si="1903">IF(BJ123="","","|n"&amp;EP$2&amp;"+"&amp;BJ123&amp;EP$1)</f>
        <v/>
      </c>
      <c r="EQ123" s="30" t="str">
        <f t="shared" ref="EQ123:EQ127" si="1904">IF(BK123="","","|n"&amp;EQ$2&amp;"+"&amp;BK123&amp;EQ$1)</f>
        <v/>
      </c>
      <c r="ER123" s="30" t="str">
        <f t="shared" ref="ER123:ER127" si="1905">IF(BL123="","","|n"&amp;ER$2&amp;"+"&amp;BL123&amp;ER$1)</f>
        <v/>
      </c>
      <c r="ES123" s="30" t="str">
        <f t="shared" ref="ES123:ES127" si="1906">IF(BM123="","","|n"&amp;ES$2&amp;"+"&amp;BM123&amp;ES$1)</f>
        <v/>
      </c>
      <c r="ET123" s="30" t="str">
        <f t="shared" ref="ET123:ET127" si="1907">IF(BN123="","","|n"&amp;ET$2&amp;"+"&amp;BN123&amp;ET$1)</f>
        <v/>
      </c>
      <c r="EU123" s="30" t="str">
        <f t="shared" ref="EU123:EU127" si="1908">IF(BO123="","","|n"&amp;EU$2&amp;"+"&amp;BO123&amp;EU$1)</f>
        <v/>
      </c>
      <c r="EV123" s="30" t="str">
        <f t="shared" ref="EV123:EV127" si="1909">IF(BP123="","","|n"&amp;EV$2&amp;"+"&amp;BP123&amp;EV$1)</f>
        <v/>
      </c>
      <c r="EW123" s="30" t="str">
        <f t="shared" ref="EW123:EW127" si="1910">IF(BQ123="","","|n"&amp;EW$2&amp;"+"&amp;BQ123&amp;EW$1)</f>
        <v/>
      </c>
      <c r="EX123" s="30" t="str">
        <f t="shared" ref="EX123:EX127" si="1911">IF(BR123="","","|n"&amp;EX$2&amp;"+"&amp;BR123&amp;EX$1)</f>
        <v/>
      </c>
      <c r="EY123" s="30" t="str">
        <f t="shared" ref="EY123:EY127" si="1912">IF(BS123="","","|n"&amp;EY$2&amp;"+"&amp;BS123&amp;EY$1)</f>
        <v/>
      </c>
      <c r="EZ123" s="30" t="str">
        <f t="shared" ref="EZ123:EZ127" si="1913">IF(BT123="","","|n"&amp;EZ$2&amp;"+"&amp;BT123&amp;EZ$1)</f>
        <v/>
      </c>
      <c r="FA123" s="30" t="str">
        <f t="shared" ref="FA123:FA127" si="1914">IF(BU123="","","|n"&amp;FA$2&amp;"+"&amp;BU123&amp;FA$1)</f>
        <v/>
      </c>
      <c r="FB123" s="30" t="str">
        <f t="shared" ref="FB123:FB127" si="1915">IF(BV123="","","|n"&amp;FB$2&amp;"+"&amp;BV123&amp;FB$1)</f>
        <v/>
      </c>
      <c r="FC123" s="30" t="str">
        <f t="shared" ref="FC123:FC127" si="1916">IF(BW123="","","|n"&amp;FC$2&amp;"+"&amp;BW123&amp;FC$1)</f>
        <v/>
      </c>
      <c r="FD123" s="30" t="str">
        <f t="shared" ref="FD123:FD127" si="1917">IF(BX123="","","|n"&amp;FD$2&amp;"+"&amp;BX123&amp;FD$1)</f>
        <v/>
      </c>
      <c r="FE123" s="30" t="str">
        <f t="shared" ref="FE123:FE127" si="1918">IF(BY123="","","|n"&amp;FE$2&amp;"+"&amp;BY123&amp;FE$1)</f>
        <v/>
      </c>
      <c r="FF123" s="30" t="str">
        <f t="shared" ref="FF123:FF127" si="1919">IF(BZ123="","","|n"&amp;FF$2&amp;"+"&amp;BZ123&amp;FF$1)</f>
        <v/>
      </c>
      <c r="FG123" s="30" t="str">
        <f t="shared" ref="FG123:FG127" si="1920">IF(CA123="","","|n"&amp;FG$2&amp;"+"&amp;CA123&amp;FG$1)</f>
        <v/>
      </c>
      <c r="FH123" s="30" t="str">
        <f t="shared" ref="FH123:FH127" si="1921">IF(CB123="","","|n"&amp;FH$2&amp;"+"&amp;CB123&amp;FH$1)</f>
        <v/>
      </c>
      <c r="FI123" s="30" t="str">
        <f t="shared" ref="FI123:FI127" si="1922">IF(CC123="","","|n"&amp;FI$2&amp;"+"&amp;CC123&amp;FI$1)</f>
        <v/>
      </c>
      <c r="FJ123" s="30" t="str">
        <f t="shared" ref="FJ123:FJ127" si="1923">IF(CD123="","","|n"&amp;FJ$2&amp;"+"&amp;CD123&amp;FJ$1)</f>
        <v/>
      </c>
      <c r="FK123" s="30" t="str">
        <f t="shared" ref="FK123:FK127" si="1924">IF(CE123="","","|n"&amp;FK$2&amp;"+"&amp;CE123&amp;FK$1)</f>
        <v/>
      </c>
      <c r="FL123" s="30" t="str">
        <f t="shared" ref="FL123:FL127" si="1925">IF(CF123="","","|n"&amp;FL$2&amp;"+"&amp;CF123&amp;FL$1)</f>
        <v/>
      </c>
      <c r="FM123" s="30" t="str">
        <f t="shared" ref="FM123:FM127" si="1926">IF(CG123="","","|n"&amp;FM$2&amp;"+"&amp;CG123&amp;FM$1)</f>
        <v/>
      </c>
      <c r="FN123" s="30" t="str">
        <f t="shared" ref="FN123:FN127" si="1927">IF(CH123="","","|n"&amp;FN$2&amp;"+"&amp;CH123&amp;FN$1)</f>
        <v/>
      </c>
      <c r="FO123" s="30" t="str">
        <f t="shared" ref="FO123:FO127" si="1928">IF(CI123="","","|n"&amp;FO$2&amp;"+"&amp;CI123&amp;FO$1)</f>
        <v/>
      </c>
      <c r="FP123" s="30" t="str">
        <f t="shared" ref="FP123:FP127" si="1929">IF(CJ123="","","|n"&amp;FP$2&amp;"+"&amp;CJ123&amp;FP$1)</f>
        <v/>
      </c>
      <c r="FQ123" s="30" t="str">
        <f t="shared" ref="FQ123:FQ127" si="1930">IF(CK123="","","|n"&amp;FQ$2&amp;"+"&amp;CK123&amp;FQ$1)</f>
        <v/>
      </c>
      <c r="FR123" s="30" t="str">
        <f t="shared" ref="FR123:FR127" si="1931">IF(CL123="","","|n"&amp;FR$2&amp;"+"&amp;CL123&amp;FR$1)</f>
        <v/>
      </c>
      <c r="FS123" s="30" t="str">
        <f t="shared" ref="FS123:FS127" si="1932">IF(CM123="","","|n"&amp;FS$2&amp;"+"&amp;CM123&amp;FS$1)</f>
        <v/>
      </c>
    </row>
    <row r="124" spans="1:175" ht="16.5">
      <c r="A124" s="117"/>
      <c r="B124" s="66" t="s">
        <v>915</v>
      </c>
      <c r="C124" s="88" t="s">
        <v>911</v>
      </c>
      <c r="T124" s="88" t="s">
        <v>911</v>
      </c>
      <c r="U124" s="37" t="s">
        <v>822</v>
      </c>
      <c r="CN124" s="7" t="str">
        <f t="shared" si="1856"/>
        <v>InitUnitState('IB02',,,,,,,,,,)</v>
      </c>
      <c r="CO124" s="7" t="str">
        <f t="shared" si="1857"/>
        <v>InitUnitNormal('IB02',,,,,,,,,,)</v>
      </c>
      <c r="CP124" s="7" t="str">
        <f t="shared" si="1858"/>
        <v>InitUnitMagic('IB02',,,,,,,,,,)</v>
      </c>
      <c r="CQ124" s="7" t="str">
        <f t="shared" si="1859"/>
        <v>InitUnitAdd('IB02',,,,,,,,,,)</v>
      </c>
      <c r="CR124" s="7" t="str">
        <f t="shared" si="1860"/>
        <v>InitEquipData('IB02',,"",,,,,'','','','','','',"ReplaceableTextures\\CommandButtons\\BTNTome.blp")</v>
      </c>
      <c r="CU124" s="45" t="str">
        <f t="shared" si="1861"/>
        <v>|n</v>
      </c>
      <c r="CV124" s="29" t="str">
        <f t="shared" si="1862"/>
        <v>公众号礼包</v>
      </c>
      <c r="CW124" s="24"/>
      <c r="CX124" s="24"/>
      <c r="CY124" s="24"/>
      <c r="CZ124" s="24"/>
      <c r="DA124" s="24"/>
      <c r="DB124" s="30" t="str">
        <f t="shared" si="1863"/>
        <v/>
      </c>
      <c r="DC124" s="30" t="str">
        <f t="shared" si="1864"/>
        <v/>
      </c>
      <c r="DD124" s="30" t="str">
        <f t="shared" si="1865"/>
        <v/>
      </c>
      <c r="DE124" s="30" t="str">
        <f t="shared" si="1866"/>
        <v/>
      </c>
      <c r="DF124" s="30" t="str">
        <f t="shared" si="1867"/>
        <v/>
      </c>
      <c r="DG124" s="30" t="str">
        <f t="shared" si="1868"/>
        <v/>
      </c>
      <c r="DH124" s="30" t="str">
        <f t="shared" si="1869"/>
        <v/>
      </c>
      <c r="DI124" s="30" t="str">
        <f t="shared" si="1870"/>
        <v/>
      </c>
      <c r="DJ124" s="30" t="str">
        <f t="shared" si="1871"/>
        <v/>
      </c>
      <c r="DK124" s="30" t="str">
        <f t="shared" si="1872"/>
        <v/>
      </c>
      <c r="DL124" s="30" t="str">
        <f t="shared" si="1873"/>
        <v/>
      </c>
      <c r="DM124" s="30" t="str">
        <f t="shared" si="1874"/>
        <v/>
      </c>
      <c r="DN124" s="30" t="str">
        <f t="shared" si="1875"/>
        <v/>
      </c>
      <c r="DO124" s="30" t="str">
        <f t="shared" si="1876"/>
        <v/>
      </c>
      <c r="DP124" s="30" t="str">
        <f t="shared" si="1877"/>
        <v/>
      </c>
      <c r="DQ124" s="30" t="str">
        <f t="shared" si="1878"/>
        <v/>
      </c>
      <c r="DR124" s="30" t="str">
        <f t="shared" si="1879"/>
        <v/>
      </c>
      <c r="DS124" s="30" t="str">
        <f t="shared" si="1880"/>
        <v/>
      </c>
      <c r="DT124" s="30" t="str">
        <f t="shared" si="1881"/>
        <v/>
      </c>
      <c r="DU124" s="30" t="str">
        <f t="shared" si="1882"/>
        <v/>
      </c>
      <c r="DV124" s="30" t="str">
        <f t="shared" si="1883"/>
        <v/>
      </c>
      <c r="DW124" s="30" t="str">
        <f t="shared" si="1884"/>
        <v/>
      </c>
      <c r="DX124" s="30" t="str">
        <f t="shared" si="1885"/>
        <v/>
      </c>
      <c r="DY124" s="30" t="str">
        <f t="shared" si="1886"/>
        <v/>
      </c>
      <c r="DZ124" s="30" t="str">
        <f t="shared" si="1887"/>
        <v/>
      </c>
      <c r="EA124" s="30" t="str">
        <f t="shared" si="1888"/>
        <v/>
      </c>
      <c r="EB124" s="30" t="str">
        <f t="shared" si="1889"/>
        <v/>
      </c>
      <c r="EC124" s="30" t="str">
        <f t="shared" si="1890"/>
        <v/>
      </c>
      <c r="ED124" s="30" t="str">
        <f t="shared" si="1891"/>
        <v/>
      </c>
      <c r="EE124" s="30" t="str">
        <f t="shared" si="1892"/>
        <v/>
      </c>
      <c r="EF124" s="30" t="str">
        <f t="shared" si="1893"/>
        <v/>
      </c>
      <c r="EG124" s="30" t="str">
        <f t="shared" si="1894"/>
        <v/>
      </c>
      <c r="EH124" s="30" t="str">
        <f t="shared" si="1895"/>
        <v/>
      </c>
      <c r="EI124" s="30" t="str">
        <f t="shared" si="1896"/>
        <v/>
      </c>
      <c r="EJ124" s="30" t="str">
        <f t="shared" si="1897"/>
        <v/>
      </c>
      <c r="EK124" s="30" t="str">
        <f t="shared" si="1898"/>
        <v/>
      </c>
      <c r="EL124" s="30" t="str">
        <f t="shared" si="1899"/>
        <v/>
      </c>
      <c r="EM124" s="30" t="str">
        <f t="shared" si="1900"/>
        <v/>
      </c>
      <c r="EN124" s="30" t="str">
        <f t="shared" si="1901"/>
        <v/>
      </c>
      <c r="EO124" s="30" t="str">
        <f t="shared" si="1902"/>
        <v/>
      </c>
      <c r="EP124" s="30" t="str">
        <f t="shared" si="1903"/>
        <v/>
      </c>
      <c r="EQ124" s="30" t="str">
        <f t="shared" si="1904"/>
        <v/>
      </c>
      <c r="ER124" s="30" t="str">
        <f t="shared" si="1905"/>
        <v/>
      </c>
      <c r="ES124" s="30" t="str">
        <f t="shared" si="1906"/>
        <v/>
      </c>
      <c r="ET124" s="30" t="str">
        <f t="shared" si="1907"/>
        <v/>
      </c>
      <c r="EU124" s="30" t="str">
        <f t="shared" si="1908"/>
        <v/>
      </c>
      <c r="EV124" s="30" t="str">
        <f t="shared" si="1909"/>
        <v/>
      </c>
      <c r="EW124" s="30" t="str">
        <f t="shared" si="1910"/>
        <v/>
      </c>
      <c r="EX124" s="30" t="str">
        <f t="shared" si="1911"/>
        <v/>
      </c>
      <c r="EY124" s="30" t="str">
        <f t="shared" si="1912"/>
        <v/>
      </c>
      <c r="EZ124" s="30" t="str">
        <f t="shared" si="1913"/>
        <v/>
      </c>
      <c r="FA124" s="30" t="str">
        <f t="shared" si="1914"/>
        <v/>
      </c>
      <c r="FB124" s="30" t="str">
        <f t="shared" si="1915"/>
        <v/>
      </c>
      <c r="FC124" s="30" t="str">
        <f t="shared" si="1916"/>
        <v/>
      </c>
      <c r="FD124" s="30" t="str">
        <f t="shared" si="1917"/>
        <v/>
      </c>
      <c r="FE124" s="30" t="str">
        <f t="shared" si="1918"/>
        <v/>
      </c>
      <c r="FF124" s="30" t="str">
        <f t="shared" si="1919"/>
        <v/>
      </c>
      <c r="FG124" s="30" t="str">
        <f t="shared" si="1920"/>
        <v/>
      </c>
      <c r="FH124" s="30" t="str">
        <f t="shared" si="1921"/>
        <v/>
      </c>
      <c r="FI124" s="30" t="str">
        <f t="shared" si="1922"/>
        <v/>
      </c>
      <c r="FJ124" s="30" t="str">
        <f t="shared" si="1923"/>
        <v/>
      </c>
      <c r="FK124" s="30" t="str">
        <f t="shared" si="1924"/>
        <v/>
      </c>
      <c r="FL124" s="30" t="str">
        <f t="shared" si="1925"/>
        <v/>
      </c>
      <c r="FM124" s="30" t="str">
        <f t="shared" si="1926"/>
        <v/>
      </c>
      <c r="FN124" s="30" t="str">
        <f t="shared" si="1927"/>
        <v/>
      </c>
      <c r="FO124" s="30" t="str">
        <f t="shared" si="1928"/>
        <v/>
      </c>
      <c r="FP124" s="30" t="str">
        <f t="shared" si="1929"/>
        <v/>
      </c>
      <c r="FQ124" s="30" t="str">
        <f t="shared" si="1930"/>
        <v/>
      </c>
      <c r="FR124" s="30" t="str">
        <f t="shared" si="1931"/>
        <v/>
      </c>
      <c r="FS124" s="30" t="str">
        <f t="shared" si="1932"/>
        <v/>
      </c>
    </row>
    <row r="125" spans="1:175" ht="16.5">
      <c r="A125" s="117"/>
      <c r="B125" s="66" t="s">
        <v>916</v>
      </c>
      <c r="C125" s="87" t="s">
        <v>912</v>
      </c>
      <c r="T125" s="87" t="s">
        <v>912</v>
      </c>
      <c r="U125" s="37" t="s">
        <v>822</v>
      </c>
      <c r="CN125" s="7" t="str">
        <f t="shared" si="1856"/>
        <v>InitUnitState('IB03',,,,,,,,,,)</v>
      </c>
      <c r="CO125" s="7" t="str">
        <f t="shared" si="1857"/>
        <v>InitUnitNormal('IB03',,,,,,,,,,)</v>
      </c>
      <c r="CP125" s="7" t="str">
        <f t="shared" si="1858"/>
        <v>InitUnitMagic('IB03',,,,,,,,,,)</v>
      </c>
      <c r="CQ125" s="7" t="str">
        <f t="shared" si="1859"/>
        <v>InitUnitAdd('IB03',,,,,,,,,,)</v>
      </c>
      <c r="CR125" s="7" t="str">
        <f t="shared" si="1860"/>
        <v>InitEquipData('IB03',,"",,,,,'','','','','','',"ReplaceableTextures\\CommandButtons\\BTNTome.blp")</v>
      </c>
      <c r="CU125" s="45" t="str">
        <f t="shared" si="1861"/>
        <v>|n</v>
      </c>
      <c r="CV125" s="29" t="str">
        <f t="shared" si="1862"/>
        <v>好评礼包</v>
      </c>
      <c r="CW125" s="24"/>
      <c r="CX125" s="24"/>
      <c r="CY125" s="24"/>
      <c r="CZ125" s="24"/>
      <c r="DA125" s="24"/>
      <c r="DB125" s="30" t="str">
        <f t="shared" si="1863"/>
        <v/>
      </c>
      <c r="DC125" s="30" t="str">
        <f t="shared" si="1864"/>
        <v/>
      </c>
      <c r="DD125" s="30" t="str">
        <f t="shared" si="1865"/>
        <v/>
      </c>
      <c r="DE125" s="30" t="str">
        <f t="shared" si="1866"/>
        <v/>
      </c>
      <c r="DF125" s="30" t="str">
        <f t="shared" si="1867"/>
        <v/>
      </c>
      <c r="DG125" s="30" t="str">
        <f t="shared" si="1868"/>
        <v/>
      </c>
      <c r="DH125" s="30" t="str">
        <f t="shared" si="1869"/>
        <v/>
      </c>
      <c r="DI125" s="30" t="str">
        <f t="shared" si="1870"/>
        <v/>
      </c>
      <c r="DJ125" s="30" t="str">
        <f t="shared" si="1871"/>
        <v/>
      </c>
      <c r="DK125" s="30" t="str">
        <f t="shared" si="1872"/>
        <v/>
      </c>
      <c r="DL125" s="30" t="str">
        <f t="shared" si="1873"/>
        <v/>
      </c>
      <c r="DM125" s="30" t="str">
        <f t="shared" si="1874"/>
        <v/>
      </c>
      <c r="DN125" s="30" t="str">
        <f t="shared" si="1875"/>
        <v/>
      </c>
      <c r="DO125" s="30" t="str">
        <f t="shared" si="1876"/>
        <v/>
      </c>
      <c r="DP125" s="30" t="str">
        <f t="shared" si="1877"/>
        <v/>
      </c>
      <c r="DQ125" s="30" t="str">
        <f t="shared" si="1878"/>
        <v/>
      </c>
      <c r="DR125" s="30" t="str">
        <f t="shared" si="1879"/>
        <v/>
      </c>
      <c r="DS125" s="30" t="str">
        <f t="shared" si="1880"/>
        <v/>
      </c>
      <c r="DT125" s="30" t="str">
        <f t="shared" si="1881"/>
        <v/>
      </c>
      <c r="DU125" s="30" t="str">
        <f t="shared" si="1882"/>
        <v/>
      </c>
      <c r="DV125" s="30" t="str">
        <f t="shared" si="1883"/>
        <v/>
      </c>
      <c r="DW125" s="30" t="str">
        <f t="shared" si="1884"/>
        <v/>
      </c>
      <c r="DX125" s="30" t="str">
        <f t="shared" si="1885"/>
        <v/>
      </c>
      <c r="DY125" s="30" t="str">
        <f t="shared" si="1886"/>
        <v/>
      </c>
      <c r="DZ125" s="30" t="str">
        <f t="shared" si="1887"/>
        <v/>
      </c>
      <c r="EA125" s="30" t="str">
        <f t="shared" si="1888"/>
        <v/>
      </c>
      <c r="EB125" s="30" t="str">
        <f t="shared" si="1889"/>
        <v/>
      </c>
      <c r="EC125" s="30" t="str">
        <f t="shared" si="1890"/>
        <v/>
      </c>
      <c r="ED125" s="30" t="str">
        <f t="shared" si="1891"/>
        <v/>
      </c>
      <c r="EE125" s="30" t="str">
        <f t="shared" si="1892"/>
        <v/>
      </c>
      <c r="EF125" s="30" t="str">
        <f t="shared" si="1893"/>
        <v/>
      </c>
      <c r="EG125" s="30" t="str">
        <f t="shared" si="1894"/>
        <v/>
      </c>
      <c r="EH125" s="30" t="str">
        <f t="shared" si="1895"/>
        <v/>
      </c>
      <c r="EI125" s="30" t="str">
        <f t="shared" si="1896"/>
        <v/>
      </c>
      <c r="EJ125" s="30" t="str">
        <f t="shared" si="1897"/>
        <v/>
      </c>
      <c r="EK125" s="30" t="str">
        <f t="shared" si="1898"/>
        <v/>
      </c>
      <c r="EL125" s="30" t="str">
        <f t="shared" si="1899"/>
        <v/>
      </c>
      <c r="EM125" s="30" t="str">
        <f t="shared" si="1900"/>
        <v/>
      </c>
      <c r="EN125" s="30" t="str">
        <f t="shared" si="1901"/>
        <v/>
      </c>
      <c r="EO125" s="30" t="str">
        <f t="shared" si="1902"/>
        <v/>
      </c>
      <c r="EP125" s="30" t="str">
        <f t="shared" si="1903"/>
        <v/>
      </c>
      <c r="EQ125" s="30" t="str">
        <f t="shared" si="1904"/>
        <v/>
      </c>
      <c r="ER125" s="30" t="str">
        <f t="shared" si="1905"/>
        <v/>
      </c>
      <c r="ES125" s="30" t="str">
        <f t="shared" si="1906"/>
        <v/>
      </c>
      <c r="ET125" s="30" t="str">
        <f t="shared" si="1907"/>
        <v/>
      </c>
      <c r="EU125" s="30" t="str">
        <f t="shared" si="1908"/>
        <v/>
      </c>
      <c r="EV125" s="30" t="str">
        <f t="shared" si="1909"/>
        <v/>
      </c>
      <c r="EW125" s="30" t="str">
        <f t="shared" si="1910"/>
        <v/>
      </c>
      <c r="EX125" s="30" t="str">
        <f t="shared" si="1911"/>
        <v/>
      </c>
      <c r="EY125" s="30" t="str">
        <f t="shared" si="1912"/>
        <v/>
      </c>
      <c r="EZ125" s="30" t="str">
        <f t="shared" si="1913"/>
        <v/>
      </c>
      <c r="FA125" s="30" t="str">
        <f t="shared" si="1914"/>
        <v/>
      </c>
      <c r="FB125" s="30" t="str">
        <f t="shared" si="1915"/>
        <v/>
      </c>
      <c r="FC125" s="30" t="str">
        <f t="shared" si="1916"/>
        <v/>
      </c>
      <c r="FD125" s="30" t="str">
        <f t="shared" si="1917"/>
        <v/>
      </c>
      <c r="FE125" s="30" t="str">
        <f t="shared" si="1918"/>
        <v/>
      </c>
      <c r="FF125" s="30" t="str">
        <f t="shared" si="1919"/>
        <v/>
      </c>
      <c r="FG125" s="30" t="str">
        <f t="shared" si="1920"/>
        <v/>
      </c>
      <c r="FH125" s="30" t="str">
        <f t="shared" si="1921"/>
        <v/>
      </c>
      <c r="FI125" s="30" t="str">
        <f t="shared" si="1922"/>
        <v/>
      </c>
      <c r="FJ125" s="30" t="str">
        <f t="shared" si="1923"/>
        <v/>
      </c>
      <c r="FK125" s="30" t="str">
        <f t="shared" si="1924"/>
        <v/>
      </c>
      <c r="FL125" s="30" t="str">
        <f t="shared" si="1925"/>
        <v/>
      </c>
      <c r="FM125" s="30" t="str">
        <f t="shared" si="1926"/>
        <v/>
      </c>
      <c r="FN125" s="30" t="str">
        <f t="shared" si="1927"/>
        <v/>
      </c>
      <c r="FO125" s="30" t="str">
        <f t="shared" si="1928"/>
        <v/>
      </c>
      <c r="FP125" s="30" t="str">
        <f t="shared" si="1929"/>
        <v/>
      </c>
      <c r="FQ125" s="30" t="str">
        <f t="shared" si="1930"/>
        <v/>
      </c>
      <c r="FR125" s="30" t="str">
        <f t="shared" si="1931"/>
        <v/>
      </c>
      <c r="FS125" s="30" t="str">
        <f t="shared" si="1932"/>
        <v/>
      </c>
    </row>
    <row r="126" spans="1:175" ht="16.5">
      <c r="A126" s="117"/>
      <c r="B126" s="66" t="s">
        <v>917</v>
      </c>
      <c r="C126" s="87" t="s">
        <v>913</v>
      </c>
      <c r="T126" s="87" t="s">
        <v>913</v>
      </c>
      <c r="U126" s="37" t="s">
        <v>822</v>
      </c>
      <c r="CN126" s="7" t="str">
        <f t="shared" si="1856"/>
        <v>InitUnitState('IB04',,,,,,,,,,)</v>
      </c>
      <c r="CO126" s="7" t="str">
        <f t="shared" si="1857"/>
        <v>InitUnitNormal('IB04',,,,,,,,,,)</v>
      </c>
      <c r="CP126" s="7" t="str">
        <f t="shared" si="1858"/>
        <v>InitUnitMagic('IB04',,,,,,,,,,)</v>
      </c>
      <c r="CQ126" s="7" t="str">
        <f t="shared" si="1859"/>
        <v>InitUnitAdd('IB04',,,,,,,,,,)</v>
      </c>
      <c r="CR126" s="7" t="str">
        <f t="shared" si="1860"/>
        <v>InitEquipData('IB04',,"",,,,,'','','','','','',"ReplaceableTextures\\CommandButtons\\BTNTome.blp")</v>
      </c>
      <c r="CU126" s="45" t="str">
        <f t="shared" si="1861"/>
        <v>|n</v>
      </c>
      <c r="CV126" s="29" t="str">
        <f t="shared" si="1862"/>
        <v>老铁礼包</v>
      </c>
      <c r="CW126" s="24"/>
      <c r="CX126" s="24"/>
      <c r="CY126" s="24"/>
      <c r="CZ126" s="24"/>
      <c r="DA126" s="24"/>
      <c r="DB126" s="30" t="str">
        <f t="shared" si="1863"/>
        <v/>
      </c>
      <c r="DC126" s="30" t="str">
        <f t="shared" si="1864"/>
        <v/>
      </c>
      <c r="DD126" s="30" t="str">
        <f t="shared" si="1865"/>
        <v/>
      </c>
      <c r="DE126" s="30" t="str">
        <f t="shared" si="1866"/>
        <v/>
      </c>
      <c r="DF126" s="30" t="str">
        <f t="shared" si="1867"/>
        <v/>
      </c>
      <c r="DG126" s="30" t="str">
        <f t="shared" si="1868"/>
        <v/>
      </c>
      <c r="DH126" s="30" t="str">
        <f t="shared" si="1869"/>
        <v/>
      </c>
      <c r="DI126" s="30" t="str">
        <f t="shared" si="1870"/>
        <v/>
      </c>
      <c r="DJ126" s="30" t="str">
        <f t="shared" si="1871"/>
        <v/>
      </c>
      <c r="DK126" s="30" t="str">
        <f t="shared" si="1872"/>
        <v/>
      </c>
      <c r="DL126" s="30" t="str">
        <f t="shared" si="1873"/>
        <v/>
      </c>
      <c r="DM126" s="30" t="str">
        <f t="shared" si="1874"/>
        <v/>
      </c>
      <c r="DN126" s="30" t="str">
        <f t="shared" si="1875"/>
        <v/>
      </c>
      <c r="DO126" s="30" t="str">
        <f t="shared" si="1876"/>
        <v/>
      </c>
      <c r="DP126" s="30" t="str">
        <f t="shared" si="1877"/>
        <v/>
      </c>
      <c r="DQ126" s="30" t="str">
        <f t="shared" si="1878"/>
        <v/>
      </c>
      <c r="DR126" s="30" t="str">
        <f t="shared" si="1879"/>
        <v/>
      </c>
      <c r="DS126" s="30" t="str">
        <f t="shared" si="1880"/>
        <v/>
      </c>
      <c r="DT126" s="30" t="str">
        <f t="shared" si="1881"/>
        <v/>
      </c>
      <c r="DU126" s="30" t="str">
        <f t="shared" si="1882"/>
        <v/>
      </c>
      <c r="DV126" s="30" t="str">
        <f t="shared" si="1883"/>
        <v/>
      </c>
      <c r="DW126" s="30" t="str">
        <f t="shared" si="1884"/>
        <v/>
      </c>
      <c r="DX126" s="30" t="str">
        <f t="shared" si="1885"/>
        <v/>
      </c>
      <c r="DY126" s="30" t="str">
        <f t="shared" si="1886"/>
        <v/>
      </c>
      <c r="DZ126" s="30" t="str">
        <f t="shared" si="1887"/>
        <v/>
      </c>
      <c r="EA126" s="30" t="str">
        <f t="shared" si="1888"/>
        <v/>
      </c>
      <c r="EB126" s="30" t="str">
        <f t="shared" si="1889"/>
        <v/>
      </c>
      <c r="EC126" s="30" t="str">
        <f t="shared" si="1890"/>
        <v/>
      </c>
      <c r="ED126" s="30" t="str">
        <f t="shared" si="1891"/>
        <v/>
      </c>
      <c r="EE126" s="30" t="str">
        <f t="shared" si="1892"/>
        <v/>
      </c>
      <c r="EF126" s="30" t="str">
        <f t="shared" si="1893"/>
        <v/>
      </c>
      <c r="EG126" s="30" t="str">
        <f t="shared" si="1894"/>
        <v/>
      </c>
      <c r="EH126" s="30" t="str">
        <f t="shared" si="1895"/>
        <v/>
      </c>
      <c r="EI126" s="30" t="str">
        <f t="shared" si="1896"/>
        <v/>
      </c>
      <c r="EJ126" s="30" t="str">
        <f t="shared" si="1897"/>
        <v/>
      </c>
      <c r="EK126" s="30" t="str">
        <f t="shared" si="1898"/>
        <v/>
      </c>
      <c r="EL126" s="30" t="str">
        <f t="shared" si="1899"/>
        <v/>
      </c>
      <c r="EM126" s="30" t="str">
        <f t="shared" si="1900"/>
        <v/>
      </c>
      <c r="EN126" s="30" t="str">
        <f t="shared" si="1901"/>
        <v/>
      </c>
      <c r="EO126" s="30" t="str">
        <f t="shared" si="1902"/>
        <v/>
      </c>
      <c r="EP126" s="30" t="str">
        <f t="shared" si="1903"/>
        <v/>
      </c>
      <c r="EQ126" s="30" t="str">
        <f t="shared" si="1904"/>
        <v/>
      </c>
      <c r="ER126" s="30" t="str">
        <f t="shared" si="1905"/>
        <v/>
      </c>
      <c r="ES126" s="30" t="str">
        <f t="shared" si="1906"/>
        <v/>
      </c>
      <c r="ET126" s="30" t="str">
        <f t="shared" si="1907"/>
        <v/>
      </c>
      <c r="EU126" s="30" t="str">
        <f t="shared" si="1908"/>
        <v/>
      </c>
      <c r="EV126" s="30" t="str">
        <f t="shared" si="1909"/>
        <v/>
      </c>
      <c r="EW126" s="30" t="str">
        <f t="shared" si="1910"/>
        <v/>
      </c>
      <c r="EX126" s="30" t="str">
        <f t="shared" si="1911"/>
        <v/>
      </c>
      <c r="EY126" s="30" t="str">
        <f t="shared" si="1912"/>
        <v/>
      </c>
      <c r="EZ126" s="30" t="str">
        <f t="shared" si="1913"/>
        <v/>
      </c>
      <c r="FA126" s="30" t="str">
        <f t="shared" si="1914"/>
        <v/>
      </c>
      <c r="FB126" s="30" t="str">
        <f t="shared" si="1915"/>
        <v/>
      </c>
      <c r="FC126" s="30" t="str">
        <f t="shared" si="1916"/>
        <v/>
      </c>
      <c r="FD126" s="30" t="str">
        <f t="shared" si="1917"/>
        <v/>
      </c>
      <c r="FE126" s="30" t="str">
        <f t="shared" si="1918"/>
        <v/>
      </c>
      <c r="FF126" s="30" t="str">
        <f t="shared" si="1919"/>
        <v/>
      </c>
      <c r="FG126" s="30" t="str">
        <f t="shared" si="1920"/>
        <v/>
      </c>
      <c r="FH126" s="30" t="str">
        <f t="shared" si="1921"/>
        <v/>
      </c>
      <c r="FI126" s="30" t="str">
        <f t="shared" si="1922"/>
        <v/>
      </c>
      <c r="FJ126" s="30" t="str">
        <f t="shared" si="1923"/>
        <v/>
      </c>
      <c r="FK126" s="30" t="str">
        <f t="shared" si="1924"/>
        <v/>
      </c>
      <c r="FL126" s="30" t="str">
        <f t="shared" si="1925"/>
        <v/>
      </c>
      <c r="FM126" s="30" t="str">
        <f t="shared" si="1926"/>
        <v/>
      </c>
      <c r="FN126" s="30" t="str">
        <f t="shared" si="1927"/>
        <v/>
      </c>
      <c r="FO126" s="30" t="str">
        <f t="shared" si="1928"/>
        <v/>
      </c>
      <c r="FP126" s="30" t="str">
        <f t="shared" si="1929"/>
        <v/>
      </c>
      <c r="FQ126" s="30" t="str">
        <f t="shared" si="1930"/>
        <v/>
      </c>
      <c r="FR126" s="30" t="str">
        <f t="shared" si="1931"/>
        <v/>
      </c>
      <c r="FS126" s="30" t="str">
        <f t="shared" si="1932"/>
        <v/>
      </c>
    </row>
    <row r="127" spans="1:175" ht="16.5">
      <c r="A127" s="117"/>
      <c r="B127" s="66" t="s">
        <v>918</v>
      </c>
      <c r="C127" s="87" t="s">
        <v>914</v>
      </c>
      <c r="T127" s="87" t="s">
        <v>914</v>
      </c>
      <c r="U127" s="37" t="s">
        <v>822</v>
      </c>
      <c r="CN127" s="7" t="str">
        <f t="shared" si="1856"/>
        <v>InitUnitState('IB05',,,,,,,,,,)</v>
      </c>
      <c r="CO127" s="7" t="str">
        <f t="shared" si="1857"/>
        <v>InitUnitNormal('IB05',,,,,,,,,,)</v>
      </c>
      <c r="CP127" s="7" t="str">
        <f t="shared" si="1858"/>
        <v>InitUnitMagic('IB05',,,,,,,,,,)</v>
      </c>
      <c r="CQ127" s="7" t="str">
        <f t="shared" si="1859"/>
        <v>InitUnitAdd('IB05',,,,,,,,,,)</v>
      </c>
      <c r="CR127" s="7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133&amp;CR$1&amp;")"</f>
        <v>InitEquipData('IB05',,"",,,,,'','','','','','',"")</v>
      </c>
      <c r="CU127" s="45" t="str">
        <f t="shared" si="1861"/>
        <v>|n</v>
      </c>
      <c r="CV127" s="29" t="str">
        <f t="shared" si="1862"/>
        <v>工会礼包</v>
      </c>
      <c r="CW127" s="24"/>
      <c r="CX127" s="24"/>
      <c r="CY127" s="24"/>
      <c r="CZ127" s="24"/>
      <c r="DA127" s="24"/>
      <c r="DB127" s="30" t="str">
        <f t="shared" si="1863"/>
        <v/>
      </c>
      <c r="DC127" s="30" t="str">
        <f t="shared" si="1864"/>
        <v/>
      </c>
      <c r="DD127" s="30" t="str">
        <f t="shared" si="1865"/>
        <v/>
      </c>
      <c r="DE127" s="30" t="str">
        <f t="shared" si="1866"/>
        <v/>
      </c>
      <c r="DF127" s="30" t="str">
        <f t="shared" si="1867"/>
        <v/>
      </c>
      <c r="DG127" s="30" t="str">
        <f t="shared" si="1868"/>
        <v/>
      </c>
      <c r="DH127" s="30" t="str">
        <f t="shared" si="1869"/>
        <v/>
      </c>
      <c r="DI127" s="30" t="str">
        <f t="shared" si="1870"/>
        <v/>
      </c>
      <c r="DJ127" s="30" t="str">
        <f t="shared" si="1871"/>
        <v/>
      </c>
      <c r="DK127" s="30" t="str">
        <f t="shared" si="1872"/>
        <v/>
      </c>
      <c r="DL127" s="30" t="str">
        <f t="shared" si="1873"/>
        <v/>
      </c>
      <c r="DM127" s="30" t="str">
        <f t="shared" si="1874"/>
        <v/>
      </c>
      <c r="DN127" s="30" t="str">
        <f t="shared" si="1875"/>
        <v/>
      </c>
      <c r="DO127" s="30" t="str">
        <f t="shared" si="1876"/>
        <v/>
      </c>
      <c r="DP127" s="30" t="str">
        <f t="shared" si="1877"/>
        <v/>
      </c>
      <c r="DQ127" s="30" t="str">
        <f t="shared" si="1878"/>
        <v/>
      </c>
      <c r="DR127" s="30" t="str">
        <f t="shared" si="1879"/>
        <v/>
      </c>
      <c r="DS127" s="30" t="str">
        <f t="shared" si="1880"/>
        <v/>
      </c>
      <c r="DT127" s="30" t="str">
        <f t="shared" si="1881"/>
        <v/>
      </c>
      <c r="DU127" s="30" t="str">
        <f t="shared" si="1882"/>
        <v/>
      </c>
      <c r="DV127" s="30" t="str">
        <f t="shared" si="1883"/>
        <v/>
      </c>
      <c r="DW127" s="30" t="str">
        <f t="shared" si="1884"/>
        <v/>
      </c>
      <c r="DX127" s="30" t="str">
        <f t="shared" si="1885"/>
        <v/>
      </c>
      <c r="DY127" s="30" t="str">
        <f t="shared" si="1886"/>
        <v/>
      </c>
      <c r="DZ127" s="30" t="str">
        <f t="shared" si="1887"/>
        <v/>
      </c>
      <c r="EA127" s="30" t="str">
        <f t="shared" si="1888"/>
        <v/>
      </c>
      <c r="EB127" s="30" t="str">
        <f t="shared" si="1889"/>
        <v/>
      </c>
      <c r="EC127" s="30" t="str">
        <f t="shared" si="1890"/>
        <v/>
      </c>
      <c r="ED127" s="30" t="str">
        <f t="shared" si="1891"/>
        <v/>
      </c>
      <c r="EE127" s="30" t="str">
        <f t="shared" si="1892"/>
        <v/>
      </c>
      <c r="EF127" s="30" t="str">
        <f t="shared" si="1893"/>
        <v/>
      </c>
      <c r="EG127" s="30" t="str">
        <f t="shared" si="1894"/>
        <v/>
      </c>
      <c r="EH127" s="30" t="str">
        <f t="shared" si="1895"/>
        <v/>
      </c>
      <c r="EI127" s="30" t="str">
        <f t="shared" si="1896"/>
        <v/>
      </c>
      <c r="EJ127" s="30" t="str">
        <f t="shared" si="1897"/>
        <v/>
      </c>
      <c r="EK127" s="30" t="str">
        <f t="shared" si="1898"/>
        <v/>
      </c>
      <c r="EL127" s="30" t="str">
        <f t="shared" si="1899"/>
        <v/>
      </c>
      <c r="EM127" s="30" t="str">
        <f t="shared" si="1900"/>
        <v/>
      </c>
      <c r="EN127" s="30" t="str">
        <f t="shared" si="1901"/>
        <v/>
      </c>
      <c r="EO127" s="30" t="str">
        <f t="shared" si="1902"/>
        <v/>
      </c>
      <c r="EP127" s="30" t="str">
        <f t="shared" si="1903"/>
        <v/>
      </c>
      <c r="EQ127" s="30" t="str">
        <f t="shared" si="1904"/>
        <v/>
      </c>
      <c r="ER127" s="30" t="str">
        <f t="shared" si="1905"/>
        <v/>
      </c>
      <c r="ES127" s="30" t="str">
        <f t="shared" si="1906"/>
        <v/>
      </c>
      <c r="ET127" s="30" t="str">
        <f t="shared" si="1907"/>
        <v/>
      </c>
      <c r="EU127" s="30" t="str">
        <f t="shared" si="1908"/>
        <v/>
      </c>
      <c r="EV127" s="30" t="str">
        <f t="shared" si="1909"/>
        <v/>
      </c>
      <c r="EW127" s="30" t="str">
        <f t="shared" si="1910"/>
        <v/>
      </c>
      <c r="EX127" s="30" t="str">
        <f t="shared" si="1911"/>
        <v/>
      </c>
      <c r="EY127" s="30" t="str">
        <f t="shared" si="1912"/>
        <v/>
      </c>
      <c r="EZ127" s="30" t="str">
        <f t="shared" si="1913"/>
        <v/>
      </c>
      <c r="FA127" s="30" t="str">
        <f t="shared" si="1914"/>
        <v/>
      </c>
      <c r="FB127" s="30" t="str">
        <f t="shared" si="1915"/>
        <v/>
      </c>
      <c r="FC127" s="30" t="str">
        <f t="shared" si="1916"/>
        <v/>
      </c>
      <c r="FD127" s="30" t="str">
        <f t="shared" si="1917"/>
        <v/>
      </c>
      <c r="FE127" s="30" t="str">
        <f t="shared" si="1918"/>
        <v/>
      </c>
      <c r="FF127" s="30" t="str">
        <f t="shared" si="1919"/>
        <v/>
      </c>
      <c r="FG127" s="30" t="str">
        <f t="shared" si="1920"/>
        <v/>
      </c>
      <c r="FH127" s="30" t="str">
        <f t="shared" si="1921"/>
        <v/>
      </c>
      <c r="FI127" s="30" t="str">
        <f t="shared" si="1922"/>
        <v/>
      </c>
      <c r="FJ127" s="30" t="str">
        <f t="shared" si="1923"/>
        <v/>
      </c>
      <c r="FK127" s="30" t="str">
        <f t="shared" si="1924"/>
        <v/>
      </c>
      <c r="FL127" s="30" t="str">
        <f t="shared" si="1925"/>
        <v/>
      </c>
      <c r="FM127" s="30" t="str">
        <f t="shared" si="1926"/>
        <v/>
      </c>
      <c r="FN127" s="30" t="str">
        <f t="shared" si="1927"/>
        <v/>
      </c>
      <c r="FO127" s="30" t="str">
        <f t="shared" si="1928"/>
        <v/>
      </c>
      <c r="FP127" s="30" t="str">
        <f t="shared" si="1929"/>
        <v/>
      </c>
      <c r="FQ127" s="30" t="str">
        <f t="shared" si="1930"/>
        <v/>
      </c>
      <c r="FR127" s="30" t="str">
        <f t="shared" si="1931"/>
        <v/>
      </c>
      <c r="FS127" s="30" t="str">
        <f t="shared" si="1932"/>
        <v/>
      </c>
    </row>
    <row r="128" spans="1:175" ht="16.5">
      <c r="A128" s="88"/>
      <c r="B128" s="66"/>
      <c r="C128" s="87"/>
      <c r="T128" s="107"/>
      <c r="U128" s="32"/>
      <c r="CN128" s="7" t="str">
        <f t="shared" ref="CN128:CN144" si="1933">"InitUnitState('"&amp;B128&amp;"',"&amp;V128&amp;","&amp;W128&amp;","&amp;X128&amp;","&amp;Y128&amp;","&amp;Z128&amp;","&amp;AA128&amp;","&amp;AB128&amp;","&amp;AC128&amp;","&amp;AD128&amp;","&amp;AE128&amp;")"</f>
        <v>InitUnitState('',,,,,,,,,,)</v>
      </c>
      <c r="CO128" s="7" t="str">
        <f t="shared" ref="CO128:CO144" si="1934">"InitUnitNormal('"&amp;B128&amp;"',"&amp;AF128&amp;","&amp;AG128&amp;","&amp;AH128&amp;","&amp;AI128&amp;","&amp;AJ128&amp;","&amp;AK128&amp;","&amp;AL128&amp;","&amp;AM128&amp;","&amp;AN128&amp;","&amp;AO128&amp;")"</f>
        <v>InitUnitNormal('',,,,,,,,,,)</v>
      </c>
      <c r="CP128" s="7" t="str">
        <f t="shared" ref="CP128:CP144" si="1935">"InitUnitMagic('"&amp;B128&amp;"',"&amp;AP128&amp;","&amp;AQ128&amp;","&amp;AR128&amp;","&amp;AS128&amp;","&amp;AT128&amp;","&amp;AU128&amp;","&amp;AV128&amp;","&amp;AW128&amp;","&amp;BI128&amp;","&amp;BJ128&amp;")"</f>
        <v>InitUnitMagic('',,,,,,,,,,)</v>
      </c>
      <c r="CQ128" s="7" t="str">
        <f t="shared" ref="CQ128:CQ144" si="1936">"InitUnitAdd('"&amp;B128&amp;"',"&amp;BK128&amp;","&amp;BL128&amp;","&amp;BM128&amp;","&amp;BN128&amp;","&amp;BO128&amp;","&amp;BP128&amp;","&amp;BQ128&amp;","&amp;BR128&amp;","&amp;BS128&amp;","&amp;BT128&amp;")"</f>
        <v>InitUnitAdd('',,,,,,,,,,)</v>
      </c>
      <c r="CR128" s="7" t="str">
        <f t="shared" ref="CR128:CR144" si="1937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InitEquipData('',,"",,,,,'','','','','','',"")</v>
      </c>
      <c r="CU128" s="45" t="str">
        <f t="shared" ref="CU128:CU150" si="1938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W128" s="24"/>
      <c r="CX128" s="24"/>
      <c r="CY128" s="24"/>
      <c r="CZ128" s="24"/>
      <c r="DA128" s="24"/>
      <c r="DB128" s="30" t="str">
        <f t="shared" ref="DB128:DB150" si="1939">IF(V128="","","|n"&amp;DB$2&amp;"+"&amp;V128&amp;DB$1)</f>
        <v/>
      </c>
      <c r="DC128" s="30" t="str">
        <f t="shared" ref="DC128:DC150" si="1940">IF(W128="","","|n"&amp;DC$2&amp;"+"&amp;W128&amp;DC$1)</f>
        <v/>
      </c>
      <c r="DD128" s="30" t="str">
        <f t="shared" ref="DD128:DD150" si="1941">IF(X128="","","|n"&amp;DD$2&amp;"+"&amp;X128&amp;DD$1)</f>
        <v/>
      </c>
      <c r="DE128" s="30" t="str">
        <f t="shared" ref="DE128:DE150" si="1942">IF(Y128="","","|n"&amp;DE$2&amp;"+"&amp;Y128&amp;DE$1)</f>
        <v/>
      </c>
      <c r="DF128" s="30" t="str">
        <f t="shared" ref="DF128:DF150" si="1943">IF(Z128="","","|n"&amp;DF$2&amp;"+"&amp;Z128&amp;DF$1)</f>
        <v/>
      </c>
      <c r="DG128" s="30" t="str">
        <f t="shared" ref="DG128:DG150" si="1944">IF(AA128="","","|n"&amp;DG$2&amp;"+"&amp;AA128&amp;DG$1)</f>
        <v/>
      </c>
      <c r="DH128" s="30" t="str">
        <f t="shared" ref="DH128:DH150" si="1945">IF(AB128="","","|n"&amp;DH$2&amp;"+"&amp;AB128&amp;DH$1)</f>
        <v/>
      </c>
      <c r="DI128" s="30" t="str">
        <f t="shared" ref="DI128:DI150" si="1946">IF(AC128="","","|n"&amp;DI$2&amp;"+"&amp;AC128&amp;DI$1)</f>
        <v/>
      </c>
      <c r="DJ128" s="30" t="str">
        <f t="shared" ref="DJ128:DJ150" si="1947">IF(AD128="","","|n"&amp;DJ$2&amp;"+"&amp;AD128&amp;DJ$1)</f>
        <v/>
      </c>
      <c r="DK128" s="30" t="str">
        <f t="shared" ref="DK128:DK150" si="1948">IF(AE128="","","|n"&amp;DK$2&amp;"+"&amp;AE128&amp;DK$1)</f>
        <v/>
      </c>
      <c r="DL128" s="30" t="str">
        <f t="shared" ref="DL128:DL150" si="1949">IF(AF128="","","|n"&amp;DL$2&amp;"+"&amp;AF128&amp;DL$1)</f>
        <v/>
      </c>
      <c r="DM128" s="30" t="str">
        <f t="shared" ref="DM128:DM150" si="1950">IF(AG128="","","|n"&amp;DM$2&amp;"+"&amp;AG128&amp;DM$1)</f>
        <v/>
      </c>
      <c r="DN128" s="30" t="str">
        <f t="shared" ref="DN128:DN150" si="1951">IF(AH128="","","|n"&amp;DN$2&amp;"+"&amp;AH128&amp;DN$1)</f>
        <v/>
      </c>
      <c r="DO128" s="30" t="str">
        <f t="shared" ref="DO128:DO150" si="1952">IF(AI128="","","|n"&amp;DO$2&amp;"+"&amp;AI128&amp;DO$1)</f>
        <v/>
      </c>
      <c r="DP128" s="30" t="str">
        <f t="shared" ref="DP128:DP150" si="1953">IF(AJ128="","","|n"&amp;DP$2&amp;"+"&amp;AJ128&amp;DP$1)</f>
        <v/>
      </c>
      <c r="DQ128" s="30" t="str">
        <f t="shared" ref="DQ128:DQ150" si="1954">IF(AK128="","","|n"&amp;DQ$2&amp;"+"&amp;AK128&amp;DQ$1)</f>
        <v/>
      </c>
      <c r="DR128" s="30" t="str">
        <f t="shared" ref="DR128:DR150" si="1955">IF(AL128="","","|n"&amp;DR$2&amp;"+"&amp;AL128&amp;DR$1)</f>
        <v/>
      </c>
      <c r="DS128" s="30" t="str">
        <f t="shared" ref="DS128:DS150" si="1956">IF(AM128="","","|n"&amp;DS$2&amp;"+"&amp;AM128&amp;DS$1)</f>
        <v/>
      </c>
      <c r="DT128" s="30" t="str">
        <f t="shared" ref="DT128:DT150" si="1957">IF(AN128="","","|n"&amp;DT$2&amp;"+"&amp;AN128&amp;DT$1)</f>
        <v/>
      </c>
      <c r="DU128" s="30" t="str">
        <f t="shared" ref="DU128:DU150" si="1958">IF(AO128="","","|n"&amp;DU$2&amp;"+"&amp;AO128&amp;DU$1)</f>
        <v/>
      </c>
      <c r="DV128" s="30" t="str">
        <f t="shared" ref="DV128:DV150" si="1959">IF(AP128="","","|n"&amp;DV$2&amp;"+"&amp;AP128&amp;DV$1)</f>
        <v/>
      </c>
      <c r="DW128" s="30" t="str">
        <f t="shared" ref="DW128:DW150" si="1960">IF(AQ128="","","|n"&amp;DW$2&amp;"+"&amp;AQ128&amp;DW$1)</f>
        <v/>
      </c>
      <c r="DX128" s="30" t="str">
        <f t="shared" ref="DX128:DX150" si="1961">IF(AR128="","","|n"&amp;DX$2&amp;"+"&amp;AR128&amp;DX$1)</f>
        <v/>
      </c>
      <c r="DY128" s="30" t="str">
        <f t="shared" ref="DY128:DY150" si="1962">IF(AS128="","","|n"&amp;DY$2&amp;"+"&amp;AS128&amp;DY$1)</f>
        <v/>
      </c>
      <c r="DZ128" s="30" t="str">
        <f t="shared" ref="DZ128:DZ150" si="1963">IF(AT128="","","|n"&amp;DZ$2&amp;"+"&amp;AT128&amp;DZ$1)</f>
        <v/>
      </c>
      <c r="EA128" s="30" t="str">
        <f t="shared" ref="EA128:EA150" si="1964">IF(AU128="","","|n"&amp;EA$2&amp;"+"&amp;AU128&amp;EA$1)</f>
        <v/>
      </c>
      <c r="EB128" s="30" t="str">
        <f t="shared" ref="EB128:EB150" si="1965">IF(AV128="","","|n"&amp;EB$2&amp;"+"&amp;AV128&amp;EB$1)</f>
        <v/>
      </c>
      <c r="EC128" s="30" t="str">
        <f t="shared" ref="EC128:EC150" si="1966">IF(AW128="","","|n"&amp;EC$2&amp;"+"&amp;AW128&amp;EC$1)</f>
        <v/>
      </c>
      <c r="ED128" s="30" t="str">
        <f t="shared" ref="ED128:ED150" si="1967">IF(AX128="","","|n"&amp;ED$2&amp;"+"&amp;AX128&amp;ED$1)</f>
        <v/>
      </c>
      <c r="EE128" s="30" t="str">
        <f t="shared" ref="EE128:EE150" si="1968">IF(AY128="","","|n"&amp;EE$2&amp;"+"&amp;AY128&amp;EE$1)</f>
        <v/>
      </c>
      <c r="EF128" s="30" t="str">
        <f t="shared" ref="EF128:EF150" si="1969">IF(AZ128="","","|n"&amp;EF$2&amp;"+"&amp;AZ128&amp;EF$1)</f>
        <v/>
      </c>
      <c r="EG128" s="30" t="str">
        <f t="shared" ref="EG128:EG150" si="1970">IF(BA128="","","|n"&amp;EG$2&amp;"+"&amp;BA128&amp;EG$1)</f>
        <v/>
      </c>
      <c r="EH128" s="30" t="str">
        <f t="shared" ref="EH128:EH150" si="1971">IF(BB128="","","|n"&amp;EH$2&amp;"+"&amp;BB128&amp;EH$1)</f>
        <v/>
      </c>
      <c r="EI128" s="30" t="str">
        <f t="shared" ref="EI128:EI150" si="1972">IF(BC128="","","|n"&amp;EI$2&amp;"+"&amp;BC128&amp;EI$1)</f>
        <v/>
      </c>
      <c r="EJ128" s="30" t="str">
        <f t="shared" ref="EJ128:EJ150" si="1973">IF(BD128="","","|n"&amp;EJ$2&amp;"+"&amp;BD128&amp;EJ$1)</f>
        <v/>
      </c>
      <c r="EK128" s="30" t="str">
        <f t="shared" ref="EK128:EK150" si="1974">IF(BE128="","","|n"&amp;EK$2&amp;"+"&amp;BE128&amp;EK$1)</f>
        <v/>
      </c>
      <c r="EL128" s="30" t="str">
        <f t="shared" ref="EL128:EL150" si="1975">IF(BF128="","","|n"&amp;EL$2&amp;"+"&amp;BF128&amp;EL$1)</f>
        <v/>
      </c>
      <c r="EM128" s="30" t="str">
        <f t="shared" ref="EM128:EM150" si="1976">IF(BG128="","","|n"&amp;EM$2&amp;"+"&amp;BG128&amp;EM$1)</f>
        <v/>
      </c>
      <c r="EN128" s="30" t="str">
        <f t="shared" ref="EN128:EN150" si="1977">IF(BH128="","","|n"&amp;EN$2&amp;"+"&amp;BH128&amp;EN$1)</f>
        <v/>
      </c>
      <c r="EO128" s="30" t="str">
        <f t="shared" ref="EO128:EO150" si="1978">IF(BI128="","","|n"&amp;EO$2&amp;"+"&amp;BI128&amp;EO$1)</f>
        <v/>
      </c>
      <c r="EP128" s="30" t="str">
        <f t="shared" ref="EP128:EP150" si="1979">IF(BJ128="","","|n"&amp;EP$2&amp;"+"&amp;BJ128&amp;EP$1)</f>
        <v/>
      </c>
      <c r="EQ128" s="30" t="str">
        <f t="shared" ref="EQ128:EQ150" si="1980">IF(BK128="","","|n"&amp;EQ$2&amp;"+"&amp;BK128&amp;EQ$1)</f>
        <v/>
      </c>
      <c r="ER128" s="30" t="str">
        <f t="shared" ref="ER128:ER150" si="1981">IF(BL128="","","|n"&amp;ER$2&amp;"+"&amp;BL128&amp;ER$1)</f>
        <v/>
      </c>
      <c r="ES128" s="30" t="str">
        <f t="shared" ref="ES128:ES150" si="1982">IF(BM128="","","|n"&amp;ES$2&amp;"+"&amp;BM128&amp;ES$1)</f>
        <v/>
      </c>
      <c r="ET128" s="30" t="str">
        <f t="shared" ref="ET128:ET150" si="1983">IF(BN128="","","|n"&amp;ET$2&amp;"+"&amp;BN128&amp;ET$1)</f>
        <v/>
      </c>
      <c r="EU128" s="30" t="str">
        <f t="shared" ref="EU128:EU150" si="1984">IF(BO128="","","|n"&amp;EU$2&amp;"+"&amp;BO128&amp;EU$1)</f>
        <v/>
      </c>
      <c r="EV128" s="30" t="str">
        <f t="shared" ref="EV128:EV150" si="1985">IF(BP128="","","|n"&amp;EV$2&amp;"+"&amp;BP128&amp;EV$1)</f>
        <v/>
      </c>
      <c r="EW128" s="30" t="str">
        <f t="shared" ref="EW128:EW150" si="1986">IF(BQ128="","","|n"&amp;EW$2&amp;"+"&amp;BQ128&amp;EW$1)</f>
        <v/>
      </c>
      <c r="EX128" s="30" t="str">
        <f t="shared" ref="EX128:EX150" si="1987">IF(BR128="","","|n"&amp;EX$2&amp;"+"&amp;BR128&amp;EX$1)</f>
        <v/>
      </c>
      <c r="EY128" s="30" t="str">
        <f t="shared" ref="EY128:EY150" si="1988">IF(BS128="","","|n"&amp;EY$2&amp;"+"&amp;BS128&amp;EY$1)</f>
        <v/>
      </c>
      <c r="EZ128" s="30" t="str">
        <f t="shared" ref="EZ128:EZ150" si="1989">IF(BT128="","","|n"&amp;EZ$2&amp;"+"&amp;BT128&amp;EZ$1)</f>
        <v/>
      </c>
      <c r="FA128" s="30" t="str">
        <f t="shared" ref="FA128:FA150" si="1990">IF(BU128="","","|n"&amp;FA$2&amp;"+"&amp;BU128&amp;FA$1)</f>
        <v/>
      </c>
      <c r="FB128" s="30" t="str">
        <f t="shared" ref="FB128:FB150" si="1991">IF(BV128="","","|n"&amp;FB$2&amp;"+"&amp;BV128&amp;FB$1)</f>
        <v/>
      </c>
      <c r="FC128" s="30" t="str">
        <f t="shared" ref="FC128:FC150" si="1992">IF(BW128="","","|n"&amp;FC$2&amp;"+"&amp;BW128&amp;FC$1)</f>
        <v/>
      </c>
      <c r="FD128" s="30" t="str">
        <f t="shared" ref="FD128:FD150" si="1993">IF(BX128="","","|n"&amp;FD$2&amp;"+"&amp;BX128&amp;FD$1)</f>
        <v/>
      </c>
      <c r="FE128" s="30" t="str">
        <f t="shared" ref="FE128:FE150" si="1994">IF(BY128="","","|n"&amp;FE$2&amp;"+"&amp;BY128&amp;FE$1)</f>
        <v/>
      </c>
      <c r="FF128" s="30" t="str">
        <f t="shared" ref="FF128:FF150" si="1995">IF(BZ128="","","|n"&amp;FF$2&amp;"+"&amp;BZ128&amp;FF$1)</f>
        <v/>
      </c>
      <c r="FG128" s="30" t="str">
        <f t="shared" ref="FG128:FG150" si="1996">IF(CA128="","","|n"&amp;FG$2&amp;"+"&amp;CA128&amp;FG$1)</f>
        <v/>
      </c>
      <c r="FH128" s="30" t="str">
        <f t="shared" ref="FH128:FH150" si="1997">IF(CB128="","","|n"&amp;FH$2&amp;"+"&amp;CB128&amp;FH$1)</f>
        <v/>
      </c>
      <c r="FI128" s="30" t="str">
        <f t="shared" ref="FI128:FI150" si="1998">IF(CC128="","","|n"&amp;FI$2&amp;"+"&amp;CC128&amp;FI$1)</f>
        <v/>
      </c>
      <c r="FJ128" s="30" t="str">
        <f t="shared" ref="FJ128:FJ150" si="1999">IF(CD128="","","|n"&amp;FJ$2&amp;"+"&amp;CD128&amp;FJ$1)</f>
        <v/>
      </c>
      <c r="FK128" s="30" t="str">
        <f t="shared" ref="FK128:FK150" si="2000">IF(CE128="","","|n"&amp;FK$2&amp;"+"&amp;CE128&amp;FK$1)</f>
        <v/>
      </c>
      <c r="FL128" s="30" t="str">
        <f t="shared" ref="FL128:FL150" si="2001">IF(CF128="","","|n"&amp;FL$2&amp;"+"&amp;CF128&amp;FL$1)</f>
        <v/>
      </c>
      <c r="FM128" s="30" t="str">
        <f t="shared" ref="FM128:FM150" si="2002">IF(CG128="","","|n"&amp;FM$2&amp;"+"&amp;CG128&amp;FM$1)</f>
        <v/>
      </c>
      <c r="FN128" s="30" t="str">
        <f t="shared" ref="FN128:FN150" si="2003">IF(CH128="","","|n"&amp;FN$2&amp;"+"&amp;CH128&amp;FN$1)</f>
        <v/>
      </c>
      <c r="FO128" s="30" t="str">
        <f t="shared" ref="FO128:FO150" si="2004">IF(CI128="","","|n"&amp;FO$2&amp;"+"&amp;CI128&amp;FO$1)</f>
        <v/>
      </c>
      <c r="FP128" s="30" t="str">
        <f t="shared" ref="FP128:FP150" si="2005">IF(CJ128="","","|n"&amp;FP$2&amp;"+"&amp;CJ128&amp;FP$1)</f>
        <v/>
      </c>
      <c r="FQ128" s="30" t="str">
        <f t="shared" ref="FQ128:FQ150" si="2006">IF(CK128="","","|n"&amp;FQ$2&amp;"+"&amp;CK128&amp;FQ$1)</f>
        <v/>
      </c>
      <c r="FR128" s="30" t="str">
        <f t="shared" ref="FR128:FR150" si="2007">IF(CL128="","","|n"&amp;FR$2&amp;"+"&amp;CL128&amp;FR$1)</f>
        <v/>
      </c>
      <c r="FS128" s="30" t="str">
        <f t="shared" ref="FS128:FS150" si="2008">IF(CM128="","","|n"&amp;FS$2&amp;"+"&amp;CM128&amp;FS$1)</f>
        <v/>
      </c>
    </row>
    <row r="129" spans="1:175" ht="16.5">
      <c r="A129" s="88"/>
      <c r="B129" s="66"/>
      <c r="C129" s="87"/>
      <c r="T129" s="107"/>
      <c r="U129" s="32"/>
      <c r="CN129" s="7" t="str">
        <f t="shared" si="1933"/>
        <v>InitUnitState('',,,,,,,,,,)</v>
      </c>
      <c r="CO129" s="7" t="str">
        <f t="shared" si="1934"/>
        <v>InitUnitNormal('',,,,,,,,,,)</v>
      </c>
      <c r="CP129" s="7" t="str">
        <f t="shared" si="1935"/>
        <v>InitUnitMagic('',,,,,,,,,,)</v>
      </c>
      <c r="CQ129" s="7" t="str">
        <f t="shared" si="1936"/>
        <v>InitUnitAdd('',,,,,,,,,,)</v>
      </c>
      <c r="CR129" s="7" t="str">
        <f t="shared" si="1937"/>
        <v>InitEquipData('',,"",,,,,'','','','','','',"")</v>
      </c>
      <c r="CU129" s="45" t="str">
        <f t="shared" si="1938"/>
        <v>|n</v>
      </c>
      <c r="CW129" s="24"/>
      <c r="CX129" s="24"/>
      <c r="CY129" s="24"/>
      <c r="CZ129" s="24"/>
      <c r="DA129" s="24"/>
      <c r="DB129" s="30" t="str">
        <f t="shared" si="1939"/>
        <v/>
      </c>
      <c r="DC129" s="30" t="str">
        <f t="shared" si="1940"/>
        <v/>
      </c>
      <c r="DD129" s="30" t="str">
        <f t="shared" si="1941"/>
        <v/>
      </c>
      <c r="DE129" s="30" t="str">
        <f t="shared" si="1942"/>
        <v/>
      </c>
      <c r="DF129" s="30" t="str">
        <f t="shared" si="1943"/>
        <v/>
      </c>
      <c r="DG129" s="30" t="str">
        <f t="shared" si="1944"/>
        <v/>
      </c>
      <c r="DH129" s="30" t="str">
        <f t="shared" si="1945"/>
        <v/>
      </c>
      <c r="DI129" s="30" t="str">
        <f t="shared" si="1946"/>
        <v/>
      </c>
      <c r="DJ129" s="30" t="str">
        <f t="shared" si="1947"/>
        <v/>
      </c>
      <c r="DK129" s="30" t="str">
        <f t="shared" si="1948"/>
        <v/>
      </c>
      <c r="DL129" s="30" t="str">
        <f t="shared" si="1949"/>
        <v/>
      </c>
      <c r="DM129" s="30" t="str">
        <f t="shared" si="1950"/>
        <v/>
      </c>
      <c r="DN129" s="30" t="str">
        <f t="shared" si="1951"/>
        <v/>
      </c>
      <c r="DO129" s="30" t="str">
        <f t="shared" si="1952"/>
        <v/>
      </c>
      <c r="DP129" s="30" t="str">
        <f t="shared" si="1953"/>
        <v/>
      </c>
      <c r="DQ129" s="30" t="str">
        <f t="shared" si="1954"/>
        <v/>
      </c>
      <c r="DR129" s="30" t="str">
        <f t="shared" si="1955"/>
        <v/>
      </c>
      <c r="DS129" s="30" t="str">
        <f t="shared" si="1956"/>
        <v/>
      </c>
      <c r="DT129" s="30" t="str">
        <f t="shared" si="1957"/>
        <v/>
      </c>
      <c r="DU129" s="30" t="str">
        <f t="shared" si="1958"/>
        <v/>
      </c>
      <c r="DV129" s="30" t="str">
        <f t="shared" si="1959"/>
        <v/>
      </c>
      <c r="DW129" s="30" t="str">
        <f t="shared" si="1960"/>
        <v/>
      </c>
      <c r="DX129" s="30" t="str">
        <f t="shared" si="1961"/>
        <v/>
      </c>
      <c r="DY129" s="30" t="str">
        <f t="shared" si="1962"/>
        <v/>
      </c>
      <c r="DZ129" s="30" t="str">
        <f t="shared" si="1963"/>
        <v/>
      </c>
      <c r="EA129" s="30" t="str">
        <f t="shared" si="1964"/>
        <v/>
      </c>
      <c r="EB129" s="30" t="str">
        <f t="shared" si="1965"/>
        <v/>
      </c>
      <c r="EC129" s="30" t="str">
        <f t="shared" si="1966"/>
        <v/>
      </c>
      <c r="ED129" s="30" t="str">
        <f t="shared" si="1967"/>
        <v/>
      </c>
      <c r="EE129" s="30" t="str">
        <f t="shared" si="1968"/>
        <v/>
      </c>
      <c r="EF129" s="30" t="str">
        <f t="shared" si="1969"/>
        <v/>
      </c>
      <c r="EG129" s="30" t="str">
        <f t="shared" si="1970"/>
        <v/>
      </c>
      <c r="EH129" s="30" t="str">
        <f t="shared" si="1971"/>
        <v/>
      </c>
      <c r="EI129" s="30" t="str">
        <f t="shared" si="1972"/>
        <v/>
      </c>
      <c r="EJ129" s="30" t="str">
        <f t="shared" si="1973"/>
        <v/>
      </c>
      <c r="EK129" s="30" t="str">
        <f t="shared" si="1974"/>
        <v/>
      </c>
      <c r="EL129" s="30" t="str">
        <f t="shared" si="1975"/>
        <v/>
      </c>
      <c r="EM129" s="30" t="str">
        <f t="shared" si="1976"/>
        <v/>
      </c>
      <c r="EN129" s="30" t="str">
        <f t="shared" si="1977"/>
        <v/>
      </c>
      <c r="EO129" s="30" t="str">
        <f t="shared" si="1978"/>
        <v/>
      </c>
      <c r="EP129" s="30" t="str">
        <f t="shared" si="1979"/>
        <v/>
      </c>
      <c r="EQ129" s="30" t="str">
        <f t="shared" si="1980"/>
        <v/>
      </c>
      <c r="ER129" s="30" t="str">
        <f t="shared" si="1981"/>
        <v/>
      </c>
      <c r="ES129" s="30" t="str">
        <f t="shared" si="1982"/>
        <v/>
      </c>
      <c r="ET129" s="30" t="str">
        <f t="shared" si="1983"/>
        <v/>
      </c>
      <c r="EU129" s="30" t="str">
        <f t="shared" si="1984"/>
        <v/>
      </c>
      <c r="EV129" s="30" t="str">
        <f t="shared" si="1985"/>
        <v/>
      </c>
      <c r="EW129" s="30" t="str">
        <f t="shared" si="1986"/>
        <v/>
      </c>
      <c r="EX129" s="30" t="str">
        <f t="shared" si="1987"/>
        <v/>
      </c>
      <c r="EY129" s="30" t="str">
        <f t="shared" si="1988"/>
        <v/>
      </c>
      <c r="EZ129" s="30" t="str">
        <f t="shared" si="1989"/>
        <v/>
      </c>
      <c r="FA129" s="30" t="str">
        <f t="shared" si="1990"/>
        <v/>
      </c>
      <c r="FB129" s="30" t="str">
        <f t="shared" si="1991"/>
        <v/>
      </c>
      <c r="FC129" s="30" t="str">
        <f t="shared" si="1992"/>
        <v/>
      </c>
      <c r="FD129" s="30" t="str">
        <f t="shared" si="1993"/>
        <v/>
      </c>
      <c r="FE129" s="30" t="str">
        <f t="shared" si="1994"/>
        <v/>
      </c>
      <c r="FF129" s="30" t="str">
        <f t="shared" si="1995"/>
        <v/>
      </c>
      <c r="FG129" s="30" t="str">
        <f t="shared" si="1996"/>
        <v/>
      </c>
      <c r="FH129" s="30" t="str">
        <f t="shared" si="1997"/>
        <v/>
      </c>
      <c r="FI129" s="30" t="str">
        <f t="shared" si="1998"/>
        <v/>
      </c>
      <c r="FJ129" s="30" t="str">
        <f t="shared" si="1999"/>
        <v/>
      </c>
      <c r="FK129" s="30" t="str">
        <f t="shared" si="2000"/>
        <v/>
      </c>
      <c r="FL129" s="30" t="str">
        <f t="shared" si="2001"/>
        <v/>
      </c>
      <c r="FM129" s="30" t="str">
        <f t="shared" si="2002"/>
        <v/>
      </c>
      <c r="FN129" s="30" t="str">
        <f t="shared" si="2003"/>
        <v/>
      </c>
      <c r="FO129" s="30" t="str">
        <f t="shared" si="2004"/>
        <v/>
      </c>
      <c r="FP129" s="30" t="str">
        <f t="shared" si="2005"/>
        <v/>
      </c>
      <c r="FQ129" s="30" t="str">
        <f t="shared" si="2006"/>
        <v/>
      </c>
      <c r="FR129" s="30" t="str">
        <f t="shared" si="2007"/>
        <v/>
      </c>
      <c r="FS129" s="30" t="str">
        <f t="shared" si="2008"/>
        <v/>
      </c>
    </row>
    <row r="130" spans="1:175" ht="16.5">
      <c r="A130" s="87"/>
      <c r="B130" s="66"/>
      <c r="C130" s="87"/>
      <c r="T130" s="106"/>
      <c r="U130" s="32"/>
      <c r="CN130" s="7" t="str">
        <f t="shared" si="1933"/>
        <v>InitUnitState('',,,,,,,,,,)</v>
      </c>
      <c r="CO130" s="7" t="str">
        <f t="shared" si="1934"/>
        <v>InitUnitNormal('',,,,,,,,,,)</v>
      </c>
      <c r="CP130" s="7" t="str">
        <f t="shared" si="1935"/>
        <v>InitUnitMagic('',,,,,,,,,,)</v>
      </c>
      <c r="CQ130" s="7" t="str">
        <f t="shared" si="1936"/>
        <v>InitUnitAdd('',,,,,,,,,,)</v>
      </c>
      <c r="CR130" s="7" t="str">
        <f t="shared" si="1937"/>
        <v>InitEquipData('',,"",,,,,'','','','','','',"")</v>
      </c>
      <c r="CU130" s="45" t="str">
        <f t="shared" si="1938"/>
        <v>|n</v>
      </c>
      <c r="CW130" s="24"/>
      <c r="CX130" s="24"/>
      <c r="CY130" s="24"/>
      <c r="CZ130" s="24"/>
      <c r="DA130" s="24"/>
      <c r="DB130" s="30" t="str">
        <f t="shared" si="1939"/>
        <v/>
      </c>
      <c r="DC130" s="30" t="str">
        <f t="shared" si="1940"/>
        <v/>
      </c>
      <c r="DD130" s="30" t="str">
        <f t="shared" si="1941"/>
        <v/>
      </c>
      <c r="DE130" s="30" t="str">
        <f t="shared" si="1942"/>
        <v/>
      </c>
      <c r="DF130" s="30" t="str">
        <f t="shared" si="1943"/>
        <v/>
      </c>
      <c r="DG130" s="30" t="str">
        <f t="shared" si="1944"/>
        <v/>
      </c>
      <c r="DH130" s="30" t="str">
        <f t="shared" si="1945"/>
        <v/>
      </c>
      <c r="DI130" s="30" t="str">
        <f t="shared" si="1946"/>
        <v/>
      </c>
      <c r="DJ130" s="30" t="str">
        <f t="shared" si="1947"/>
        <v/>
      </c>
      <c r="DK130" s="30" t="str">
        <f t="shared" si="1948"/>
        <v/>
      </c>
      <c r="DL130" s="30" t="str">
        <f t="shared" si="1949"/>
        <v/>
      </c>
      <c r="DM130" s="30" t="str">
        <f t="shared" si="1950"/>
        <v/>
      </c>
      <c r="DN130" s="30" t="str">
        <f t="shared" si="1951"/>
        <v/>
      </c>
      <c r="DO130" s="30" t="str">
        <f t="shared" si="1952"/>
        <v/>
      </c>
      <c r="DP130" s="30" t="str">
        <f t="shared" si="1953"/>
        <v/>
      </c>
      <c r="DQ130" s="30" t="str">
        <f t="shared" si="1954"/>
        <v/>
      </c>
      <c r="DR130" s="30" t="str">
        <f t="shared" si="1955"/>
        <v/>
      </c>
      <c r="DS130" s="30" t="str">
        <f t="shared" si="1956"/>
        <v/>
      </c>
      <c r="DT130" s="30" t="str">
        <f t="shared" si="1957"/>
        <v/>
      </c>
      <c r="DU130" s="30" t="str">
        <f t="shared" si="1958"/>
        <v/>
      </c>
      <c r="DV130" s="30" t="str">
        <f t="shared" si="1959"/>
        <v/>
      </c>
      <c r="DW130" s="30" t="str">
        <f t="shared" si="1960"/>
        <v/>
      </c>
      <c r="DX130" s="30" t="str">
        <f t="shared" si="1961"/>
        <v/>
      </c>
      <c r="DY130" s="30" t="str">
        <f t="shared" si="1962"/>
        <v/>
      </c>
      <c r="DZ130" s="30" t="str">
        <f t="shared" si="1963"/>
        <v/>
      </c>
      <c r="EA130" s="30" t="str">
        <f t="shared" si="1964"/>
        <v/>
      </c>
      <c r="EB130" s="30" t="str">
        <f t="shared" si="1965"/>
        <v/>
      </c>
      <c r="EC130" s="30" t="str">
        <f t="shared" si="1966"/>
        <v/>
      </c>
      <c r="ED130" s="30" t="str">
        <f t="shared" si="1967"/>
        <v/>
      </c>
      <c r="EE130" s="30" t="str">
        <f t="shared" si="1968"/>
        <v/>
      </c>
      <c r="EF130" s="30" t="str">
        <f t="shared" si="1969"/>
        <v/>
      </c>
      <c r="EG130" s="30" t="str">
        <f t="shared" si="1970"/>
        <v/>
      </c>
      <c r="EH130" s="30" t="str">
        <f t="shared" si="1971"/>
        <v/>
      </c>
      <c r="EI130" s="30" t="str">
        <f t="shared" si="1972"/>
        <v/>
      </c>
      <c r="EJ130" s="30" t="str">
        <f t="shared" si="1973"/>
        <v/>
      </c>
      <c r="EK130" s="30" t="str">
        <f t="shared" si="1974"/>
        <v/>
      </c>
      <c r="EL130" s="30" t="str">
        <f t="shared" si="1975"/>
        <v/>
      </c>
      <c r="EM130" s="30" t="str">
        <f t="shared" si="1976"/>
        <v/>
      </c>
      <c r="EN130" s="30" t="str">
        <f t="shared" si="1977"/>
        <v/>
      </c>
      <c r="EO130" s="30" t="str">
        <f t="shared" si="1978"/>
        <v/>
      </c>
      <c r="EP130" s="30" t="str">
        <f t="shared" si="1979"/>
        <v/>
      </c>
      <c r="EQ130" s="30" t="str">
        <f t="shared" si="1980"/>
        <v/>
      </c>
      <c r="ER130" s="30" t="str">
        <f t="shared" si="1981"/>
        <v/>
      </c>
      <c r="ES130" s="30" t="str">
        <f t="shared" si="1982"/>
        <v/>
      </c>
      <c r="ET130" s="30" t="str">
        <f t="shared" si="1983"/>
        <v/>
      </c>
      <c r="EU130" s="30" t="str">
        <f t="shared" si="1984"/>
        <v/>
      </c>
      <c r="EV130" s="30" t="str">
        <f t="shared" si="1985"/>
        <v/>
      </c>
      <c r="EW130" s="30" t="str">
        <f t="shared" si="1986"/>
        <v/>
      </c>
      <c r="EX130" s="30" t="str">
        <f t="shared" si="1987"/>
        <v/>
      </c>
      <c r="EY130" s="30" t="str">
        <f t="shared" si="1988"/>
        <v/>
      </c>
      <c r="EZ130" s="30" t="str">
        <f t="shared" si="1989"/>
        <v/>
      </c>
      <c r="FA130" s="30" t="str">
        <f t="shared" si="1990"/>
        <v/>
      </c>
      <c r="FB130" s="30" t="str">
        <f t="shared" si="1991"/>
        <v/>
      </c>
      <c r="FC130" s="30" t="str">
        <f t="shared" si="1992"/>
        <v/>
      </c>
      <c r="FD130" s="30" t="str">
        <f t="shared" si="1993"/>
        <v/>
      </c>
      <c r="FE130" s="30" t="str">
        <f t="shared" si="1994"/>
        <v/>
      </c>
      <c r="FF130" s="30" t="str">
        <f t="shared" si="1995"/>
        <v/>
      </c>
      <c r="FG130" s="30" t="str">
        <f t="shared" si="1996"/>
        <v/>
      </c>
      <c r="FH130" s="30" t="str">
        <f t="shared" si="1997"/>
        <v/>
      </c>
      <c r="FI130" s="30" t="str">
        <f t="shared" si="1998"/>
        <v/>
      </c>
      <c r="FJ130" s="30" t="str">
        <f t="shared" si="1999"/>
        <v/>
      </c>
      <c r="FK130" s="30" t="str">
        <f t="shared" si="2000"/>
        <v/>
      </c>
      <c r="FL130" s="30" t="str">
        <f t="shared" si="2001"/>
        <v/>
      </c>
      <c r="FM130" s="30" t="str">
        <f t="shared" si="2002"/>
        <v/>
      </c>
      <c r="FN130" s="30" t="str">
        <f t="shared" si="2003"/>
        <v/>
      </c>
      <c r="FO130" s="30" t="str">
        <f t="shared" si="2004"/>
        <v/>
      </c>
      <c r="FP130" s="30" t="str">
        <f t="shared" si="2005"/>
        <v/>
      </c>
      <c r="FQ130" s="30" t="str">
        <f t="shared" si="2006"/>
        <v/>
      </c>
      <c r="FR130" s="30" t="str">
        <f t="shared" si="2007"/>
        <v/>
      </c>
      <c r="FS130" s="30" t="str">
        <f t="shared" si="2008"/>
        <v/>
      </c>
    </row>
    <row r="131" spans="1:175" ht="16.5">
      <c r="A131" s="87"/>
      <c r="B131" s="66"/>
      <c r="C131" s="87"/>
      <c r="T131" s="106"/>
      <c r="U131" s="32"/>
      <c r="CN131" s="7" t="str">
        <f t="shared" si="1933"/>
        <v>InitUnitState('',,,,,,,,,,)</v>
      </c>
      <c r="CO131" s="7" t="str">
        <f t="shared" si="1934"/>
        <v>InitUnitNormal('',,,,,,,,,,)</v>
      </c>
      <c r="CP131" s="7" t="str">
        <f t="shared" si="1935"/>
        <v>InitUnitMagic('',,,,,,,,,,)</v>
      </c>
      <c r="CQ131" s="7" t="str">
        <f t="shared" si="1936"/>
        <v>InitUnitAdd('',,,,,,,,,,)</v>
      </c>
      <c r="CR131" s="7" t="str">
        <f t="shared" si="1937"/>
        <v>InitEquipData('',,"",,,,,'','','','','','',"")</v>
      </c>
      <c r="CU131" s="45" t="str">
        <f t="shared" si="1938"/>
        <v>|n</v>
      </c>
      <c r="CW131" s="24"/>
      <c r="CX131" s="24"/>
      <c r="CY131" s="24"/>
      <c r="CZ131" s="24"/>
      <c r="DA131" s="24"/>
      <c r="DB131" s="30" t="str">
        <f t="shared" si="1939"/>
        <v/>
      </c>
      <c r="DC131" s="30" t="str">
        <f t="shared" si="1940"/>
        <v/>
      </c>
      <c r="DD131" s="30" t="str">
        <f t="shared" si="1941"/>
        <v/>
      </c>
      <c r="DE131" s="30" t="str">
        <f t="shared" si="1942"/>
        <v/>
      </c>
      <c r="DF131" s="30" t="str">
        <f t="shared" si="1943"/>
        <v/>
      </c>
      <c r="DG131" s="30" t="str">
        <f t="shared" si="1944"/>
        <v/>
      </c>
      <c r="DH131" s="30" t="str">
        <f t="shared" si="1945"/>
        <v/>
      </c>
      <c r="DI131" s="30" t="str">
        <f t="shared" si="1946"/>
        <v/>
      </c>
      <c r="DJ131" s="30" t="str">
        <f t="shared" si="1947"/>
        <v/>
      </c>
      <c r="DK131" s="30" t="str">
        <f t="shared" si="1948"/>
        <v/>
      </c>
      <c r="DL131" s="30" t="str">
        <f t="shared" si="1949"/>
        <v/>
      </c>
      <c r="DM131" s="30" t="str">
        <f t="shared" si="1950"/>
        <v/>
      </c>
      <c r="DN131" s="30" t="str">
        <f t="shared" si="1951"/>
        <v/>
      </c>
      <c r="DO131" s="30" t="str">
        <f t="shared" si="1952"/>
        <v/>
      </c>
      <c r="DP131" s="30" t="str">
        <f t="shared" si="1953"/>
        <v/>
      </c>
      <c r="DQ131" s="30" t="str">
        <f t="shared" si="1954"/>
        <v/>
      </c>
      <c r="DR131" s="30" t="str">
        <f t="shared" si="1955"/>
        <v/>
      </c>
      <c r="DS131" s="30" t="str">
        <f t="shared" si="1956"/>
        <v/>
      </c>
      <c r="DT131" s="30" t="str">
        <f t="shared" si="1957"/>
        <v/>
      </c>
      <c r="DU131" s="30" t="str">
        <f t="shared" si="1958"/>
        <v/>
      </c>
      <c r="DV131" s="30" t="str">
        <f t="shared" si="1959"/>
        <v/>
      </c>
      <c r="DW131" s="30" t="str">
        <f t="shared" si="1960"/>
        <v/>
      </c>
      <c r="DX131" s="30" t="str">
        <f t="shared" si="1961"/>
        <v/>
      </c>
      <c r="DY131" s="30" t="str">
        <f t="shared" si="1962"/>
        <v/>
      </c>
      <c r="DZ131" s="30" t="str">
        <f t="shared" si="1963"/>
        <v/>
      </c>
      <c r="EA131" s="30" t="str">
        <f t="shared" si="1964"/>
        <v/>
      </c>
      <c r="EB131" s="30" t="str">
        <f t="shared" si="1965"/>
        <v/>
      </c>
      <c r="EC131" s="30" t="str">
        <f t="shared" si="1966"/>
        <v/>
      </c>
      <c r="ED131" s="30" t="str">
        <f t="shared" si="1967"/>
        <v/>
      </c>
      <c r="EE131" s="30" t="str">
        <f t="shared" si="1968"/>
        <v/>
      </c>
      <c r="EF131" s="30" t="str">
        <f t="shared" si="1969"/>
        <v/>
      </c>
      <c r="EG131" s="30" t="str">
        <f t="shared" si="1970"/>
        <v/>
      </c>
      <c r="EH131" s="30" t="str">
        <f t="shared" si="1971"/>
        <v/>
      </c>
      <c r="EI131" s="30" t="str">
        <f t="shared" si="1972"/>
        <v/>
      </c>
      <c r="EJ131" s="30" t="str">
        <f t="shared" si="1973"/>
        <v/>
      </c>
      <c r="EK131" s="30" t="str">
        <f t="shared" si="1974"/>
        <v/>
      </c>
      <c r="EL131" s="30" t="str">
        <f t="shared" si="1975"/>
        <v/>
      </c>
      <c r="EM131" s="30" t="str">
        <f t="shared" si="1976"/>
        <v/>
      </c>
      <c r="EN131" s="30" t="str">
        <f t="shared" si="1977"/>
        <v/>
      </c>
      <c r="EO131" s="30" t="str">
        <f t="shared" si="1978"/>
        <v/>
      </c>
      <c r="EP131" s="30" t="str">
        <f t="shared" si="1979"/>
        <v/>
      </c>
      <c r="EQ131" s="30" t="str">
        <f t="shared" si="1980"/>
        <v/>
      </c>
      <c r="ER131" s="30" t="str">
        <f t="shared" si="1981"/>
        <v/>
      </c>
      <c r="ES131" s="30" t="str">
        <f t="shared" si="1982"/>
        <v/>
      </c>
      <c r="ET131" s="30" t="str">
        <f t="shared" si="1983"/>
        <v/>
      </c>
      <c r="EU131" s="30" t="str">
        <f t="shared" si="1984"/>
        <v/>
      </c>
      <c r="EV131" s="30" t="str">
        <f t="shared" si="1985"/>
        <v/>
      </c>
      <c r="EW131" s="30" t="str">
        <f t="shared" si="1986"/>
        <v/>
      </c>
      <c r="EX131" s="30" t="str">
        <f t="shared" si="1987"/>
        <v/>
      </c>
      <c r="EY131" s="30" t="str">
        <f t="shared" si="1988"/>
        <v/>
      </c>
      <c r="EZ131" s="30" t="str">
        <f t="shared" si="1989"/>
        <v/>
      </c>
      <c r="FA131" s="30" t="str">
        <f t="shared" si="1990"/>
        <v/>
      </c>
      <c r="FB131" s="30" t="str">
        <f t="shared" si="1991"/>
        <v/>
      </c>
      <c r="FC131" s="30" t="str">
        <f t="shared" si="1992"/>
        <v/>
      </c>
      <c r="FD131" s="30" t="str">
        <f t="shared" si="1993"/>
        <v/>
      </c>
      <c r="FE131" s="30" t="str">
        <f t="shared" si="1994"/>
        <v/>
      </c>
      <c r="FF131" s="30" t="str">
        <f t="shared" si="1995"/>
        <v/>
      </c>
      <c r="FG131" s="30" t="str">
        <f t="shared" si="1996"/>
        <v/>
      </c>
      <c r="FH131" s="30" t="str">
        <f t="shared" si="1997"/>
        <v/>
      </c>
      <c r="FI131" s="30" t="str">
        <f t="shared" si="1998"/>
        <v/>
      </c>
      <c r="FJ131" s="30" t="str">
        <f t="shared" si="1999"/>
        <v/>
      </c>
      <c r="FK131" s="30" t="str">
        <f t="shared" si="2000"/>
        <v/>
      </c>
      <c r="FL131" s="30" t="str">
        <f t="shared" si="2001"/>
        <v/>
      </c>
      <c r="FM131" s="30" t="str">
        <f t="shared" si="2002"/>
        <v/>
      </c>
      <c r="FN131" s="30" t="str">
        <f t="shared" si="2003"/>
        <v/>
      </c>
      <c r="FO131" s="30" t="str">
        <f t="shared" si="2004"/>
        <v/>
      </c>
      <c r="FP131" s="30" t="str">
        <f t="shared" si="2005"/>
        <v/>
      </c>
      <c r="FQ131" s="30" t="str">
        <f t="shared" si="2006"/>
        <v/>
      </c>
      <c r="FR131" s="30" t="str">
        <f t="shared" si="2007"/>
        <v/>
      </c>
      <c r="FS131" s="30" t="str">
        <f t="shared" si="2008"/>
        <v/>
      </c>
    </row>
    <row r="132" spans="1:175" ht="16.5">
      <c r="A132" s="87"/>
      <c r="B132" s="66"/>
      <c r="C132" s="87"/>
      <c r="T132" s="106"/>
      <c r="U132" s="32"/>
      <c r="CN132" s="7" t="str">
        <f t="shared" si="1933"/>
        <v>InitUnitState('',,,,,,,,,,)</v>
      </c>
      <c r="CO132" s="7" t="str">
        <f t="shared" si="1934"/>
        <v>InitUnitNormal('',,,,,,,,,,)</v>
      </c>
      <c r="CP132" s="7" t="str">
        <f t="shared" si="1935"/>
        <v>InitUnitMagic('',,,,,,,,,,)</v>
      </c>
      <c r="CQ132" s="7" t="str">
        <f t="shared" si="1936"/>
        <v>InitUnitAdd('',,,,,,,,,,)</v>
      </c>
      <c r="CR132" s="7" t="str">
        <f t="shared" si="1937"/>
        <v>InitEquipData('',,"",,,,,'','','','','','',"")</v>
      </c>
      <c r="CU132" s="45" t="str">
        <f t="shared" si="1938"/>
        <v>|n</v>
      </c>
      <c r="CW132" s="24"/>
      <c r="CX132" s="24"/>
      <c r="CY132" s="24"/>
      <c r="CZ132" s="24"/>
      <c r="DA132" s="24"/>
      <c r="DB132" s="30" t="str">
        <f t="shared" si="1939"/>
        <v/>
      </c>
      <c r="DC132" s="30" t="str">
        <f t="shared" si="1940"/>
        <v/>
      </c>
      <c r="DD132" s="30" t="str">
        <f t="shared" si="1941"/>
        <v/>
      </c>
      <c r="DE132" s="30" t="str">
        <f t="shared" si="1942"/>
        <v/>
      </c>
      <c r="DF132" s="30" t="str">
        <f t="shared" si="1943"/>
        <v/>
      </c>
      <c r="DG132" s="30" t="str">
        <f t="shared" si="1944"/>
        <v/>
      </c>
      <c r="DH132" s="30" t="str">
        <f t="shared" si="1945"/>
        <v/>
      </c>
      <c r="DI132" s="30" t="str">
        <f t="shared" si="1946"/>
        <v/>
      </c>
      <c r="DJ132" s="30" t="str">
        <f t="shared" si="1947"/>
        <v/>
      </c>
      <c r="DK132" s="30" t="str">
        <f t="shared" si="1948"/>
        <v/>
      </c>
      <c r="DL132" s="30" t="str">
        <f t="shared" si="1949"/>
        <v/>
      </c>
      <c r="DM132" s="30" t="str">
        <f t="shared" si="1950"/>
        <v/>
      </c>
      <c r="DN132" s="30" t="str">
        <f t="shared" si="1951"/>
        <v/>
      </c>
      <c r="DO132" s="30" t="str">
        <f t="shared" si="1952"/>
        <v/>
      </c>
      <c r="DP132" s="30" t="str">
        <f t="shared" si="1953"/>
        <v/>
      </c>
      <c r="DQ132" s="30" t="str">
        <f t="shared" si="1954"/>
        <v/>
      </c>
      <c r="DR132" s="30" t="str">
        <f t="shared" si="1955"/>
        <v/>
      </c>
      <c r="DS132" s="30" t="str">
        <f t="shared" si="1956"/>
        <v/>
      </c>
      <c r="DT132" s="30" t="str">
        <f t="shared" si="1957"/>
        <v/>
      </c>
      <c r="DU132" s="30" t="str">
        <f t="shared" si="1958"/>
        <v/>
      </c>
      <c r="DV132" s="30" t="str">
        <f t="shared" si="1959"/>
        <v/>
      </c>
      <c r="DW132" s="30" t="str">
        <f t="shared" si="1960"/>
        <v/>
      </c>
      <c r="DX132" s="30" t="str">
        <f t="shared" si="1961"/>
        <v/>
      </c>
      <c r="DY132" s="30" t="str">
        <f t="shared" si="1962"/>
        <v/>
      </c>
      <c r="DZ132" s="30" t="str">
        <f t="shared" si="1963"/>
        <v/>
      </c>
      <c r="EA132" s="30" t="str">
        <f t="shared" si="1964"/>
        <v/>
      </c>
      <c r="EB132" s="30" t="str">
        <f t="shared" si="1965"/>
        <v/>
      </c>
      <c r="EC132" s="30" t="str">
        <f t="shared" si="1966"/>
        <v/>
      </c>
      <c r="ED132" s="30" t="str">
        <f t="shared" si="1967"/>
        <v/>
      </c>
      <c r="EE132" s="30" t="str">
        <f t="shared" si="1968"/>
        <v/>
      </c>
      <c r="EF132" s="30" t="str">
        <f t="shared" si="1969"/>
        <v/>
      </c>
      <c r="EG132" s="30" t="str">
        <f t="shared" si="1970"/>
        <v/>
      </c>
      <c r="EH132" s="30" t="str">
        <f t="shared" si="1971"/>
        <v/>
      </c>
      <c r="EI132" s="30" t="str">
        <f t="shared" si="1972"/>
        <v/>
      </c>
      <c r="EJ132" s="30" t="str">
        <f t="shared" si="1973"/>
        <v/>
      </c>
      <c r="EK132" s="30" t="str">
        <f t="shared" si="1974"/>
        <v/>
      </c>
      <c r="EL132" s="30" t="str">
        <f t="shared" si="1975"/>
        <v/>
      </c>
      <c r="EM132" s="30" t="str">
        <f t="shared" si="1976"/>
        <v/>
      </c>
      <c r="EN132" s="30" t="str">
        <f t="shared" si="1977"/>
        <v/>
      </c>
      <c r="EO132" s="30" t="str">
        <f t="shared" si="1978"/>
        <v/>
      </c>
      <c r="EP132" s="30" t="str">
        <f t="shared" si="1979"/>
        <v/>
      </c>
      <c r="EQ132" s="30" t="str">
        <f t="shared" si="1980"/>
        <v/>
      </c>
      <c r="ER132" s="30" t="str">
        <f t="shared" si="1981"/>
        <v/>
      </c>
      <c r="ES132" s="30" t="str">
        <f t="shared" si="1982"/>
        <v/>
      </c>
      <c r="ET132" s="30" t="str">
        <f t="shared" si="1983"/>
        <v/>
      </c>
      <c r="EU132" s="30" t="str">
        <f t="shared" si="1984"/>
        <v/>
      </c>
      <c r="EV132" s="30" t="str">
        <f t="shared" si="1985"/>
        <v/>
      </c>
      <c r="EW132" s="30" t="str">
        <f t="shared" si="1986"/>
        <v/>
      </c>
      <c r="EX132" s="30" t="str">
        <f t="shared" si="1987"/>
        <v/>
      </c>
      <c r="EY132" s="30" t="str">
        <f t="shared" si="1988"/>
        <v/>
      </c>
      <c r="EZ132" s="30" t="str">
        <f t="shared" si="1989"/>
        <v/>
      </c>
      <c r="FA132" s="30" t="str">
        <f t="shared" si="1990"/>
        <v/>
      </c>
      <c r="FB132" s="30" t="str">
        <f t="shared" si="1991"/>
        <v/>
      </c>
      <c r="FC132" s="30" t="str">
        <f t="shared" si="1992"/>
        <v/>
      </c>
      <c r="FD132" s="30" t="str">
        <f t="shared" si="1993"/>
        <v/>
      </c>
      <c r="FE132" s="30" t="str">
        <f t="shared" si="1994"/>
        <v/>
      </c>
      <c r="FF132" s="30" t="str">
        <f t="shared" si="1995"/>
        <v/>
      </c>
      <c r="FG132" s="30" t="str">
        <f t="shared" si="1996"/>
        <v/>
      </c>
      <c r="FH132" s="30" t="str">
        <f t="shared" si="1997"/>
        <v/>
      </c>
      <c r="FI132" s="30" t="str">
        <f t="shared" si="1998"/>
        <v/>
      </c>
      <c r="FJ132" s="30" t="str">
        <f t="shared" si="1999"/>
        <v/>
      </c>
      <c r="FK132" s="30" t="str">
        <f t="shared" si="2000"/>
        <v/>
      </c>
      <c r="FL132" s="30" t="str">
        <f t="shared" si="2001"/>
        <v/>
      </c>
      <c r="FM132" s="30" t="str">
        <f t="shared" si="2002"/>
        <v/>
      </c>
      <c r="FN132" s="30" t="str">
        <f t="shared" si="2003"/>
        <v/>
      </c>
      <c r="FO132" s="30" t="str">
        <f t="shared" si="2004"/>
        <v/>
      </c>
      <c r="FP132" s="30" t="str">
        <f t="shared" si="2005"/>
        <v/>
      </c>
      <c r="FQ132" s="30" t="str">
        <f t="shared" si="2006"/>
        <v/>
      </c>
      <c r="FR132" s="30" t="str">
        <f t="shared" si="2007"/>
        <v/>
      </c>
      <c r="FS132" s="30" t="str">
        <f t="shared" si="2008"/>
        <v/>
      </c>
    </row>
    <row r="133" spans="1:175" ht="16.5">
      <c r="A133" s="87"/>
      <c r="B133" s="66"/>
      <c r="C133" s="87"/>
      <c r="T133" s="106"/>
      <c r="U133" s="32"/>
      <c r="CN133" s="7" t="str">
        <f t="shared" si="1933"/>
        <v>InitUnitState('',,,,,,,,,,)</v>
      </c>
      <c r="CO133" s="7" t="str">
        <f t="shared" si="1934"/>
        <v>InitUnitNormal('',,,,,,,,,,)</v>
      </c>
      <c r="CP133" s="7" t="str">
        <f t="shared" si="1935"/>
        <v>InitUnitMagic('',,,,,,,,,,)</v>
      </c>
      <c r="CQ133" s="7" t="str">
        <f t="shared" si="1936"/>
        <v>InitUnitAdd('',,,,,,,,,,)</v>
      </c>
      <c r="CR133" s="7" t="str">
        <f t="shared" si="1937"/>
        <v>InitEquipData('',,"",,,,,'','','','','','',"")</v>
      </c>
      <c r="CU133" s="45" t="str">
        <f t="shared" si="1938"/>
        <v>|n</v>
      </c>
      <c r="CW133" s="24"/>
      <c r="CX133" s="24"/>
      <c r="CY133" s="24"/>
      <c r="CZ133" s="24"/>
      <c r="DA133" s="24"/>
      <c r="DB133" s="30" t="str">
        <f t="shared" si="1939"/>
        <v/>
      </c>
      <c r="DC133" s="30" t="str">
        <f t="shared" si="1940"/>
        <v/>
      </c>
      <c r="DD133" s="30" t="str">
        <f t="shared" si="1941"/>
        <v/>
      </c>
      <c r="DE133" s="30" t="str">
        <f t="shared" si="1942"/>
        <v/>
      </c>
      <c r="DF133" s="30" t="str">
        <f t="shared" si="1943"/>
        <v/>
      </c>
      <c r="DG133" s="30" t="str">
        <f t="shared" si="1944"/>
        <v/>
      </c>
      <c r="DH133" s="30" t="str">
        <f t="shared" si="1945"/>
        <v/>
      </c>
      <c r="DI133" s="30" t="str">
        <f t="shared" si="1946"/>
        <v/>
      </c>
      <c r="DJ133" s="30" t="str">
        <f t="shared" si="1947"/>
        <v/>
      </c>
      <c r="DK133" s="30" t="str">
        <f t="shared" si="1948"/>
        <v/>
      </c>
      <c r="DL133" s="30" t="str">
        <f t="shared" si="1949"/>
        <v/>
      </c>
      <c r="DM133" s="30" t="str">
        <f t="shared" si="1950"/>
        <v/>
      </c>
      <c r="DN133" s="30" t="str">
        <f t="shared" si="1951"/>
        <v/>
      </c>
      <c r="DO133" s="30" t="str">
        <f t="shared" si="1952"/>
        <v/>
      </c>
      <c r="DP133" s="30" t="str">
        <f t="shared" si="1953"/>
        <v/>
      </c>
      <c r="DQ133" s="30" t="str">
        <f t="shared" si="1954"/>
        <v/>
      </c>
      <c r="DR133" s="30" t="str">
        <f t="shared" si="1955"/>
        <v/>
      </c>
      <c r="DS133" s="30" t="str">
        <f t="shared" si="1956"/>
        <v/>
      </c>
      <c r="DT133" s="30" t="str">
        <f t="shared" si="1957"/>
        <v/>
      </c>
      <c r="DU133" s="30" t="str">
        <f t="shared" si="1958"/>
        <v/>
      </c>
      <c r="DV133" s="30" t="str">
        <f t="shared" si="1959"/>
        <v/>
      </c>
      <c r="DW133" s="30" t="str">
        <f t="shared" si="1960"/>
        <v/>
      </c>
      <c r="DX133" s="30" t="str">
        <f t="shared" si="1961"/>
        <v/>
      </c>
      <c r="DY133" s="30" t="str">
        <f t="shared" si="1962"/>
        <v/>
      </c>
      <c r="DZ133" s="30" t="str">
        <f t="shared" si="1963"/>
        <v/>
      </c>
      <c r="EA133" s="30" t="str">
        <f t="shared" si="1964"/>
        <v/>
      </c>
      <c r="EB133" s="30" t="str">
        <f t="shared" si="1965"/>
        <v/>
      </c>
      <c r="EC133" s="30" t="str">
        <f t="shared" si="1966"/>
        <v/>
      </c>
      <c r="ED133" s="30" t="str">
        <f t="shared" si="1967"/>
        <v/>
      </c>
      <c r="EE133" s="30" t="str">
        <f t="shared" si="1968"/>
        <v/>
      </c>
      <c r="EF133" s="30" t="str">
        <f t="shared" si="1969"/>
        <v/>
      </c>
      <c r="EG133" s="30" t="str">
        <f t="shared" si="1970"/>
        <v/>
      </c>
      <c r="EH133" s="30" t="str">
        <f t="shared" si="1971"/>
        <v/>
      </c>
      <c r="EI133" s="30" t="str">
        <f t="shared" si="1972"/>
        <v/>
      </c>
      <c r="EJ133" s="30" t="str">
        <f t="shared" si="1973"/>
        <v/>
      </c>
      <c r="EK133" s="30" t="str">
        <f t="shared" si="1974"/>
        <v/>
      </c>
      <c r="EL133" s="30" t="str">
        <f t="shared" si="1975"/>
        <v/>
      </c>
      <c r="EM133" s="30" t="str">
        <f t="shared" si="1976"/>
        <v/>
      </c>
      <c r="EN133" s="30" t="str">
        <f t="shared" si="1977"/>
        <v/>
      </c>
      <c r="EO133" s="30" t="str">
        <f t="shared" si="1978"/>
        <v/>
      </c>
      <c r="EP133" s="30" t="str">
        <f t="shared" si="1979"/>
        <v/>
      </c>
      <c r="EQ133" s="30" t="str">
        <f t="shared" si="1980"/>
        <v/>
      </c>
      <c r="ER133" s="30" t="str">
        <f t="shared" si="1981"/>
        <v/>
      </c>
      <c r="ES133" s="30" t="str">
        <f t="shared" si="1982"/>
        <v/>
      </c>
      <c r="ET133" s="30" t="str">
        <f t="shared" si="1983"/>
        <v/>
      </c>
      <c r="EU133" s="30" t="str">
        <f t="shared" si="1984"/>
        <v/>
      </c>
      <c r="EV133" s="30" t="str">
        <f t="shared" si="1985"/>
        <v/>
      </c>
      <c r="EW133" s="30" t="str">
        <f t="shared" si="1986"/>
        <v/>
      </c>
      <c r="EX133" s="30" t="str">
        <f t="shared" si="1987"/>
        <v/>
      </c>
      <c r="EY133" s="30" t="str">
        <f t="shared" si="1988"/>
        <v/>
      </c>
      <c r="EZ133" s="30" t="str">
        <f t="shared" si="1989"/>
        <v/>
      </c>
      <c r="FA133" s="30" t="str">
        <f t="shared" si="1990"/>
        <v/>
      </c>
      <c r="FB133" s="30" t="str">
        <f t="shared" si="1991"/>
        <v/>
      </c>
      <c r="FC133" s="30" t="str">
        <f t="shared" si="1992"/>
        <v/>
      </c>
      <c r="FD133" s="30" t="str">
        <f t="shared" si="1993"/>
        <v/>
      </c>
      <c r="FE133" s="30" t="str">
        <f t="shared" si="1994"/>
        <v/>
      </c>
      <c r="FF133" s="30" t="str">
        <f t="shared" si="1995"/>
        <v/>
      </c>
      <c r="FG133" s="30" t="str">
        <f t="shared" si="1996"/>
        <v/>
      </c>
      <c r="FH133" s="30" t="str">
        <f t="shared" si="1997"/>
        <v/>
      </c>
      <c r="FI133" s="30" t="str">
        <f t="shared" si="1998"/>
        <v/>
      </c>
      <c r="FJ133" s="30" t="str">
        <f t="shared" si="1999"/>
        <v/>
      </c>
      <c r="FK133" s="30" t="str">
        <f t="shared" si="2000"/>
        <v/>
      </c>
      <c r="FL133" s="30" t="str">
        <f t="shared" si="2001"/>
        <v/>
      </c>
      <c r="FM133" s="30" t="str">
        <f t="shared" si="2002"/>
        <v/>
      </c>
      <c r="FN133" s="30" t="str">
        <f t="shared" si="2003"/>
        <v/>
      </c>
      <c r="FO133" s="30" t="str">
        <f t="shared" si="2004"/>
        <v/>
      </c>
      <c r="FP133" s="30" t="str">
        <f t="shared" si="2005"/>
        <v/>
      </c>
      <c r="FQ133" s="30" t="str">
        <f t="shared" si="2006"/>
        <v/>
      </c>
      <c r="FR133" s="30" t="str">
        <f t="shared" si="2007"/>
        <v/>
      </c>
      <c r="FS133" s="30" t="str">
        <f t="shared" si="2008"/>
        <v/>
      </c>
    </row>
    <row r="134" spans="1:175" ht="16.5">
      <c r="A134" s="87"/>
      <c r="B134" s="66"/>
      <c r="C134" s="87"/>
      <c r="T134" s="106"/>
      <c r="U134" s="32"/>
      <c r="CN134" s="7" t="str">
        <f t="shared" si="1933"/>
        <v>InitUnitState('',,,,,,,,,,)</v>
      </c>
      <c r="CO134" s="7" t="str">
        <f t="shared" si="1934"/>
        <v>InitUnitNormal('',,,,,,,,,,)</v>
      </c>
      <c r="CP134" s="7" t="str">
        <f t="shared" si="1935"/>
        <v>InitUnitMagic('',,,,,,,,,,)</v>
      </c>
      <c r="CQ134" s="7" t="str">
        <f t="shared" si="1936"/>
        <v>InitUnitAdd('',,,,,,,,,,)</v>
      </c>
      <c r="CR134" s="7" t="str">
        <f t="shared" si="1937"/>
        <v>InitEquipData('',,"",,,,,'','','','','','',"")</v>
      </c>
      <c r="CU134" s="45" t="str">
        <f t="shared" si="1938"/>
        <v>|n</v>
      </c>
      <c r="CW134" s="24"/>
      <c r="CX134" s="24"/>
      <c r="CY134" s="24"/>
      <c r="CZ134" s="24"/>
      <c r="DA134" s="24"/>
      <c r="DB134" s="30" t="str">
        <f t="shared" si="1939"/>
        <v/>
      </c>
      <c r="DC134" s="30" t="str">
        <f t="shared" si="1940"/>
        <v/>
      </c>
      <c r="DD134" s="30" t="str">
        <f t="shared" si="1941"/>
        <v/>
      </c>
      <c r="DE134" s="30" t="str">
        <f t="shared" si="1942"/>
        <v/>
      </c>
      <c r="DF134" s="30" t="str">
        <f t="shared" si="1943"/>
        <v/>
      </c>
      <c r="DG134" s="30" t="str">
        <f t="shared" si="1944"/>
        <v/>
      </c>
      <c r="DH134" s="30" t="str">
        <f t="shared" si="1945"/>
        <v/>
      </c>
      <c r="DI134" s="30" t="str">
        <f t="shared" si="1946"/>
        <v/>
      </c>
      <c r="DJ134" s="30" t="str">
        <f t="shared" si="1947"/>
        <v/>
      </c>
      <c r="DK134" s="30" t="str">
        <f t="shared" si="1948"/>
        <v/>
      </c>
      <c r="DL134" s="30" t="str">
        <f t="shared" si="1949"/>
        <v/>
      </c>
      <c r="DM134" s="30" t="str">
        <f t="shared" si="1950"/>
        <v/>
      </c>
      <c r="DN134" s="30" t="str">
        <f t="shared" si="1951"/>
        <v/>
      </c>
      <c r="DO134" s="30" t="str">
        <f t="shared" si="1952"/>
        <v/>
      </c>
      <c r="DP134" s="30" t="str">
        <f t="shared" si="1953"/>
        <v/>
      </c>
      <c r="DQ134" s="30" t="str">
        <f t="shared" si="1954"/>
        <v/>
      </c>
      <c r="DR134" s="30" t="str">
        <f t="shared" si="1955"/>
        <v/>
      </c>
      <c r="DS134" s="30" t="str">
        <f t="shared" si="1956"/>
        <v/>
      </c>
      <c r="DT134" s="30" t="str">
        <f t="shared" si="1957"/>
        <v/>
      </c>
      <c r="DU134" s="30" t="str">
        <f t="shared" si="1958"/>
        <v/>
      </c>
      <c r="DV134" s="30" t="str">
        <f t="shared" si="1959"/>
        <v/>
      </c>
      <c r="DW134" s="30" t="str">
        <f t="shared" si="1960"/>
        <v/>
      </c>
      <c r="DX134" s="30" t="str">
        <f t="shared" si="1961"/>
        <v/>
      </c>
      <c r="DY134" s="30" t="str">
        <f t="shared" si="1962"/>
        <v/>
      </c>
      <c r="DZ134" s="30" t="str">
        <f t="shared" si="1963"/>
        <v/>
      </c>
      <c r="EA134" s="30" t="str">
        <f t="shared" si="1964"/>
        <v/>
      </c>
      <c r="EB134" s="30" t="str">
        <f t="shared" si="1965"/>
        <v/>
      </c>
      <c r="EC134" s="30" t="str">
        <f t="shared" si="1966"/>
        <v/>
      </c>
      <c r="ED134" s="30" t="str">
        <f t="shared" si="1967"/>
        <v/>
      </c>
      <c r="EE134" s="30" t="str">
        <f t="shared" si="1968"/>
        <v/>
      </c>
      <c r="EF134" s="30" t="str">
        <f t="shared" si="1969"/>
        <v/>
      </c>
      <c r="EG134" s="30" t="str">
        <f t="shared" si="1970"/>
        <v/>
      </c>
      <c r="EH134" s="30" t="str">
        <f t="shared" si="1971"/>
        <v/>
      </c>
      <c r="EI134" s="30" t="str">
        <f t="shared" si="1972"/>
        <v/>
      </c>
      <c r="EJ134" s="30" t="str">
        <f t="shared" si="1973"/>
        <v/>
      </c>
      <c r="EK134" s="30" t="str">
        <f t="shared" si="1974"/>
        <v/>
      </c>
      <c r="EL134" s="30" t="str">
        <f t="shared" si="1975"/>
        <v/>
      </c>
      <c r="EM134" s="30" t="str">
        <f t="shared" si="1976"/>
        <v/>
      </c>
      <c r="EN134" s="30" t="str">
        <f t="shared" si="1977"/>
        <v/>
      </c>
      <c r="EO134" s="30" t="str">
        <f t="shared" si="1978"/>
        <v/>
      </c>
      <c r="EP134" s="30" t="str">
        <f t="shared" si="1979"/>
        <v/>
      </c>
      <c r="EQ134" s="30" t="str">
        <f t="shared" si="1980"/>
        <v/>
      </c>
      <c r="ER134" s="30" t="str">
        <f t="shared" si="1981"/>
        <v/>
      </c>
      <c r="ES134" s="30" t="str">
        <f t="shared" si="1982"/>
        <v/>
      </c>
      <c r="ET134" s="30" t="str">
        <f t="shared" si="1983"/>
        <v/>
      </c>
      <c r="EU134" s="30" t="str">
        <f t="shared" si="1984"/>
        <v/>
      </c>
      <c r="EV134" s="30" t="str">
        <f t="shared" si="1985"/>
        <v/>
      </c>
      <c r="EW134" s="30" t="str">
        <f t="shared" si="1986"/>
        <v/>
      </c>
      <c r="EX134" s="30" t="str">
        <f t="shared" si="1987"/>
        <v/>
      </c>
      <c r="EY134" s="30" t="str">
        <f t="shared" si="1988"/>
        <v/>
      </c>
      <c r="EZ134" s="30" t="str">
        <f t="shared" si="1989"/>
        <v/>
      </c>
      <c r="FA134" s="30" t="str">
        <f t="shared" si="1990"/>
        <v/>
      </c>
      <c r="FB134" s="30" t="str">
        <f t="shared" si="1991"/>
        <v/>
      </c>
      <c r="FC134" s="30" t="str">
        <f t="shared" si="1992"/>
        <v/>
      </c>
      <c r="FD134" s="30" t="str">
        <f t="shared" si="1993"/>
        <v/>
      </c>
      <c r="FE134" s="30" t="str">
        <f t="shared" si="1994"/>
        <v/>
      </c>
      <c r="FF134" s="30" t="str">
        <f t="shared" si="1995"/>
        <v/>
      </c>
      <c r="FG134" s="30" t="str">
        <f t="shared" si="1996"/>
        <v/>
      </c>
      <c r="FH134" s="30" t="str">
        <f t="shared" si="1997"/>
        <v/>
      </c>
      <c r="FI134" s="30" t="str">
        <f t="shared" si="1998"/>
        <v/>
      </c>
      <c r="FJ134" s="30" t="str">
        <f t="shared" si="1999"/>
        <v/>
      </c>
      <c r="FK134" s="30" t="str">
        <f t="shared" si="2000"/>
        <v/>
      </c>
      <c r="FL134" s="30" t="str">
        <f t="shared" si="2001"/>
        <v/>
      </c>
      <c r="FM134" s="30" t="str">
        <f t="shared" si="2002"/>
        <v/>
      </c>
      <c r="FN134" s="30" t="str">
        <f t="shared" si="2003"/>
        <v/>
      </c>
      <c r="FO134" s="30" t="str">
        <f t="shared" si="2004"/>
        <v/>
      </c>
      <c r="FP134" s="30" t="str">
        <f t="shared" si="2005"/>
        <v/>
      </c>
      <c r="FQ134" s="30" t="str">
        <f t="shared" si="2006"/>
        <v/>
      </c>
      <c r="FR134" s="30" t="str">
        <f t="shared" si="2007"/>
        <v/>
      </c>
      <c r="FS134" s="30" t="str">
        <f t="shared" si="2008"/>
        <v/>
      </c>
    </row>
    <row r="135" spans="1:175" ht="16.5">
      <c r="A135" s="87"/>
      <c r="B135" s="66"/>
      <c r="C135" s="87"/>
      <c r="T135" s="106"/>
      <c r="U135" s="32"/>
      <c r="CN135" s="7" t="str">
        <f t="shared" si="1933"/>
        <v>InitUnitState('',,,,,,,,,,)</v>
      </c>
      <c r="CO135" s="7" t="str">
        <f t="shared" si="1934"/>
        <v>InitUnitNormal('',,,,,,,,,,)</v>
      </c>
      <c r="CP135" s="7" t="str">
        <f t="shared" si="1935"/>
        <v>InitUnitMagic('',,,,,,,,,,)</v>
      </c>
      <c r="CQ135" s="7" t="str">
        <f t="shared" si="1936"/>
        <v>InitUnitAdd('',,,,,,,,,,)</v>
      </c>
      <c r="CR135" s="7" t="str">
        <f t="shared" si="1937"/>
        <v>InitEquipData('',,"",,,,,'','','','','','',"")</v>
      </c>
      <c r="CU135" s="45" t="str">
        <f t="shared" si="1938"/>
        <v>|n</v>
      </c>
      <c r="CW135" s="24"/>
      <c r="CX135" s="24"/>
      <c r="CY135" s="24"/>
      <c r="CZ135" s="24"/>
      <c r="DA135" s="24"/>
      <c r="DB135" s="30" t="str">
        <f t="shared" si="1939"/>
        <v/>
      </c>
      <c r="DC135" s="30" t="str">
        <f t="shared" si="1940"/>
        <v/>
      </c>
      <c r="DD135" s="30" t="str">
        <f t="shared" si="1941"/>
        <v/>
      </c>
      <c r="DE135" s="30" t="str">
        <f t="shared" si="1942"/>
        <v/>
      </c>
      <c r="DF135" s="30" t="str">
        <f t="shared" si="1943"/>
        <v/>
      </c>
      <c r="DG135" s="30" t="str">
        <f t="shared" si="1944"/>
        <v/>
      </c>
      <c r="DH135" s="30" t="str">
        <f t="shared" si="1945"/>
        <v/>
      </c>
      <c r="DI135" s="30" t="str">
        <f t="shared" si="1946"/>
        <v/>
      </c>
      <c r="DJ135" s="30" t="str">
        <f t="shared" si="1947"/>
        <v/>
      </c>
      <c r="DK135" s="30" t="str">
        <f t="shared" si="1948"/>
        <v/>
      </c>
      <c r="DL135" s="30" t="str">
        <f t="shared" si="1949"/>
        <v/>
      </c>
      <c r="DM135" s="30" t="str">
        <f t="shared" si="1950"/>
        <v/>
      </c>
      <c r="DN135" s="30" t="str">
        <f t="shared" si="1951"/>
        <v/>
      </c>
      <c r="DO135" s="30" t="str">
        <f t="shared" si="1952"/>
        <v/>
      </c>
      <c r="DP135" s="30" t="str">
        <f t="shared" si="1953"/>
        <v/>
      </c>
      <c r="DQ135" s="30" t="str">
        <f t="shared" si="1954"/>
        <v/>
      </c>
      <c r="DR135" s="30" t="str">
        <f t="shared" si="1955"/>
        <v/>
      </c>
      <c r="DS135" s="30" t="str">
        <f t="shared" si="1956"/>
        <v/>
      </c>
      <c r="DT135" s="30" t="str">
        <f t="shared" si="1957"/>
        <v/>
      </c>
      <c r="DU135" s="30" t="str">
        <f t="shared" si="1958"/>
        <v/>
      </c>
      <c r="DV135" s="30" t="str">
        <f t="shared" si="1959"/>
        <v/>
      </c>
      <c r="DW135" s="30" t="str">
        <f t="shared" si="1960"/>
        <v/>
      </c>
      <c r="DX135" s="30" t="str">
        <f t="shared" si="1961"/>
        <v/>
      </c>
      <c r="DY135" s="30" t="str">
        <f t="shared" si="1962"/>
        <v/>
      </c>
      <c r="DZ135" s="30" t="str">
        <f t="shared" si="1963"/>
        <v/>
      </c>
      <c r="EA135" s="30" t="str">
        <f t="shared" si="1964"/>
        <v/>
      </c>
      <c r="EB135" s="30" t="str">
        <f t="shared" si="1965"/>
        <v/>
      </c>
      <c r="EC135" s="30" t="str">
        <f t="shared" si="1966"/>
        <v/>
      </c>
      <c r="ED135" s="30" t="str">
        <f t="shared" si="1967"/>
        <v/>
      </c>
      <c r="EE135" s="30" t="str">
        <f t="shared" si="1968"/>
        <v/>
      </c>
      <c r="EF135" s="30" t="str">
        <f t="shared" si="1969"/>
        <v/>
      </c>
      <c r="EG135" s="30" t="str">
        <f t="shared" si="1970"/>
        <v/>
      </c>
      <c r="EH135" s="30" t="str">
        <f t="shared" si="1971"/>
        <v/>
      </c>
      <c r="EI135" s="30" t="str">
        <f t="shared" si="1972"/>
        <v/>
      </c>
      <c r="EJ135" s="30" t="str">
        <f t="shared" si="1973"/>
        <v/>
      </c>
      <c r="EK135" s="30" t="str">
        <f t="shared" si="1974"/>
        <v/>
      </c>
      <c r="EL135" s="30" t="str">
        <f t="shared" si="1975"/>
        <v/>
      </c>
      <c r="EM135" s="30" t="str">
        <f t="shared" si="1976"/>
        <v/>
      </c>
      <c r="EN135" s="30" t="str">
        <f t="shared" si="1977"/>
        <v/>
      </c>
      <c r="EO135" s="30" t="str">
        <f t="shared" si="1978"/>
        <v/>
      </c>
      <c r="EP135" s="30" t="str">
        <f t="shared" si="1979"/>
        <v/>
      </c>
      <c r="EQ135" s="30" t="str">
        <f t="shared" si="1980"/>
        <v/>
      </c>
      <c r="ER135" s="30" t="str">
        <f t="shared" si="1981"/>
        <v/>
      </c>
      <c r="ES135" s="30" t="str">
        <f t="shared" si="1982"/>
        <v/>
      </c>
      <c r="ET135" s="30" t="str">
        <f t="shared" si="1983"/>
        <v/>
      </c>
      <c r="EU135" s="30" t="str">
        <f t="shared" si="1984"/>
        <v/>
      </c>
      <c r="EV135" s="30" t="str">
        <f t="shared" si="1985"/>
        <v/>
      </c>
      <c r="EW135" s="30" t="str">
        <f t="shared" si="1986"/>
        <v/>
      </c>
      <c r="EX135" s="30" t="str">
        <f t="shared" si="1987"/>
        <v/>
      </c>
      <c r="EY135" s="30" t="str">
        <f t="shared" si="1988"/>
        <v/>
      </c>
      <c r="EZ135" s="30" t="str">
        <f t="shared" si="1989"/>
        <v/>
      </c>
      <c r="FA135" s="30" t="str">
        <f t="shared" si="1990"/>
        <v/>
      </c>
      <c r="FB135" s="30" t="str">
        <f t="shared" si="1991"/>
        <v/>
      </c>
      <c r="FC135" s="30" t="str">
        <f t="shared" si="1992"/>
        <v/>
      </c>
      <c r="FD135" s="30" t="str">
        <f t="shared" si="1993"/>
        <v/>
      </c>
      <c r="FE135" s="30" t="str">
        <f t="shared" si="1994"/>
        <v/>
      </c>
      <c r="FF135" s="30" t="str">
        <f t="shared" si="1995"/>
        <v/>
      </c>
      <c r="FG135" s="30" t="str">
        <f t="shared" si="1996"/>
        <v/>
      </c>
      <c r="FH135" s="30" t="str">
        <f t="shared" si="1997"/>
        <v/>
      </c>
      <c r="FI135" s="30" t="str">
        <f t="shared" si="1998"/>
        <v/>
      </c>
      <c r="FJ135" s="30" t="str">
        <f t="shared" si="1999"/>
        <v/>
      </c>
      <c r="FK135" s="30" t="str">
        <f t="shared" si="2000"/>
        <v/>
      </c>
      <c r="FL135" s="30" t="str">
        <f t="shared" si="2001"/>
        <v/>
      </c>
      <c r="FM135" s="30" t="str">
        <f t="shared" si="2002"/>
        <v/>
      </c>
      <c r="FN135" s="30" t="str">
        <f t="shared" si="2003"/>
        <v/>
      </c>
      <c r="FO135" s="30" t="str">
        <f t="shared" si="2004"/>
        <v/>
      </c>
      <c r="FP135" s="30" t="str">
        <f t="shared" si="2005"/>
        <v/>
      </c>
      <c r="FQ135" s="30" t="str">
        <f t="shared" si="2006"/>
        <v/>
      </c>
      <c r="FR135" s="30" t="str">
        <f t="shared" si="2007"/>
        <v/>
      </c>
      <c r="FS135" s="30" t="str">
        <f t="shared" si="2008"/>
        <v/>
      </c>
    </row>
    <row r="136" spans="1:175" ht="16.5">
      <c r="A136" s="87"/>
      <c r="B136" s="66"/>
      <c r="C136" s="87"/>
      <c r="T136" s="106"/>
      <c r="U136" s="32"/>
      <c r="CN136" s="7" t="str">
        <f t="shared" si="1933"/>
        <v>InitUnitState('',,,,,,,,,,)</v>
      </c>
      <c r="CO136" s="7" t="str">
        <f t="shared" si="1934"/>
        <v>InitUnitNormal('',,,,,,,,,,)</v>
      </c>
      <c r="CP136" s="7" t="str">
        <f t="shared" si="1935"/>
        <v>InitUnitMagic('',,,,,,,,,,)</v>
      </c>
      <c r="CQ136" s="7" t="str">
        <f t="shared" si="1936"/>
        <v>InitUnitAdd('',,,,,,,,,,)</v>
      </c>
      <c r="CR136" s="7" t="str">
        <f t="shared" si="1937"/>
        <v>InitEquipData('',,"",,,,,'','','','','','',"")</v>
      </c>
      <c r="CU136" s="45" t="str">
        <f t="shared" si="1938"/>
        <v>|n</v>
      </c>
      <c r="CW136" s="24"/>
      <c r="CX136" s="24"/>
      <c r="CY136" s="24"/>
      <c r="CZ136" s="24"/>
      <c r="DA136" s="24"/>
      <c r="DB136" s="30" t="str">
        <f t="shared" si="1939"/>
        <v/>
      </c>
      <c r="DC136" s="30" t="str">
        <f t="shared" si="1940"/>
        <v/>
      </c>
      <c r="DD136" s="30" t="str">
        <f t="shared" si="1941"/>
        <v/>
      </c>
      <c r="DE136" s="30" t="str">
        <f t="shared" si="1942"/>
        <v/>
      </c>
      <c r="DF136" s="30" t="str">
        <f t="shared" si="1943"/>
        <v/>
      </c>
      <c r="DG136" s="30" t="str">
        <f t="shared" si="1944"/>
        <v/>
      </c>
      <c r="DH136" s="30" t="str">
        <f t="shared" si="1945"/>
        <v/>
      </c>
      <c r="DI136" s="30" t="str">
        <f t="shared" si="1946"/>
        <v/>
      </c>
      <c r="DJ136" s="30" t="str">
        <f t="shared" si="1947"/>
        <v/>
      </c>
      <c r="DK136" s="30" t="str">
        <f t="shared" si="1948"/>
        <v/>
      </c>
      <c r="DL136" s="30" t="str">
        <f t="shared" si="1949"/>
        <v/>
      </c>
      <c r="DM136" s="30" t="str">
        <f t="shared" si="1950"/>
        <v/>
      </c>
      <c r="DN136" s="30" t="str">
        <f t="shared" si="1951"/>
        <v/>
      </c>
      <c r="DO136" s="30" t="str">
        <f t="shared" si="1952"/>
        <v/>
      </c>
      <c r="DP136" s="30" t="str">
        <f t="shared" si="1953"/>
        <v/>
      </c>
      <c r="DQ136" s="30" t="str">
        <f t="shared" si="1954"/>
        <v/>
      </c>
      <c r="DR136" s="30" t="str">
        <f t="shared" si="1955"/>
        <v/>
      </c>
      <c r="DS136" s="30" t="str">
        <f t="shared" si="1956"/>
        <v/>
      </c>
      <c r="DT136" s="30" t="str">
        <f t="shared" si="1957"/>
        <v/>
      </c>
      <c r="DU136" s="30" t="str">
        <f t="shared" si="1958"/>
        <v/>
      </c>
      <c r="DV136" s="30" t="str">
        <f t="shared" si="1959"/>
        <v/>
      </c>
      <c r="DW136" s="30" t="str">
        <f t="shared" si="1960"/>
        <v/>
      </c>
      <c r="DX136" s="30" t="str">
        <f t="shared" si="1961"/>
        <v/>
      </c>
      <c r="DY136" s="30" t="str">
        <f t="shared" si="1962"/>
        <v/>
      </c>
      <c r="DZ136" s="30" t="str">
        <f t="shared" si="1963"/>
        <v/>
      </c>
      <c r="EA136" s="30" t="str">
        <f t="shared" si="1964"/>
        <v/>
      </c>
      <c r="EB136" s="30" t="str">
        <f t="shared" si="1965"/>
        <v/>
      </c>
      <c r="EC136" s="30" t="str">
        <f t="shared" si="1966"/>
        <v/>
      </c>
      <c r="ED136" s="30" t="str">
        <f t="shared" si="1967"/>
        <v/>
      </c>
      <c r="EE136" s="30" t="str">
        <f t="shared" si="1968"/>
        <v/>
      </c>
      <c r="EF136" s="30" t="str">
        <f t="shared" si="1969"/>
        <v/>
      </c>
      <c r="EG136" s="30" t="str">
        <f t="shared" si="1970"/>
        <v/>
      </c>
      <c r="EH136" s="30" t="str">
        <f t="shared" si="1971"/>
        <v/>
      </c>
      <c r="EI136" s="30" t="str">
        <f t="shared" si="1972"/>
        <v/>
      </c>
      <c r="EJ136" s="30" t="str">
        <f t="shared" si="1973"/>
        <v/>
      </c>
      <c r="EK136" s="30" t="str">
        <f t="shared" si="1974"/>
        <v/>
      </c>
      <c r="EL136" s="30" t="str">
        <f t="shared" si="1975"/>
        <v/>
      </c>
      <c r="EM136" s="30" t="str">
        <f t="shared" si="1976"/>
        <v/>
      </c>
      <c r="EN136" s="30" t="str">
        <f t="shared" si="1977"/>
        <v/>
      </c>
      <c r="EO136" s="30" t="str">
        <f t="shared" si="1978"/>
        <v/>
      </c>
      <c r="EP136" s="30" t="str">
        <f t="shared" si="1979"/>
        <v/>
      </c>
      <c r="EQ136" s="30" t="str">
        <f t="shared" si="1980"/>
        <v/>
      </c>
      <c r="ER136" s="30" t="str">
        <f t="shared" si="1981"/>
        <v/>
      </c>
      <c r="ES136" s="30" t="str">
        <f t="shared" si="1982"/>
        <v/>
      </c>
      <c r="ET136" s="30" t="str">
        <f t="shared" si="1983"/>
        <v/>
      </c>
      <c r="EU136" s="30" t="str">
        <f t="shared" si="1984"/>
        <v/>
      </c>
      <c r="EV136" s="30" t="str">
        <f t="shared" si="1985"/>
        <v/>
      </c>
      <c r="EW136" s="30" t="str">
        <f t="shared" si="1986"/>
        <v/>
      </c>
      <c r="EX136" s="30" t="str">
        <f t="shared" si="1987"/>
        <v/>
      </c>
      <c r="EY136" s="30" t="str">
        <f t="shared" si="1988"/>
        <v/>
      </c>
      <c r="EZ136" s="30" t="str">
        <f t="shared" si="1989"/>
        <v/>
      </c>
      <c r="FA136" s="30" t="str">
        <f t="shared" si="1990"/>
        <v/>
      </c>
      <c r="FB136" s="30" t="str">
        <f t="shared" si="1991"/>
        <v/>
      </c>
      <c r="FC136" s="30" t="str">
        <f t="shared" si="1992"/>
        <v/>
      </c>
      <c r="FD136" s="30" t="str">
        <f t="shared" si="1993"/>
        <v/>
      </c>
      <c r="FE136" s="30" t="str">
        <f t="shared" si="1994"/>
        <v/>
      </c>
      <c r="FF136" s="30" t="str">
        <f t="shared" si="1995"/>
        <v/>
      </c>
      <c r="FG136" s="30" t="str">
        <f t="shared" si="1996"/>
        <v/>
      </c>
      <c r="FH136" s="30" t="str">
        <f t="shared" si="1997"/>
        <v/>
      </c>
      <c r="FI136" s="30" t="str">
        <f t="shared" si="1998"/>
        <v/>
      </c>
      <c r="FJ136" s="30" t="str">
        <f t="shared" si="1999"/>
        <v/>
      </c>
      <c r="FK136" s="30" t="str">
        <f t="shared" si="2000"/>
        <v/>
      </c>
      <c r="FL136" s="30" t="str">
        <f t="shared" si="2001"/>
        <v/>
      </c>
      <c r="FM136" s="30" t="str">
        <f t="shared" si="2002"/>
        <v/>
      </c>
      <c r="FN136" s="30" t="str">
        <f t="shared" si="2003"/>
        <v/>
      </c>
      <c r="FO136" s="30" t="str">
        <f t="shared" si="2004"/>
        <v/>
      </c>
      <c r="FP136" s="30" t="str">
        <f t="shared" si="2005"/>
        <v/>
      </c>
      <c r="FQ136" s="30" t="str">
        <f t="shared" si="2006"/>
        <v/>
      </c>
      <c r="FR136" s="30" t="str">
        <f t="shared" si="2007"/>
        <v/>
      </c>
      <c r="FS136" s="30" t="str">
        <f t="shared" si="2008"/>
        <v/>
      </c>
    </row>
    <row r="137" spans="1:175" ht="16.5">
      <c r="A137" s="87"/>
      <c r="B137" s="66"/>
      <c r="C137" s="87"/>
      <c r="T137" s="106"/>
      <c r="U137" s="32"/>
      <c r="CN137" s="7" t="str">
        <f t="shared" si="1933"/>
        <v>InitUnitState('',,,,,,,,,,)</v>
      </c>
      <c r="CO137" s="7" t="str">
        <f t="shared" si="1934"/>
        <v>InitUnitNormal('',,,,,,,,,,)</v>
      </c>
      <c r="CP137" s="7" t="str">
        <f t="shared" si="1935"/>
        <v>InitUnitMagic('',,,,,,,,,,)</v>
      </c>
      <c r="CQ137" s="7" t="str">
        <f t="shared" si="1936"/>
        <v>InitUnitAdd('',,,,,,,,,,)</v>
      </c>
      <c r="CR137" s="7" t="str">
        <f t="shared" si="1937"/>
        <v>InitEquipData('',,"",,,,,'','','','','','',"")</v>
      </c>
      <c r="CU137" s="45" t="str">
        <f t="shared" si="1938"/>
        <v>|n</v>
      </c>
      <c r="CW137" s="24"/>
      <c r="CX137" s="24"/>
      <c r="CY137" s="24"/>
      <c r="CZ137" s="24"/>
      <c r="DA137" s="24"/>
      <c r="DB137" s="30" t="str">
        <f t="shared" si="1939"/>
        <v/>
      </c>
      <c r="DC137" s="30" t="str">
        <f t="shared" si="1940"/>
        <v/>
      </c>
      <c r="DD137" s="30" t="str">
        <f t="shared" si="1941"/>
        <v/>
      </c>
      <c r="DE137" s="30" t="str">
        <f t="shared" si="1942"/>
        <v/>
      </c>
      <c r="DF137" s="30" t="str">
        <f t="shared" si="1943"/>
        <v/>
      </c>
      <c r="DG137" s="30" t="str">
        <f t="shared" si="1944"/>
        <v/>
      </c>
      <c r="DH137" s="30" t="str">
        <f t="shared" si="1945"/>
        <v/>
      </c>
      <c r="DI137" s="30" t="str">
        <f t="shared" si="1946"/>
        <v/>
      </c>
      <c r="DJ137" s="30" t="str">
        <f t="shared" si="1947"/>
        <v/>
      </c>
      <c r="DK137" s="30" t="str">
        <f t="shared" si="1948"/>
        <v/>
      </c>
      <c r="DL137" s="30" t="str">
        <f t="shared" si="1949"/>
        <v/>
      </c>
      <c r="DM137" s="30" t="str">
        <f t="shared" si="1950"/>
        <v/>
      </c>
      <c r="DN137" s="30" t="str">
        <f t="shared" si="1951"/>
        <v/>
      </c>
      <c r="DO137" s="30" t="str">
        <f t="shared" si="1952"/>
        <v/>
      </c>
      <c r="DP137" s="30" t="str">
        <f t="shared" si="1953"/>
        <v/>
      </c>
      <c r="DQ137" s="30" t="str">
        <f t="shared" si="1954"/>
        <v/>
      </c>
      <c r="DR137" s="30" t="str">
        <f t="shared" si="1955"/>
        <v/>
      </c>
      <c r="DS137" s="30" t="str">
        <f t="shared" si="1956"/>
        <v/>
      </c>
      <c r="DT137" s="30" t="str">
        <f t="shared" si="1957"/>
        <v/>
      </c>
      <c r="DU137" s="30" t="str">
        <f t="shared" si="1958"/>
        <v/>
      </c>
      <c r="DV137" s="30" t="str">
        <f t="shared" si="1959"/>
        <v/>
      </c>
      <c r="DW137" s="30" t="str">
        <f t="shared" si="1960"/>
        <v/>
      </c>
      <c r="DX137" s="30" t="str">
        <f t="shared" si="1961"/>
        <v/>
      </c>
      <c r="DY137" s="30" t="str">
        <f t="shared" si="1962"/>
        <v/>
      </c>
      <c r="DZ137" s="30" t="str">
        <f t="shared" si="1963"/>
        <v/>
      </c>
      <c r="EA137" s="30" t="str">
        <f t="shared" si="1964"/>
        <v/>
      </c>
      <c r="EB137" s="30" t="str">
        <f t="shared" si="1965"/>
        <v/>
      </c>
      <c r="EC137" s="30" t="str">
        <f t="shared" si="1966"/>
        <v/>
      </c>
      <c r="ED137" s="30" t="str">
        <f t="shared" si="1967"/>
        <v/>
      </c>
      <c r="EE137" s="30" t="str">
        <f t="shared" si="1968"/>
        <v/>
      </c>
      <c r="EF137" s="30" t="str">
        <f t="shared" si="1969"/>
        <v/>
      </c>
      <c r="EG137" s="30" t="str">
        <f t="shared" si="1970"/>
        <v/>
      </c>
      <c r="EH137" s="30" t="str">
        <f t="shared" si="1971"/>
        <v/>
      </c>
      <c r="EI137" s="30" t="str">
        <f t="shared" si="1972"/>
        <v/>
      </c>
      <c r="EJ137" s="30" t="str">
        <f t="shared" si="1973"/>
        <v/>
      </c>
      <c r="EK137" s="30" t="str">
        <f t="shared" si="1974"/>
        <v/>
      </c>
      <c r="EL137" s="30" t="str">
        <f t="shared" si="1975"/>
        <v/>
      </c>
      <c r="EM137" s="30" t="str">
        <f t="shared" si="1976"/>
        <v/>
      </c>
      <c r="EN137" s="30" t="str">
        <f t="shared" si="1977"/>
        <v/>
      </c>
      <c r="EO137" s="30" t="str">
        <f t="shared" si="1978"/>
        <v/>
      </c>
      <c r="EP137" s="30" t="str">
        <f t="shared" si="1979"/>
        <v/>
      </c>
      <c r="EQ137" s="30" t="str">
        <f t="shared" si="1980"/>
        <v/>
      </c>
      <c r="ER137" s="30" t="str">
        <f t="shared" si="1981"/>
        <v/>
      </c>
      <c r="ES137" s="30" t="str">
        <f t="shared" si="1982"/>
        <v/>
      </c>
      <c r="ET137" s="30" t="str">
        <f t="shared" si="1983"/>
        <v/>
      </c>
      <c r="EU137" s="30" t="str">
        <f t="shared" si="1984"/>
        <v/>
      </c>
      <c r="EV137" s="30" t="str">
        <f t="shared" si="1985"/>
        <v/>
      </c>
      <c r="EW137" s="30" t="str">
        <f t="shared" si="1986"/>
        <v/>
      </c>
      <c r="EX137" s="30" t="str">
        <f t="shared" si="1987"/>
        <v/>
      </c>
      <c r="EY137" s="30" t="str">
        <f t="shared" si="1988"/>
        <v/>
      </c>
      <c r="EZ137" s="30" t="str">
        <f t="shared" si="1989"/>
        <v/>
      </c>
      <c r="FA137" s="30" t="str">
        <f t="shared" si="1990"/>
        <v/>
      </c>
      <c r="FB137" s="30" t="str">
        <f t="shared" si="1991"/>
        <v/>
      </c>
      <c r="FC137" s="30" t="str">
        <f t="shared" si="1992"/>
        <v/>
      </c>
      <c r="FD137" s="30" t="str">
        <f t="shared" si="1993"/>
        <v/>
      </c>
      <c r="FE137" s="30" t="str">
        <f t="shared" si="1994"/>
        <v/>
      </c>
      <c r="FF137" s="30" t="str">
        <f t="shared" si="1995"/>
        <v/>
      </c>
      <c r="FG137" s="30" t="str">
        <f t="shared" si="1996"/>
        <v/>
      </c>
      <c r="FH137" s="30" t="str">
        <f t="shared" si="1997"/>
        <v/>
      </c>
      <c r="FI137" s="30" t="str">
        <f t="shared" si="1998"/>
        <v/>
      </c>
      <c r="FJ137" s="30" t="str">
        <f t="shared" si="1999"/>
        <v/>
      </c>
      <c r="FK137" s="30" t="str">
        <f t="shared" si="2000"/>
        <v/>
      </c>
      <c r="FL137" s="30" t="str">
        <f t="shared" si="2001"/>
        <v/>
      </c>
      <c r="FM137" s="30" t="str">
        <f t="shared" si="2002"/>
        <v/>
      </c>
      <c r="FN137" s="30" t="str">
        <f t="shared" si="2003"/>
        <v/>
      </c>
      <c r="FO137" s="30" t="str">
        <f t="shared" si="2004"/>
        <v/>
      </c>
      <c r="FP137" s="30" t="str">
        <f t="shared" si="2005"/>
        <v/>
      </c>
      <c r="FQ137" s="30" t="str">
        <f t="shared" si="2006"/>
        <v/>
      </c>
      <c r="FR137" s="30" t="str">
        <f t="shared" si="2007"/>
        <v/>
      </c>
      <c r="FS137" s="30" t="str">
        <f t="shared" si="2008"/>
        <v/>
      </c>
    </row>
    <row r="138" spans="1:175" ht="16.5">
      <c r="A138" s="87"/>
      <c r="B138" s="66"/>
      <c r="C138" s="87"/>
      <c r="T138" s="106"/>
      <c r="U138" s="32"/>
      <c r="CN138" s="7" t="str">
        <f t="shared" si="1933"/>
        <v>InitUnitState('',,,,,,,,,,)</v>
      </c>
      <c r="CO138" s="7" t="str">
        <f t="shared" si="1934"/>
        <v>InitUnitNormal('',,,,,,,,,,)</v>
      </c>
      <c r="CP138" s="7" t="str">
        <f t="shared" si="1935"/>
        <v>InitUnitMagic('',,,,,,,,,,)</v>
      </c>
      <c r="CQ138" s="7" t="str">
        <f t="shared" si="1936"/>
        <v>InitUnitAdd('',,,,,,,,,,)</v>
      </c>
      <c r="CR138" s="7" t="str">
        <f t="shared" si="1937"/>
        <v>InitEquipData('',,"",,,,,'','','','','','',"")</v>
      </c>
      <c r="CU138" s="45" t="str">
        <f t="shared" si="1938"/>
        <v>|n</v>
      </c>
      <c r="CW138" s="24"/>
      <c r="CX138" s="24"/>
      <c r="CY138" s="24"/>
      <c r="CZ138" s="24"/>
      <c r="DA138" s="24"/>
      <c r="DB138" s="30" t="str">
        <f t="shared" si="1939"/>
        <v/>
      </c>
      <c r="DC138" s="30" t="str">
        <f t="shared" si="1940"/>
        <v/>
      </c>
      <c r="DD138" s="30" t="str">
        <f t="shared" si="1941"/>
        <v/>
      </c>
      <c r="DE138" s="30" t="str">
        <f t="shared" si="1942"/>
        <v/>
      </c>
      <c r="DF138" s="30" t="str">
        <f t="shared" si="1943"/>
        <v/>
      </c>
      <c r="DG138" s="30" t="str">
        <f t="shared" si="1944"/>
        <v/>
      </c>
      <c r="DH138" s="30" t="str">
        <f t="shared" si="1945"/>
        <v/>
      </c>
      <c r="DI138" s="30" t="str">
        <f t="shared" si="1946"/>
        <v/>
      </c>
      <c r="DJ138" s="30" t="str">
        <f t="shared" si="1947"/>
        <v/>
      </c>
      <c r="DK138" s="30" t="str">
        <f t="shared" si="1948"/>
        <v/>
      </c>
      <c r="DL138" s="30" t="str">
        <f t="shared" si="1949"/>
        <v/>
      </c>
      <c r="DM138" s="30" t="str">
        <f t="shared" si="1950"/>
        <v/>
      </c>
      <c r="DN138" s="30" t="str">
        <f t="shared" si="1951"/>
        <v/>
      </c>
      <c r="DO138" s="30" t="str">
        <f t="shared" si="1952"/>
        <v/>
      </c>
      <c r="DP138" s="30" t="str">
        <f t="shared" si="1953"/>
        <v/>
      </c>
      <c r="DQ138" s="30" t="str">
        <f t="shared" si="1954"/>
        <v/>
      </c>
      <c r="DR138" s="30" t="str">
        <f t="shared" si="1955"/>
        <v/>
      </c>
      <c r="DS138" s="30" t="str">
        <f t="shared" si="1956"/>
        <v/>
      </c>
      <c r="DT138" s="30" t="str">
        <f t="shared" si="1957"/>
        <v/>
      </c>
      <c r="DU138" s="30" t="str">
        <f t="shared" si="1958"/>
        <v/>
      </c>
      <c r="DV138" s="30" t="str">
        <f t="shared" si="1959"/>
        <v/>
      </c>
      <c r="DW138" s="30" t="str">
        <f t="shared" si="1960"/>
        <v/>
      </c>
      <c r="DX138" s="30" t="str">
        <f t="shared" si="1961"/>
        <v/>
      </c>
      <c r="DY138" s="30" t="str">
        <f t="shared" si="1962"/>
        <v/>
      </c>
      <c r="DZ138" s="30" t="str">
        <f t="shared" si="1963"/>
        <v/>
      </c>
      <c r="EA138" s="30" t="str">
        <f t="shared" si="1964"/>
        <v/>
      </c>
      <c r="EB138" s="30" t="str">
        <f t="shared" si="1965"/>
        <v/>
      </c>
      <c r="EC138" s="30" t="str">
        <f t="shared" si="1966"/>
        <v/>
      </c>
      <c r="ED138" s="30" t="str">
        <f t="shared" si="1967"/>
        <v/>
      </c>
      <c r="EE138" s="30" t="str">
        <f t="shared" si="1968"/>
        <v/>
      </c>
      <c r="EF138" s="30" t="str">
        <f t="shared" si="1969"/>
        <v/>
      </c>
      <c r="EG138" s="30" t="str">
        <f t="shared" si="1970"/>
        <v/>
      </c>
      <c r="EH138" s="30" t="str">
        <f t="shared" si="1971"/>
        <v/>
      </c>
      <c r="EI138" s="30" t="str">
        <f t="shared" si="1972"/>
        <v/>
      </c>
      <c r="EJ138" s="30" t="str">
        <f t="shared" si="1973"/>
        <v/>
      </c>
      <c r="EK138" s="30" t="str">
        <f t="shared" si="1974"/>
        <v/>
      </c>
      <c r="EL138" s="30" t="str">
        <f t="shared" si="1975"/>
        <v/>
      </c>
      <c r="EM138" s="30" t="str">
        <f t="shared" si="1976"/>
        <v/>
      </c>
      <c r="EN138" s="30" t="str">
        <f t="shared" si="1977"/>
        <v/>
      </c>
      <c r="EO138" s="30" t="str">
        <f t="shared" si="1978"/>
        <v/>
      </c>
      <c r="EP138" s="30" t="str">
        <f t="shared" si="1979"/>
        <v/>
      </c>
      <c r="EQ138" s="30" t="str">
        <f t="shared" si="1980"/>
        <v/>
      </c>
      <c r="ER138" s="30" t="str">
        <f t="shared" si="1981"/>
        <v/>
      </c>
      <c r="ES138" s="30" t="str">
        <f t="shared" si="1982"/>
        <v/>
      </c>
      <c r="ET138" s="30" t="str">
        <f t="shared" si="1983"/>
        <v/>
      </c>
      <c r="EU138" s="30" t="str">
        <f t="shared" si="1984"/>
        <v/>
      </c>
      <c r="EV138" s="30" t="str">
        <f t="shared" si="1985"/>
        <v/>
      </c>
      <c r="EW138" s="30" t="str">
        <f t="shared" si="1986"/>
        <v/>
      </c>
      <c r="EX138" s="30" t="str">
        <f t="shared" si="1987"/>
        <v/>
      </c>
      <c r="EY138" s="30" t="str">
        <f t="shared" si="1988"/>
        <v/>
      </c>
      <c r="EZ138" s="30" t="str">
        <f t="shared" si="1989"/>
        <v/>
      </c>
      <c r="FA138" s="30" t="str">
        <f t="shared" si="1990"/>
        <v/>
      </c>
      <c r="FB138" s="30" t="str">
        <f t="shared" si="1991"/>
        <v/>
      </c>
      <c r="FC138" s="30" t="str">
        <f t="shared" si="1992"/>
        <v/>
      </c>
      <c r="FD138" s="30" t="str">
        <f t="shared" si="1993"/>
        <v/>
      </c>
      <c r="FE138" s="30" t="str">
        <f t="shared" si="1994"/>
        <v/>
      </c>
      <c r="FF138" s="30" t="str">
        <f t="shared" si="1995"/>
        <v/>
      </c>
      <c r="FG138" s="30" t="str">
        <f t="shared" si="1996"/>
        <v/>
      </c>
      <c r="FH138" s="30" t="str">
        <f t="shared" si="1997"/>
        <v/>
      </c>
      <c r="FI138" s="30" t="str">
        <f t="shared" si="1998"/>
        <v/>
      </c>
      <c r="FJ138" s="30" t="str">
        <f t="shared" si="1999"/>
        <v/>
      </c>
      <c r="FK138" s="30" t="str">
        <f t="shared" si="2000"/>
        <v/>
      </c>
      <c r="FL138" s="30" t="str">
        <f t="shared" si="2001"/>
        <v/>
      </c>
      <c r="FM138" s="30" t="str">
        <f t="shared" si="2002"/>
        <v/>
      </c>
      <c r="FN138" s="30" t="str">
        <f t="shared" si="2003"/>
        <v/>
      </c>
      <c r="FO138" s="30" t="str">
        <f t="shared" si="2004"/>
        <v/>
      </c>
      <c r="FP138" s="30" t="str">
        <f t="shared" si="2005"/>
        <v/>
      </c>
      <c r="FQ138" s="30" t="str">
        <f t="shared" si="2006"/>
        <v/>
      </c>
      <c r="FR138" s="30" t="str">
        <f t="shared" si="2007"/>
        <v/>
      </c>
      <c r="FS138" s="30" t="str">
        <f t="shared" si="2008"/>
        <v/>
      </c>
    </row>
    <row r="139" spans="1:175" ht="16.5">
      <c r="A139" s="88"/>
      <c r="B139" s="66"/>
      <c r="C139" s="88"/>
      <c r="T139" s="108"/>
      <c r="U139" s="32"/>
      <c r="CN139" s="7" t="str">
        <f t="shared" si="1933"/>
        <v>InitUnitState('',,,,,,,,,,)</v>
      </c>
      <c r="CO139" s="7" t="str">
        <f t="shared" si="1934"/>
        <v>InitUnitNormal('',,,,,,,,,,)</v>
      </c>
      <c r="CP139" s="7" t="str">
        <f t="shared" si="1935"/>
        <v>InitUnitMagic('',,,,,,,,,,)</v>
      </c>
      <c r="CQ139" s="7" t="str">
        <f t="shared" si="1936"/>
        <v>InitUnitAdd('',,,,,,,,,,)</v>
      </c>
      <c r="CR139" s="7" t="str">
        <f t="shared" si="1937"/>
        <v>InitEquipData('',,"",,,,,'','','','','','',"")</v>
      </c>
      <c r="CU139" s="45" t="str">
        <f t="shared" si="1938"/>
        <v>|n</v>
      </c>
      <c r="CW139" s="24"/>
      <c r="CX139" s="24"/>
      <c r="CY139" s="24"/>
      <c r="CZ139" s="24"/>
      <c r="DA139" s="24"/>
      <c r="DB139" s="30" t="str">
        <f t="shared" si="1939"/>
        <v/>
      </c>
      <c r="DC139" s="30" t="str">
        <f t="shared" si="1940"/>
        <v/>
      </c>
      <c r="DD139" s="30" t="str">
        <f t="shared" si="1941"/>
        <v/>
      </c>
      <c r="DE139" s="30" t="str">
        <f t="shared" si="1942"/>
        <v/>
      </c>
      <c r="DF139" s="30" t="str">
        <f t="shared" si="1943"/>
        <v/>
      </c>
      <c r="DG139" s="30" t="str">
        <f t="shared" si="1944"/>
        <v/>
      </c>
      <c r="DH139" s="30" t="str">
        <f t="shared" si="1945"/>
        <v/>
      </c>
      <c r="DI139" s="30" t="str">
        <f t="shared" si="1946"/>
        <v/>
      </c>
      <c r="DJ139" s="30" t="str">
        <f t="shared" si="1947"/>
        <v/>
      </c>
      <c r="DK139" s="30" t="str">
        <f t="shared" si="1948"/>
        <v/>
      </c>
      <c r="DL139" s="30" t="str">
        <f t="shared" si="1949"/>
        <v/>
      </c>
      <c r="DM139" s="30" t="str">
        <f t="shared" si="1950"/>
        <v/>
      </c>
      <c r="DN139" s="30" t="str">
        <f t="shared" si="1951"/>
        <v/>
      </c>
      <c r="DO139" s="30" t="str">
        <f t="shared" si="1952"/>
        <v/>
      </c>
      <c r="DP139" s="30" t="str">
        <f t="shared" si="1953"/>
        <v/>
      </c>
      <c r="DQ139" s="30" t="str">
        <f t="shared" si="1954"/>
        <v/>
      </c>
      <c r="DR139" s="30" t="str">
        <f t="shared" si="1955"/>
        <v/>
      </c>
      <c r="DS139" s="30" t="str">
        <f t="shared" si="1956"/>
        <v/>
      </c>
      <c r="DT139" s="30" t="str">
        <f t="shared" si="1957"/>
        <v/>
      </c>
      <c r="DU139" s="30" t="str">
        <f t="shared" si="1958"/>
        <v/>
      </c>
      <c r="DV139" s="30" t="str">
        <f t="shared" si="1959"/>
        <v/>
      </c>
      <c r="DW139" s="30" t="str">
        <f t="shared" si="1960"/>
        <v/>
      </c>
      <c r="DX139" s="30" t="str">
        <f t="shared" si="1961"/>
        <v/>
      </c>
      <c r="DY139" s="30" t="str">
        <f t="shared" si="1962"/>
        <v/>
      </c>
      <c r="DZ139" s="30" t="str">
        <f t="shared" si="1963"/>
        <v/>
      </c>
      <c r="EA139" s="30" t="str">
        <f t="shared" si="1964"/>
        <v/>
      </c>
      <c r="EB139" s="30" t="str">
        <f t="shared" si="1965"/>
        <v/>
      </c>
      <c r="EC139" s="30" t="str">
        <f t="shared" si="1966"/>
        <v/>
      </c>
      <c r="ED139" s="30" t="str">
        <f t="shared" si="1967"/>
        <v/>
      </c>
      <c r="EE139" s="30" t="str">
        <f t="shared" si="1968"/>
        <v/>
      </c>
      <c r="EF139" s="30" t="str">
        <f t="shared" si="1969"/>
        <v/>
      </c>
      <c r="EG139" s="30" t="str">
        <f t="shared" si="1970"/>
        <v/>
      </c>
      <c r="EH139" s="30" t="str">
        <f t="shared" si="1971"/>
        <v/>
      </c>
      <c r="EI139" s="30" t="str">
        <f t="shared" si="1972"/>
        <v/>
      </c>
      <c r="EJ139" s="30" t="str">
        <f t="shared" si="1973"/>
        <v/>
      </c>
      <c r="EK139" s="30" t="str">
        <f t="shared" si="1974"/>
        <v/>
      </c>
      <c r="EL139" s="30" t="str">
        <f t="shared" si="1975"/>
        <v/>
      </c>
      <c r="EM139" s="30" t="str">
        <f t="shared" si="1976"/>
        <v/>
      </c>
      <c r="EN139" s="30" t="str">
        <f t="shared" si="1977"/>
        <v/>
      </c>
      <c r="EO139" s="30" t="str">
        <f t="shared" si="1978"/>
        <v/>
      </c>
      <c r="EP139" s="30" t="str">
        <f t="shared" si="1979"/>
        <v/>
      </c>
      <c r="EQ139" s="30" t="str">
        <f t="shared" si="1980"/>
        <v/>
      </c>
      <c r="ER139" s="30" t="str">
        <f t="shared" si="1981"/>
        <v/>
      </c>
      <c r="ES139" s="30" t="str">
        <f t="shared" si="1982"/>
        <v/>
      </c>
      <c r="ET139" s="30" t="str">
        <f t="shared" si="1983"/>
        <v/>
      </c>
      <c r="EU139" s="30" t="str">
        <f t="shared" si="1984"/>
        <v/>
      </c>
      <c r="EV139" s="30" t="str">
        <f t="shared" si="1985"/>
        <v/>
      </c>
      <c r="EW139" s="30" t="str">
        <f t="shared" si="1986"/>
        <v/>
      </c>
      <c r="EX139" s="30" t="str">
        <f t="shared" si="1987"/>
        <v/>
      </c>
      <c r="EY139" s="30" t="str">
        <f t="shared" si="1988"/>
        <v/>
      </c>
      <c r="EZ139" s="30" t="str">
        <f t="shared" si="1989"/>
        <v/>
      </c>
      <c r="FA139" s="30" t="str">
        <f t="shared" si="1990"/>
        <v/>
      </c>
      <c r="FB139" s="30" t="str">
        <f t="shared" si="1991"/>
        <v/>
      </c>
      <c r="FC139" s="30" t="str">
        <f t="shared" si="1992"/>
        <v/>
      </c>
      <c r="FD139" s="30" t="str">
        <f t="shared" si="1993"/>
        <v/>
      </c>
      <c r="FE139" s="30" t="str">
        <f t="shared" si="1994"/>
        <v/>
      </c>
      <c r="FF139" s="30" t="str">
        <f t="shared" si="1995"/>
        <v/>
      </c>
      <c r="FG139" s="30" t="str">
        <f t="shared" si="1996"/>
        <v/>
      </c>
      <c r="FH139" s="30" t="str">
        <f t="shared" si="1997"/>
        <v/>
      </c>
      <c r="FI139" s="30" t="str">
        <f t="shared" si="1998"/>
        <v/>
      </c>
      <c r="FJ139" s="30" t="str">
        <f t="shared" si="1999"/>
        <v/>
      </c>
      <c r="FK139" s="30" t="str">
        <f t="shared" si="2000"/>
        <v/>
      </c>
      <c r="FL139" s="30" t="str">
        <f t="shared" si="2001"/>
        <v/>
      </c>
      <c r="FM139" s="30" t="str">
        <f t="shared" si="2002"/>
        <v/>
      </c>
      <c r="FN139" s="30" t="str">
        <f t="shared" si="2003"/>
        <v/>
      </c>
      <c r="FO139" s="30" t="str">
        <f t="shared" si="2004"/>
        <v/>
      </c>
      <c r="FP139" s="30" t="str">
        <f t="shared" si="2005"/>
        <v/>
      </c>
      <c r="FQ139" s="30" t="str">
        <f t="shared" si="2006"/>
        <v/>
      </c>
      <c r="FR139" s="30" t="str">
        <f t="shared" si="2007"/>
        <v/>
      </c>
      <c r="FS139" s="30" t="str">
        <f t="shared" si="2008"/>
        <v/>
      </c>
    </row>
    <row r="140" spans="1:175" ht="16.5">
      <c r="A140" s="88"/>
      <c r="B140" s="66"/>
      <c r="C140" s="88"/>
      <c r="T140" s="108"/>
      <c r="U140" s="32"/>
      <c r="CN140" s="7" t="str">
        <f t="shared" si="1933"/>
        <v>InitUnitState('',,,,,,,,,,)</v>
      </c>
      <c r="CO140" s="7" t="str">
        <f t="shared" si="1934"/>
        <v>InitUnitNormal('',,,,,,,,,,)</v>
      </c>
      <c r="CP140" s="7" t="str">
        <f t="shared" si="1935"/>
        <v>InitUnitMagic('',,,,,,,,,,)</v>
      </c>
      <c r="CQ140" s="7" t="str">
        <f t="shared" si="1936"/>
        <v>InitUnitAdd('',,,,,,,,,,)</v>
      </c>
      <c r="CR140" s="7" t="str">
        <f t="shared" si="1937"/>
        <v>InitEquipData('',,"",,,,,'','','','','','',"")</v>
      </c>
      <c r="CU140" s="45" t="str">
        <f t="shared" si="1938"/>
        <v>|n</v>
      </c>
      <c r="CW140" s="24"/>
      <c r="CX140" s="24"/>
      <c r="CY140" s="24"/>
      <c r="CZ140" s="24"/>
      <c r="DA140" s="24"/>
      <c r="DB140" s="30" t="str">
        <f t="shared" si="1939"/>
        <v/>
      </c>
      <c r="DC140" s="30" t="str">
        <f t="shared" si="1940"/>
        <v/>
      </c>
      <c r="DD140" s="30" t="str">
        <f t="shared" si="1941"/>
        <v/>
      </c>
      <c r="DE140" s="30" t="str">
        <f t="shared" si="1942"/>
        <v/>
      </c>
      <c r="DF140" s="30" t="str">
        <f t="shared" si="1943"/>
        <v/>
      </c>
      <c r="DG140" s="30" t="str">
        <f t="shared" si="1944"/>
        <v/>
      </c>
      <c r="DH140" s="30" t="str">
        <f t="shared" si="1945"/>
        <v/>
      </c>
      <c r="DI140" s="30" t="str">
        <f t="shared" si="1946"/>
        <v/>
      </c>
      <c r="DJ140" s="30" t="str">
        <f t="shared" si="1947"/>
        <v/>
      </c>
      <c r="DK140" s="30" t="str">
        <f t="shared" si="1948"/>
        <v/>
      </c>
      <c r="DL140" s="30" t="str">
        <f t="shared" si="1949"/>
        <v/>
      </c>
      <c r="DM140" s="30" t="str">
        <f t="shared" si="1950"/>
        <v/>
      </c>
      <c r="DN140" s="30" t="str">
        <f t="shared" si="1951"/>
        <v/>
      </c>
      <c r="DO140" s="30" t="str">
        <f t="shared" si="1952"/>
        <v/>
      </c>
      <c r="DP140" s="30" t="str">
        <f t="shared" si="1953"/>
        <v/>
      </c>
      <c r="DQ140" s="30" t="str">
        <f t="shared" si="1954"/>
        <v/>
      </c>
      <c r="DR140" s="30" t="str">
        <f t="shared" si="1955"/>
        <v/>
      </c>
      <c r="DS140" s="30" t="str">
        <f t="shared" si="1956"/>
        <v/>
      </c>
      <c r="DT140" s="30" t="str">
        <f t="shared" si="1957"/>
        <v/>
      </c>
      <c r="DU140" s="30" t="str">
        <f t="shared" si="1958"/>
        <v/>
      </c>
      <c r="DV140" s="30" t="str">
        <f t="shared" si="1959"/>
        <v/>
      </c>
      <c r="DW140" s="30" t="str">
        <f t="shared" si="1960"/>
        <v/>
      </c>
      <c r="DX140" s="30" t="str">
        <f t="shared" si="1961"/>
        <v/>
      </c>
      <c r="DY140" s="30" t="str">
        <f t="shared" si="1962"/>
        <v/>
      </c>
      <c r="DZ140" s="30" t="str">
        <f t="shared" si="1963"/>
        <v/>
      </c>
      <c r="EA140" s="30" t="str">
        <f t="shared" si="1964"/>
        <v/>
      </c>
      <c r="EB140" s="30" t="str">
        <f t="shared" si="1965"/>
        <v/>
      </c>
      <c r="EC140" s="30" t="str">
        <f t="shared" si="1966"/>
        <v/>
      </c>
      <c r="ED140" s="30" t="str">
        <f t="shared" si="1967"/>
        <v/>
      </c>
      <c r="EE140" s="30" t="str">
        <f t="shared" si="1968"/>
        <v/>
      </c>
      <c r="EF140" s="30" t="str">
        <f t="shared" si="1969"/>
        <v/>
      </c>
      <c r="EG140" s="30" t="str">
        <f t="shared" si="1970"/>
        <v/>
      </c>
      <c r="EH140" s="30" t="str">
        <f t="shared" si="1971"/>
        <v/>
      </c>
      <c r="EI140" s="30" t="str">
        <f t="shared" si="1972"/>
        <v/>
      </c>
      <c r="EJ140" s="30" t="str">
        <f t="shared" si="1973"/>
        <v/>
      </c>
      <c r="EK140" s="30" t="str">
        <f t="shared" si="1974"/>
        <v/>
      </c>
      <c r="EL140" s="30" t="str">
        <f t="shared" si="1975"/>
        <v/>
      </c>
      <c r="EM140" s="30" t="str">
        <f t="shared" si="1976"/>
        <v/>
      </c>
      <c r="EN140" s="30" t="str">
        <f t="shared" si="1977"/>
        <v/>
      </c>
      <c r="EO140" s="30" t="str">
        <f t="shared" si="1978"/>
        <v/>
      </c>
      <c r="EP140" s="30" t="str">
        <f t="shared" si="1979"/>
        <v/>
      </c>
      <c r="EQ140" s="30" t="str">
        <f t="shared" si="1980"/>
        <v/>
      </c>
      <c r="ER140" s="30" t="str">
        <f t="shared" si="1981"/>
        <v/>
      </c>
      <c r="ES140" s="30" t="str">
        <f t="shared" si="1982"/>
        <v/>
      </c>
      <c r="ET140" s="30" t="str">
        <f t="shared" si="1983"/>
        <v/>
      </c>
      <c r="EU140" s="30" t="str">
        <f t="shared" si="1984"/>
        <v/>
      </c>
      <c r="EV140" s="30" t="str">
        <f t="shared" si="1985"/>
        <v/>
      </c>
      <c r="EW140" s="30" t="str">
        <f t="shared" si="1986"/>
        <v/>
      </c>
      <c r="EX140" s="30" t="str">
        <f t="shared" si="1987"/>
        <v/>
      </c>
      <c r="EY140" s="30" t="str">
        <f t="shared" si="1988"/>
        <v/>
      </c>
      <c r="EZ140" s="30" t="str">
        <f t="shared" si="1989"/>
        <v/>
      </c>
      <c r="FA140" s="30" t="str">
        <f t="shared" si="1990"/>
        <v/>
      </c>
      <c r="FB140" s="30" t="str">
        <f t="shared" si="1991"/>
        <v/>
      </c>
      <c r="FC140" s="30" t="str">
        <f t="shared" si="1992"/>
        <v/>
      </c>
      <c r="FD140" s="30" t="str">
        <f t="shared" si="1993"/>
        <v/>
      </c>
      <c r="FE140" s="30" t="str">
        <f t="shared" si="1994"/>
        <v/>
      </c>
      <c r="FF140" s="30" t="str">
        <f t="shared" si="1995"/>
        <v/>
      </c>
      <c r="FG140" s="30" t="str">
        <f t="shared" si="1996"/>
        <v/>
      </c>
      <c r="FH140" s="30" t="str">
        <f t="shared" si="1997"/>
        <v/>
      </c>
      <c r="FI140" s="30" t="str">
        <f t="shared" si="1998"/>
        <v/>
      </c>
      <c r="FJ140" s="30" t="str">
        <f t="shared" si="1999"/>
        <v/>
      </c>
      <c r="FK140" s="30" t="str">
        <f t="shared" si="2000"/>
        <v/>
      </c>
      <c r="FL140" s="30" t="str">
        <f t="shared" si="2001"/>
        <v/>
      </c>
      <c r="FM140" s="30" t="str">
        <f t="shared" si="2002"/>
        <v/>
      </c>
      <c r="FN140" s="30" t="str">
        <f t="shared" si="2003"/>
        <v/>
      </c>
      <c r="FO140" s="30" t="str">
        <f t="shared" si="2004"/>
        <v/>
      </c>
      <c r="FP140" s="30" t="str">
        <f t="shared" si="2005"/>
        <v/>
      </c>
      <c r="FQ140" s="30" t="str">
        <f t="shared" si="2006"/>
        <v/>
      </c>
      <c r="FR140" s="30" t="str">
        <f t="shared" si="2007"/>
        <v/>
      </c>
      <c r="FS140" s="30" t="str">
        <f t="shared" si="2008"/>
        <v/>
      </c>
    </row>
    <row r="141" spans="1:175" ht="16.5">
      <c r="A141" s="88"/>
      <c r="B141" s="66"/>
      <c r="C141" s="88"/>
      <c r="T141" s="108"/>
      <c r="U141" s="32"/>
      <c r="CN141" s="7" t="str">
        <f t="shared" si="1933"/>
        <v>InitUnitState('',,,,,,,,,,)</v>
      </c>
      <c r="CO141" s="7" t="str">
        <f t="shared" si="1934"/>
        <v>InitUnitNormal('',,,,,,,,,,)</v>
      </c>
      <c r="CP141" s="7" t="str">
        <f t="shared" si="1935"/>
        <v>InitUnitMagic('',,,,,,,,,,)</v>
      </c>
      <c r="CQ141" s="7" t="str">
        <f t="shared" si="1936"/>
        <v>InitUnitAdd('',,,,,,,,,,)</v>
      </c>
      <c r="CR141" s="7" t="str">
        <f t="shared" si="1937"/>
        <v>InitEquipData('',,"",,,,,'','','','','','',"")</v>
      </c>
      <c r="CU141" s="45" t="str">
        <f t="shared" si="1938"/>
        <v>|n</v>
      </c>
      <c r="CW141" s="24"/>
      <c r="CX141" s="24"/>
      <c r="CY141" s="24"/>
      <c r="CZ141" s="24"/>
      <c r="DA141" s="24"/>
      <c r="DB141" s="30" t="str">
        <f t="shared" si="1939"/>
        <v/>
      </c>
      <c r="DC141" s="30" t="str">
        <f t="shared" si="1940"/>
        <v/>
      </c>
      <c r="DD141" s="30" t="str">
        <f t="shared" si="1941"/>
        <v/>
      </c>
      <c r="DE141" s="30" t="str">
        <f t="shared" si="1942"/>
        <v/>
      </c>
      <c r="DF141" s="30" t="str">
        <f t="shared" si="1943"/>
        <v/>
      </c>
      <c r="DG141" s="30" t="str">
        <f t="shared" si="1944"/>
        <v/>
      </c>
      <c r="DH141" s="30" t="str">
        <f t="shared" si="1945"/>
        <v/>
      </c>
      <c r="DI141" s="30" t="str">
        <f t="shared" si="1946"/>
        <v/>
      </c>
      <c r="DJ141" s="30" t="str">
        <f t="shared" si="1947"/>
        <v/>
      </c>
      <c r="DK141" s="30" t="str">
        <f t="shared" si="1948"/>
        <v/>
      </c>
      <c r="DL141" s="30" t="str">
        <f t="shared" si="1949"/>
        <v/>
      </c>
      <c r="DM141" s="30" t="str">
        <f t="shared" si="1950"/>
        <v/>
      </c>
      <c r="DN141" s="30" t="str">
        <f t="shared" si="1951"/>
        <v/>
      </c>
      <c r="DO141" s="30" t="str">
        <f t="shared" si="1952"/>
        <v/>
      </c>
      <c r="DP141" s="30" t="str">
        <f t="shared" si="1953"/>
        <v/>
      </c>
      <c r="DQ141" s="30" t="str">
        <f t="shared" si="1954"/>
        <v/>
      </c>
      <c r="DR141" s="30" t="str">
        <f t="shared" si="1955"/>
        <v/>
      </c>
      <c r="DS141" s="30" t="str">
        <f t="shared" si="1956"/>
        <v/>
      </c>
      <c r="DT141" s="30" t="str">
        <f t="shared" si="1957"/>
        <v/>
      </c>
      <c r="DU141" s="30" t="str">
        <f t="shared" si="1958"/>
        <v/>
      </c>
      <c r="DV141" s="30" t="str">
        <f t="shared" si="1959"/>
        <v/>
      </c>
      <c r="DW141" s="30" t="str">
        <f t="shared" si="1960"/>
        <v/>
      </c>
      <c r="DX141" s="30" t="str">
        <f t="shared" si="1961"/>
        <v/>
      </c>
      <c r="DY141" s="30" t="str">
        <f t="shared" si="1962"/>
        <v/>
      </c>
      <c r="DZ141" s="30" t="str">
        <f t="shared" si="1963"/>
        <v/>
      </c>
      <c r="EA141" s="30" t="str">
        <f t="shared" si="1964"/>
        <v/>
      </c>
      <c r="EB141" s="30" t="str">
        <f t="shared" si="1965"/>
        <v/>
      </c>
      <c r="EC141" s="30" t="str">
        <f t="shared" si="1966"/>
        <v/>
      </c>
      <c r="ED141" s="30" t="str">
        <f t="shared" si="1967"/>
        <v/>
      </c>
      <c r="EE141" s="30" t="str">
        <f t="shared" si="1968"/>
        <v/>
      </c>
      <c r="EF141" s="30" t="str">
        <f t="shared" si="1969"/>
        <v/>
      </c>
      <c r="EG141" s="30" t="str">
        <f t="shared" si="1970"/>
        <v/>
      </c>
      <c r="EH141" s="30" t="str">
        <f t="shared" si="1971"/>
        <v/>
      </c>
      <c r="EI141" s="30" t="str">
        <f t="shared" si="1972"/>
        <v/>
      </c>
      <c r="EJ141" s="30" t="str">
        <f t="shared" si="1973"/>
        <v/>
      </c>
      <c r="EK141" s="30" t="str">
        <f t="shared" si="1974"/>
        <v/>
      </c>
      <c r="EL141" s="30" t="str">
        <f t="shared" si="1975"/>
        <v/>
      </c>
      <c r="EM141" s="30" t="str">
        <f t="shared" si="1976"/>
        <v/>
      </c>
      <c r="EN141" s="30" t="str">
        <f t="shared" si="1977"/>
        <v/>
      </c>
      <c r="EO141" s="30" t="str">
        <f t="shared" si="1978"/>
        <v/>
      </c>
      <c r="EP141" s="30" t="str">
        <f t="shared" si="1979"/>
        <v/>
      </c>
      <c r="EQ141" s="30" t="str">
        <f t="shared" si="1980"/>
        <v/>
      </c>
      <c r="ER141" s="30" t="str">
        <f t="shared" si="1981"/>
        <v/>
      </c>
      <c r="ES141" s="30" t="str">
        <f t="shared" si="1982"/>
        <v/>
      </c>
      <c r="ET141" s="30" t="str">
        <f t="shared" si="1983"/>
        <v/>
      </c>
      <c r="EU141" s="30" t="str">
        <f t="shared" si="1984"/>
        <v/>
      </c>
      <c r="EV141" s="30" t="str">
        <f t="shared" si="1985"/>
        <v/>
      </c>
      <c r="EW141" s="30" t="str">
        <f t="shared" si="1986"/>
        <v/>
      </c>
      <c r="EX141" s="30" t="str">
        <f t="shared" si="1987"/>
        <v/>
      </c>
      <c r="EY141" s="30" t="str">
        <f t="shared" si="1988"/>
        <v/>
      </c>
      <c r="EZ141" s="30" t="str">
        <f t="shared" si="1989"/>
        <v/>
      </c>
      <c r="FA141" s="30" t="str">
        <f t="shared" si="1990"/>
        <v/>
      </c>
      <c r="FB141" s="30" t="str">
        <f t="shared" si="1991"/>
        <v/>
      </c>
      <c r="FC141" s="30" t="str">
        <f t="shared" si="1992"/>
        <v/>
      </c>
      <c r="FD141" s="30" t="str">
        <f t="shared" si="1993"/>
        <v/>
      </c>
      <c r="FE141" s="30" t="str">
        <f t="shared" si="1994"/>
        <v/>
      </c>
      <c r="FF141" s="30" t="str">
        <f t="shared" si="1995"/>
        <v/>
      </c>
      <c r="FG141" s="30" t="str">
        <f t="shared" si="1996"/>
        <v/>
      </c>
      <c r="FH141" s="30" t="str">
        <f t="shared" si="1997"/>
        <v/>
      </c>
      <c r="FI141" s="30" t="str">
        <f t="shared" si="1998"/>
        <v/>
      </c>
      <c r="FJ141" s="30" t="str">
        <f t="shared" si="1999"/>
        <v/>
      </c>
      <c r="FK141" s="30" t="str">
        <f t="shared" si="2000"/>
        <v/>
      </c>
      <c r="FL141" s="30" t="str">
        <f t="shared" si="2001"/>
        <v/>
      </c>
      <c r="FM141" s="30" t="str">
        <f t="shared" si="2002"/>
        <v/>
      </c>
      <c r="FN141" s="30" t="str">
        <f t="shared" si="2003"/>
        <v/>
      </c>
      <c r="FO141" s="30" t="str">
        <f t="shared" si="2004"/>
        <v/>
      </c>
      <c r="FP141" s="30" t="str">
        <f t="shared" si="2005"/>
        <v/>
      </c>
      <c r="FQ141" s="30" t="str">
        <f t="shared" si="2006"/>
        <v/>
      </c>
      <c r="FR141" s="30" t="str">
        <f t="shared" si="2007"/>
        <v/>
      </c>
      <c r="FS141" s="30" t="str">
        <f t="shared" si="2008"/>
        <v/>
      </c>
    </row>
    <row r="142" spans="1:175" ht="16.5">
      <c r="A142" s="88"/>
      <c r="B142" s="66"/>
      <c r="C142" s="88"/>
      <c r="T142" s="108"/>
      <c r="U142" s="32"/>
      <c r="CN142" s="7" t="str">
        <f t="shared" si="1933"/>
        <v>InitUnitState('',,,,,,,,,,)</v>
      </c>
      <c r="CO142" s="7" t="str">
        <f t="shared" si="1934"/>
        <v>InitUnitNormal('',,,,,,,,,,)</v>
      </c>
      <c r="CP142" s="7" t="str">
        <f t="shared" si="1935"/>
        <v>InitUnitMagic('',,,,,,,,,,)</v>
      </c>
      <c r="CQ142" s="7" t="str">
        <f t="shared" si="1936"/>
        <v>InitUnitAdd('',,,,,,,,,,)</v>
      </c>
      <c r="CR142" s="7" t="str">
        <f t="shared" si="1937"/>
        <v>InitEquipData('',,"",,,,,'','','','','','',"")</v>
      </c>
      <c r="CU142" s="45" t="str">
        <f t="shared" si="1938"/>
        <v>|n</v>
      </c>
      <c r="CW142" s="24"/>
      <c r="CX142" s="24"/>
      <c r="CY142" s="24"/>
      <c r="CZ142" s="24"/>
      <c r="DA142" s="24"/>
      <c r="DB142" s="30" t="str">
        <f t="shared" si="1939"/>
        <v/>
      </c>
      <c r="DC142" s="30" t="str">
        <f t="shared" si="1940"/>
        <v/>
      </c>
      <c r="DD142" s="30" t="str">
        <f t="shared" si="1941"/>
        <v/>
      </c>
      <c r="DE142" s="30" t="str">
        <f t="shared" si="1942"/>
        <v/>
      </c>
      <c r="DF142" s="30" t="str">
        <f t="shared" si="1943"/>
        <v/>
      </c>
      <c r="DG142" s="30" t="str">
        <f t="shared" si="1944"/>
        <v/>
      </c>
      <c r="DH142" s="30" t="str">
        <f t="shared" si="1945"/>
        <v/>
      </c>
      <c r="DI142" s="30" t="str">
        <f t="shared" si="1946"/>
        <v/>
      </c>
      <c r="DJ142" s="30" t="str">
        <f t="shared" si="1947"/>
        <v/>
      </c>
      <c r="DK142" s="30" t="str">
        <f t="shared" si="1948"/>
        <v/>
      </c>
      <c r="DL142" s="30" t="str">
        <f t="shared" si="1949"/>
        <v/>
      </c>
      <c r="DM142" s="30" t="str">
        <f t="shared" si="1950"/>
        <v/>
      </c>
      <c r="DN142" s="30" t="str">
        <f t="shared" si="1951"/>
        <v/>
      </c>
      <c r="DO142" s="30" t="str">
        <f t="shared" si="1952"/>
        <v/>
      </c>
      <c r="DP142" s="30" t="str">
        <f t="shared" si="1953"/>
        <v/>
      </c>
      <c r="DQ142" s="30" t="str">
        <f t="shared" si="1954"/>
        <v/>
      </c>
      <c r="DR142" s="30" t="str">
        <f t="shared" si="1955"/>
        <v/>
      </c>
      <c r="DS142" s="30" t="str">
        <f t="shared" si="1956"/>
        <v/>
      </c>
      <c r="DT142" s="30" t="str">
        <f t="shared" si="1957"/>
        <v/>
      </c>
      <c r="DU142" s="30" t="str">
        <f t="shared" si="1958"/>
        <v/>
      </c>
      <c r="DV142" s="30" t="str">
        <f t="shared" si="1959"/>
        <v/>
      </c>
      <c r="DW142" s="30" t="str">
        <f t="shared" si="1960"/>
        <v/>
      </c>
      <c r="DX142" s="30" t="str">
        <f t="shared" si="1961"/>
        <v/>
      </c>
      <c r="DY142" s="30" t="str">
        <f t="shared" si="1962"/>
        <v/>
      </c>
      <c r="DZ142" s="30" t="str">
        <f t="shared" si="1963"/>
        <v/>
      </c>
      <c r="EA142" s="30" t="str">
        <f t="shared" si="1964"/>
        <v/>
      </c>
      <c r="EB142" s="30" t="str">
        <f t="shared" si="1965"/>
        <v/>
      </c>
      <c r="EC142" s="30" t="str">
        <f t="shared" si="1966"/>
        <v/>
      </c>
      <c r="ED142" s="30" t="str">
        <f t="shared" si="1967"/>
        <v/>
      </c>
      <c r="EE142" s="30" t="str">
        <f t="shared" si="1968"/>
        <v/>
      </c>
      <c r="EF142" s="30" t="str">
        <f t="shared" si="1969"/>
        <v/>
      </c>
      <c r="EG142" s="30" t="str">
        <f t="shared" si="1970"/>
        <v/>
      </c>
      <c r="EH142" s="30" t="str">
        <f t="shared" si="1971"/>
        <v/>
      </c>
      <c r="EI142" s="30" t="str">
        <f t="shared" si="1972"/>
        <v/>
      </c>
      <c r="EJ142" s="30" t="str">
        <f t="shared" si="1973"/>
        <v/>
      </c>
      <c r="EK142" s="30" t="str">
        <f t="shared" si="1974"/>
        <v/>
      </c>
      <c r="EL142" s="30" t="str">
        <f t="shared" si="1975"/>
        <v/>
      </c>
      <c r="EM142" s="30" t="str">
        <f t="shared" si="1976"/>
        <v/>
      </c>
      <c r="EN142" s="30" t="str">
        <f t="shared" si="1977"/>
        <v/>
      </c>
      <c r="EO142" s="30" t="str">
        <f t="shared" si="1978"/>
        <v/>
      </c>
      <c r="EP142" s="30" t="str">
        <f t="shared" si="1979"/>
        <v/>
      </c>
      <c r="EQ142" s="30" t="str">
        <f t="shared" si="1980"/>
        <v/>
      </c>
      <c r="ER142" s="30" t="str">
        <f t="shared" si="1981"/>
        <v/>
      </c>
      <c r="ES142" s="30" t="str">
        <f t="shared" si="1982"/>
        <v/>
      </c>
      <c r="ET142" s="30" t="str">
        <f t="shared" si="1983"/>
        <v/>
      </c>
      <c r="EU142" s="30" t="str">
        <f t="shared" si="1984"/>
        <v/>
      </c>
      <c r="EV142" s="30" t="str">
        <f t="shared" si="1985"/>
        <v/>
      </c>
      <c r="EW142" s="30" t="str">
        <f t="shared" si="1986"/>
        <v/>
      </c>
      <c r="EX142" s="30" t="str">
        <f t="shared" si="1987"/>
        <v/>
      </c>
      <c r="EY142" s="30" t="str">
        <f t="shared" si="1988"/>
        <v/>
      </c>
      <c r="EZ142" s="30" t="str">
        <f t="shared" si="1989"/>
        <v/>
      </c>
      <c r="FA142" s="30" t="str">
        <f t="shared" si="1990"/>
        <v/>
      </c>
      <c r="FB142" s="30" t="str">
        <f t="shared" si="1991"/>
        <v/>
      </c>
      <c r="FC142" s="30" t="str">
        <f t="shared" si="1992"/>
        <v/>
      </c>
      <c r="FD142" s="30" t="str">
        <f t="shared" si="1993"/>
        <v/>
      </c>
      <c r="FE142" s="30" t="str">
        <f t="shared" si="1994"/>
        <v/>
      </c>
      <c r="FF142" s="30" t="str">
        <f t="shared" si="1995"/>
        <v/>
      </c>
      <c r="FG142" s="30" t="str">
        <f t="shared" si="1996"/>
        <v/>
      </c>
      <c r="FH142" s="30" t="str">
        <f t="shared" si="1997"/>
        <v/>
      </c>
      <c r="FI142" s="30" t="str">
        <f t="shared" si="1998"/>
        <v/>
      </c>
      <c r="FJ142" s="30" t="str">
        <f t="shared" si="1999"/>
        <v/>
      </c>
      <c r="FK142" s="30" t="str">
        <f t="shared" si="2000"/>
        <v/>
      </c>
      <c r="FL142" s="30" t="str">
        <f t="shared" si="2001"/>
        <v/>
      </c>
      <c r="FM142" s="30" t="str">
        <f t="shared" si="2002"/>
        <v/>
      </c>
      <c r="FN142" s="30" t="str">
        <f t="shared" si="2003"/>
        <v/>
      </c>
      <c r="FO142" s="30" t="str">
        <f t="shared" si="2004"/>
        <v/>
      </c>
      <c r="FP142" s="30" t="str">
        <f t="shared" si="2005"/>
        <v/>
      </c>
      <c r="FQ142" s="30" t="str">
        <f t="shared" si="2006"/>
        <v/>
      </c>
      <c r="FR142" s="30" t="str">
        <f t="shared" si="2007"/>
        <v/>
      </c>
      <c r="FS142" s="30" t="str">
        <f t="shared" si="2008"/>
        <v/>
      </c>
    </row>
    <row r="143" spans="1:175" ht="16.5">
      <c r="A143" s="88"/>
      <c r="B143" s="66"/>
      <c r="C143" s="88"/>
      <c r="T143" s="108"/>
      <c r="U143" s="32"/>
      <c r="CN143" s="7" t="str">
        <f t="shared" si="1933"/>
        <v>InitUnitState('',,,,,,,,,,)</v>
      </c>
      <c r="CO143" s="7" t="str">
        <f t="shared" si="1934"/>
        <v>InitUnitNormal('',,,,,,,,,,)</v>
      </c>
      <c r="CP143" s="7" t="str">
        <f t="shared" si="1935"/>
        <v>InitUnitMagic('',,,,,,,,,,)</v>
      </c>
      <c r="CQ143" s="7" t="str">
        <f t="shared" si="1936"/>
        <v>InitUnitAdd('',,,,,,,,,,)</v>
      </c>
      <c r="CR143" s="7" t="str">
        <f t="shared" si="1937"/>
        <v>InitEquipData('',,"",,,,,'','','','','','',"")</v>
      </c>
      <c r="CU143" s="45" t="str">
        <f t="shared" si="1938"/>
        <v>|n</v>
      </c>
      <c r="CW143" s="24"/>
      <c r="CX143" s="24"/>
      <c r="CY143" s="24"/>
      <c r="CZ143" s="24"/>
      <c r="DA143" s="24"/>
      <c r="DB143" s="30" t="str">
        <f t="shared" si="1939"/>
        <v/>
      </c>
      <c r="DC143" s="30" t="str">
        <f t="shared" si="1940"/>
        <v/>
      </c>
      <c r="DD143" s="30" t="str">
        <f t="shared" si="1941"/>
        <v/>
      </c>
      <c r="DE143" s="30" t="str">
        <f t="shared" si="1942"/>
        <v/>
      </c>
      <c r="DF143" s="30" t="str">
        <f t="shared" si="1943"/>
        <v/>
      </c>
      <c r="DG143" s="30" t="str">
        <f t="shared" si="1944"/>
        <v/>
      </c>
      <c r="DH143" s="30" t="str">
        <f t="shared" si="1945"/>
        <v/>
      </c>
      <c r="DI143" s="30" t="str">
        <f t="shared" si="1946"/>
        <v/>
      </c>
      <c r="DJ143" s="30" t="str">
        <f t="shared" si="1947"/>
        <v/>
      </c>
      <c r="DK143" s="30" t="str">
        <f t="shared" si="1948"/>
        <v/>
      </c>
      <c r="DL143" s="30" t="str">
        <f t="shared" si="1949"/>
        <v/>
      </c>
      <c r="DM143" s="30" t="str">
        <f t="shared" si="1950"/>
        <v/>
      </c>
      <c r="DN143" s="30" t="str">
        <f t="shared" si="1951"/>
        <v/>
      </c>
      <c r="DO143" s="30" t="str">
        <f t="shared" si="1952"/>
        <v/>
      </c>
      <c r="DP143" s="30" t="str">
        <f t="shared" si="1953"/>
        <v/>
      </c>
      <c r="DQ143" s="30" t="str">
        <f t="shared" si="1954"/>
        <v/>
      </c>
      <c r="DR143" s="30" t="str">
        <f t="shared" si="1955"/>
        <v/>
      </c>
      <c r="DS143" s="30" t="str">
        <f t="shared" si="1956"/>
        <v/>
      </c>
      <c r="DT143" s="30" t="str">
        <f t="shared" si="1957"/>
        <v/>
      </c>
      <c r="DU143" s="30" t="str">
        <f t="shared" si="1958"/>
        <v/>
      </c>
      <c r="DV143" s="30" t="str">
        <f t="shared" si="1959"/>
        <v/>
      </c>
      <c r="DW143" s="30" t="str">
        <f t="shared" si="1960"/>
        <v/>
      </c>
      <c r="DX143" s="30" t="str">
        <f t="shared" si="1961"/>
        <v/>
      </c>
      <c r="DY143" s="30" t="str">
        <f t="shared" si="1962"/>
        <v/>
      </c>
      <c r="DZ143" s="30" t="str">
        <f t="shared" si="1963"/>
        <v/>
      </c>
      <c r="EA143" s="30" t="str">
        <f t="shared" si="1964"/>
        <v/>
      </c>
      <c r="EB143" s="30" t="str">
        <f t="shared" si="1965"/>
        <v/>
      </c>
      <c r="EC143" s="30" t="str">
        <f t="shared" si="1966"/>
        <v/>
      </c>
      <c r="ED143" s="30" t="str">
        <f t="shared" si="1967"/>
        <v/>
      </c>
      <c r="EE143" s="30" t="str">
        <f t="shared" si="1968"/>
        <v/>
      </c>
      <c r="EF143" s="30" t="str">
        <f t="shared" si="1969"/>
        <v/>
      </c>
      <c r="EG143" s="30" t="str">
        <f t="shared" si="1970"/>
        <v/>
      </c>
      <c r="EH143" s="30" t="str">
        <f t="shared" si="1971"/>
        <v/>
      </c>
      <c r="EI143" s="30" t="str">
        <f t="shared" si="1972"/>
        <v/>
      </c>
      <c r="EJ143" s="30" t="str">
        <f t="shared" si="1973"/>
        <v/>
      </c>
      <c r="EK143" s="30" t="str">
        <f t="shared" si="1974"/>
        <v/>
      </c>
      <c r="EL143" s="30" t="str">
        <f t="shared" si="1975"/>
        <v/>
      </c>
      <c r="EM143" s="30" t="str">
        <f t="shared" si="1976"/>
        <v/>
      </c>
      <c r="EN143" s="30" t="str">
        <f t="shared" si="1977"/>
        <v/>
      </c>
      <c r="EO143" s="30" t="str">
        <f t="shared" si="1978"/>
        <v/>
      </c>
      <c r="EP143" s="30" t="str">
        <f t="shared" si="1979"/>
        <v/>
      </c>
      <c r="EQ143" s="30" t="str">
        <f t="shared" si="1980"/>
        <v/>
      </c>
      <c r="ER143" s="30" t="str">
        <f t="shared" si="1981"/>
        <v/>
      </c>
      <c r="ES143" s="30" t="str">
        <f t="shared" si="1982"/>
        <v/>
      </c>
      <c r="ET143" s="30" t="str">
        <f t="shared" si="1983"/>
        <v/>
      </c>
      <c r="EU143" s="30" t="str">
        <f t="shared" si="1984"/>
        <v/>
      </c>
      <c r="EV143" s="30" t="str">
        <f t="shared" si="1985"/>
        <v/>
      </c>
      <c r="EW143" s="30" t="str">
        <f t="shared" si="1986"/>
        <v/>
      </c>
      <c r="EX143" s="30" t="str">
        <f t="shared" si="1987"/>
        <v/>
      </c>
      <c r="EY143" s="30" t="str">
        <f t="shared" si="1988"/>
        <v/>
      </c>
      <c r="EZ143" s="30" t="str">
        <f t="shared" si="1989"/>
        <v/>
      </c>
      <c r="FA143" s="30" t="str">
        <f t="shared" si="1990"/>
        <v/>
      </c>
      <c r="FB143" s="30" t="str">
        <f t="shared" si="1991"/>
        <v/>
      </c>
      <c r="FC143" s="30" t="str">
        <f t="shared" si="1992"/>
        <v/>
      </c>
      <c r="FD143" s="30" t="str">
        <f t="shared" si="1993"/>
        <v/>
      </c>
      <c r="FE143" s="30" t="str">
        <f t="shared" si="1994"/>
        <v/>
      </c>
      <c r="FF143" s="30" t="str">
        <f t="shared" si="1995"/>
        <v/>
      </c>
      <c r="FG143" s="30" t="str">
        <f t="shared" si="1996"/>
        <v/>
      </c>
      <c r="FH143" s="30" t="str">
        <f t="shared" si="1997"/>
        <v/>
      </c>
      <c r="FI143" s="30" t="str">
        <f t="shared" si="1998"/>
        <v/>
      </c>
      <c r="FJ143" s="30" t="str">
        <f t="shared" si="1999"/>
        <v/>
      </c>
      <c r="FK143" s="30" t="str">
        <f t="shared" si="2000"/>
        <v/>
      </c>
      <c r="FL143" s="30" t="str">
        <f t="shared" si="2001"/>
        <v/>
      </c>
      <c r="FM143" s="30" t="str">
        <f t="shared" si="2002"/>
        <v/>
      </c>
      <c r="FN143" s="30" t="str">
        <f t="shared" si="2003"/>
        <v/>
      </c>
      <c r="FO143" s="30" t="str">
        <f t="shared" si="2004"/>
        <v/>
      </c>
      <c r="FP143" s="30" t="str">
        <f t="shared" si="2005"/>
        <v/>
      </c>
      <c r="FQ143" s="30" t="str">
        <f t="shared" si="2006"/>
        <v/>
      </c>
      <c r="FR143" s="30" t="str">
        <f t="shared" si="2007"/>
        <v/>
      </c>
      <c r="FS143" s="30" t="str">
        <f t="shared" si="2008"/>
        <v/>
      </c>
    </row>
    <row r="144" spans="1:175" ht="16.5">
      <c r="A144" s="88"/>
      <c r="B144" s="66"/>
      <c r="C144" s="88"/>
      <c r="T144" s="108"/>
      <c r="U144" s="32"/>
      <c r="CN144" s="7" t="str">
        <f t="shared" si="1933"/>
        <v>InitUnitState('',,,,,,,,,,)</v>
      </c>
      <c r="CO144" s="7" t="str">
        <f t="shared" si="1934"/>
        <v>InitUnitNormal('',,,,,,,,,,)</v>
      </c>
      <c r="CP144" s="7" t="str">
        <f t="shared" si="1935"/>
        <v>InitUnitMagic('',,,,,,,,,,)</v>
      </c>
      <c r="CQ144" s="7" t="str">
        <f t="shared" si="1936"/>
        <v>InitUnitAdd('',,,,,,,,,,)</v>
      </c>
      <c r="CR144" s="7" t="str">
        <f t="shared" si="1937"/>
        <v>InitEquipData('',,"",,,,,'','','','','','',"")</v>
      </c>
      <c r="CU144" s="45" t="str">
        <f t="shared" si="1938"/>
        <v>|n</v>
      </c>
      <c r="CW144" s="24"/>
      <c r="CX144" s="24"/>
      <c r="CY144" s="24"/>
      <c r="CZ144" s="24"/>
      <c r="DA144" s="24"/>
      <c r="DB144" s="30" t="str">
        <f t="shared" si="1939"/>
        <v/>
      </c>
      <c r="DC144" s="30" t="str">
        <f t="shared" si="1940"/>
        <v/>
      </c>
      <c r="DD144" s="30" t="str">
        <f t="shared" si="1941"/>
        <v/>
      </c>
      <c r="DE144" s="30" t="str">
        <f t="shared" si="1942"/>
        <v/>
      </c>
      <c r="DF144" s="30" t="str">
        <f t="shared" si="1943"/>
        <v/>
      </c>
      <c r="DG144" s="30" t="str">
        <f t="shared" si="1944"/>
        <v/>
      </c>
      <c r="DH144" s="30" t="str">
        <f t="shared" si="1945"/>
        <v/>
      </c>
      <c r="DI144" s="30" t="str">
        <f t="shared" si="1946"/>
        <v/>
      </c>
      <c r="DJ144" s="30" t="str">
        <f t="shared" si="1947"/>
        <v/>
      </c>
      <c r="DK144" s="30" t="str">
        <f t="shared" si="1948"/>
        <v/>
      </c>
      <c r="DL144" s="30" t="str">
        <f t="shared" si="1949"/>
        <v/>
      </c>
      <c r="DM144" s="30" t="str">
        <f t="shared" si="1950"/>
        <v/>
      </c>
      <c r="DN144" s="30" t="str">
        <f t="shared" si="1951"/>
        <v/>
      </c>
      <c r="DO144" s="30" t="str">
        <f t="shared" si="1952"/>
        <v/>
      </c>
      <c r="DP144" s="30" t="str">
        <f t="shared" si="1953"/>
        <v/>
      </c>
      <c r="DQ144" s="30" t="str">
        <f t="shared" si="1954"/>
        <v/>
      </c>
      <c r="DR144" s="30" t="str">
        <f t="shared" si="1955"/>
        <v/>
      </c>
      <c r="DS144" s="30" t="str">
        <f t="shared" si="1956"/>
        <v/>
      </c>
      <c r="DT144" s="30" t="str">
        <f t="shared" si="1957"/>
        <v/>
      </c>
      <c r="DU144" s="30" t="str">
        <f t="shared" si="1958"/>
        <v/>
      </c>
      <c r="DV144" s="30" t="str">
        <f t="shared" si="1959"/>
        <v/>
      </c>
      <c r="DW144" s="30" t="str">
        <f t="shared" si="1960"/>
        <v/>
      </c>
      <c r="DX144" s="30" t="str">
        <f t="shared" si="1961"/>
        <v/>
      </c>
      <c r="DY144" s="30" t="str">
        <f t="shared" si="1962"/>
        <v/>
      </c>
      <c r="DZ144" s="30" t="str">
        <f t="shared" si="1963"/>
        <v/>
      </c>
      <c r="EA144" s="30" t="str">
        <f t="shared" si="1964"/>
        <v/>
      </c>
      <c r="EB144" s="30" t="str">
        <f t="shared" si="1965"/>
        <v/>
      </c>
      <c r="EC144" s="30" t="str">
        <f t="shared" si="1966"/>
        <v/>
      </c>
      <c r="ED144" s="30" t="str">
        <f t="shared" si="1967"/>
        <v/>
      </c>
      <c r="EE144" s="30" t="str">
        <f t="shared" si="1968"/>
        <v/>
      </c>
      <c r="EF144" s="30" t="str">
        <f t="shared" si="1969"/>
        <v/>
      </c>
      <c r="EG144" s="30" t="str">
        <f t="shared" si="1970"/>
        <v/>
      </c>
      <c r="EH144" s="30" t="str">
        <f t="shared" si="1971"/>
        <v/>
      </c>
      <c r="EI144" s="30" t="str">
        <f t="shared" si="1972"/>
        <v/>
      </c>
      <c r="EJ144" s="30" t="str">
        <f t="shared" si="1973"/>
        <v/>
      </c>
      <c r="EK144" s="30" t="str">
        <f t="shared" si="1974"/>
        <v/>
      </c>
      <c r="EL144" s="30" t="str">
        <f t="shared" si="1975"/>
        <v/>
      </c>
      <c r="EM144" s="30" t="str">
        <f t="shared" si="1976"/>
        <v/>
      </c>
      <c r="EN144" s="30" t="str">
        <f t="shared" si="1977"/>
        <v/>
      </c>
      <c r="EO144" s="30" t="str">
        <f t="shared" si="1978"/>
        <v/>
      </c>
      <c r="EP144" s="30" t="str">
        <f t="shared" si="1979"/>
        <v/>
      </c>
      <c r="EQ144" s="30" t="str">
        <f t="shared" si="1980"/>
        <v/>
      </c>
      <c r="ER144" s="30" t="str">
        <f t="shared" si="1981"/>
        <v/>
      </c>
      <c r="ES144" s="30" t="str">
        <f t="shared" si="1982"/>
        <v/>
      </c>
      <c r="ET144" s="30" t="str">
        <f t="shared" si="1983"/>
        <v/>
      </c>
      <c r="EU144" s="30" t="str">
        <f t="shared" si="1984"/>
        <v/>
      </c>
      <c r="EV144" s="30" t="str">
        <f t="shared" si="1985"/>
        <v/>
      </c>
      <c r="EW144" s="30" t="str">
        <f t="shared" si="1986"/>
        <v/>
      </c>
      <c r="EX144" s="30" t="str">
        <f t="shared" si="1987"/>
        <v/>
      </c>
      <c r="EY144" s="30" t="str">
        <f t="shared" si="1988"/>
        <v/>
      </c>
      <c r="EZ144" s="30" t="str">
        <f t="shared" si="1989"/>
        <v/>
      </c>
      <c r="FA144" s="30" t="str">
        <f t="shared" si="1990"/>
        <v/>
      </c>
      <c r="FB144" s="30" t="str">
        <f t="shared" si="1991"/>
        <v/>
      </c>
      <c r="FC144" s="30" t="str">
        <f t="shared" si="1992"/>
        <v/>
      </c>
      <c r="FD144" s="30" t="str">
        <f t="shared" si="1993"/>
        <v/>
      </c>
      <c r="FE144" s="30" t="str">
        <f t="shared" si="1994"/>
        <v/>
      </c>
      <c r="FF144" s="30" t="str">
        <f t="shared" si="1995"/>
        <v/>
      </c>
      <c r="FG144" s="30" t="str">
        <f t="shared" si="1996"/>
        <v/>
      </c>
      <c r="FH144" s="30" t="str">
        <f t="shared" si="1997"/>
        <v/>
      </c>
      <c r="FI144" s="30" t="str">
        <f t="shared" si="1998"/>
        <v/>
      </c>
      <c r="FJ144" s="30" t="str">
        <f t="shared" si="1999"/>
        <v/>
      </c>
      <c r="FK144" s="30" t="str">
        <f t="shared" si="2000"/>
        <v/>
      </c>
      <c r="FL144" s="30" t="str">
        <f t="shared" si="2001"/>
        <v/>
      </c>
      <c r="FM144" s="30" t="str">
        <f t="shared" si="2002"/>
        <v/>
      </c>
      <c r="FN144" s="30" t="str">
        <f t="shared" si="2003"/>
        <v/>
      </c>
      <c r="FO144" s="30" t="str">
        <f t="shared" si="2004"/>
        <v/>
      </c>
      <c r="FP144" s="30" t="str">
        <f t="shared" si="2005"/>
        <v/>
      </c>
      <c r="FQ144" s="30" t="str">
        <f t="shared" si="2006"/>
        <v/>
      </c>
      <c r="FR144" s="30" t="str">
        <f t="shared" si="2007"/>
        <v/>
      </c>
      <c r="FS144" s="30" t="str">
        <f t="shared" si="2008"/>
        <v/>
      </c>
    </row>
    <row r="145" spans="1:175" ht="16.5">
      <c r="A145" s="88"/>
      <c r="B145" s="66"/>
      <c r="C145" s="88"/>
      <c r="T145" s="109"/>
      <c r="U145" s="32"/>
      <c r="CN145" s="7" t="str">
        <f t="shared" ref="CN145:CN164" si="2009">"InitUnitState('"&amp;B145&amp;"',"&amp;V145&amp;","&amp;W145&amp;","&amp;X145&amp;","&amp;Y145&amp;","&amp;Z145&amp;","&amp;AA145&amp;","&amp;AB145&amp;","&amp;AC145&amp;","&amp;AD145&amp;","&amp;AE145&amp;")"</f>
        <v>InitUnitState('',,,,,,,,,,)</v>
      </c>
      <c r="CO145" s="7" t="str">
        <f t="shared" ref="CO145:CO164" si="2010">"InitUnitNormal('"&amp;B145&amp;"',"&amp;AF145&amp;","&amp;AG145&amp;","&amp;AH145&amp;","&amp;AI145&amp;","&amp;AJ145&amp;","&amp;AK145&amp;","&amp;AL145&amp;","&amp;AM145&amp;","&amp;AN145&amp;","&amp;AO145&amp;")"</f>
        <v>InitUnitNormal('',,,,,,,,,,)</v>
      </c>
      <c r="CP145" s="7" t="str">
        <f t="shared" ref="CP145:CP164" si="2011">"InitUnitMagic('"&amp;B145&amp;"',"&amp;AP145&amp;","&amp;AQ145&amp;","&amp;AR145&amp;","&amp;AS145&amp;","&amp;AT145&amp;","&amp;AU145&amp;","&amp;AV145&amp;","&amp;AW145&amp;","&amp;BI145&amp;","&amp;BJ145&amp;")"</f>
        <v>InitUnitMagic('',,,,,,,,,,)</v>
      </c>
      <c r="CQ145" s="7" t="str">
        <f t="shared" ref="CQ145:CQ164" si="2012">"InitUnitAdd('"&amp;B145&amp;"',"&amp;BK145&amp;","&amp;BL145&amp;","&amp;BM145&amp;","&amp;BN145&amp;","&amp;BO145&amp;","&amp;BP145&amp;","&amp;BQ145&amp;","&amp;BR145&amp;","&amp;BS145&amp;","&amp;BT145&amp;")"</f>
        <v>InitUnitAdd('',,,,,,,,,,)</v>
      </c>
      <c r="CR145" s="7" t="str">
        <f t="shared" ref="CR145:CR164" si="2013"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146&amp;CR$1&amp;")"</f>
        <v>InitEquipData('',,"",,,,,'','','','','','',"")</v>
      </c>
      <c r="CU145" s="45" t="str">
        <f t="shared" si="1938"/>
        <v>|n</v>
      </c>
      <c r="CW145" s="24"/>
      <c r="CX145" s="24"/>
      <c r="CY145" s="24"/>
      <c r="CZ145" s="24"/>
      <c r="DA145" s="24"/>
      <c r="DB145" s="30" t="str">
        <f t="shared" si="1939"/>
        <v/>
      </c>
      <c r="DC145" s="30" t="str">
        <f t="shared" si="1940"/>
        <v/>
      </c>
      <c r="DD145" s="30" t="str">
        <f t="shared" si="1941"/>
        <v/>
      </c>
      <c r="DE145" s="30" t="str">
        <f t="shared" si="1942"/>
        <v/>
      </c>
      <c r="DF145" s="30" t="str">
        <f t="shared" si="1943"/>
        <v/>
      </c>
      <c r="DG145" s="30" t="str">
        <f t="shared" si="1944"/>
        <v/>
      </c>
      <c r="DH145" s="30" t="str">
        <f t="shared" si="1945"/>
        <v/>
      </c>
      <c r="DI145" s="30" t="str">
        <f t="shared" si="1946"/>
        <v/>
      </c>
      <c r="DJ145" s="30" t="str">
        <f t="shared" si="1947"/>
        <v/>
      </c>
      <c r="DK145" s="30" t="str">
        <f t="shared" si="1948"/>
        <v/>
      </c>
      <c r="DL145" s="30" t="str">
        <f t="shared" si="1949"/>
        <v/>
      </c>
      <c r="DM145" s="30" t="str">
        <f t="shared" si="1950"/>
        <v/>
      </c>
      <c r="DN145" s="30" t="str">
        <f t="shared" si="1951"/>
        <v/>
      </c>
      <c r="DO145" s="30" t="str">
        <f t="shared" si="1952"/>
        <v/>
      </c>
      <c r="DP145" s="30" t="str">
        <f t="shared" si="1953"/>
        <v/>
      </c>
      <c r="DQ145" s="30" t="str">
        <f t="shared" si="1954"/>
        <v/>
      </c>
      <c r="DR145" s="30" t="str">
        <f t="shared" si="1955"/>
        <v/>
      </c>
      <c r="DS145" s="30" t="str">
        <f t="shared" si="1956"/>
        <v/>
      </c>
      <c r="DT145" s="30" t="str">
        <f t="shared" si="1957"/>
        <v/>
      </c>
      <c r="DU145" s="30" t="str">
        <f t="shared" si="1958"/>
        <v/>
      </c>
      <c r="DV145" s="30" t="str">
        <f t="shared" si="1959"/>
        <v/>
      </c>
      <c r="DW145" s="30" t="str">
        <f t="shared" si="1960"/>
        <v/>
      </c>
      <c r="DX145" s="30" t="str">
        <f t="shared" si="1961"/>
        <v/>
      </c>
      <c r="DY145" s="30" t="str">
        <f t="shared" si="1962"/>
        <v/>
      </c>
      <c r="DZ145" s="30" t="str">
        <f t="shared" si="1963"/>
        <v/>
      </c>
      <c r="EA145" s="30" t="str">
        <f t="shared" si="1964"/>
        <v/>
      </c>
      <c r="EB145" s="30" t="str">
        <f t="shared" si="1965"/>
        <v/>
      </c>
      <c r="EC145" s="30" t="str">
        <f t="shared" si="1966"/>
        <v/>
      </c>
      <c r="ED145" s="30" t="str">
        <f t="shared" si="1967"/>
        <v/>
      </c>
      <c r="EE145" s="30" t="str">
        <f t="shared" si="1968"/>
        <v/>
      </c>
      <c r="EF145" s="30" t="str">
        <f t="shared" si="1969"/>
        <v/>
      </c>
      <c r="EG145" s="30" t="str">
        <f t="shared" si="1970"/>
        <v/>
      </c>
      <c r="EH145" s="30" t="str">
        <f t="shared" si="1971"/>
        <v/>
      </c>
      <c r="EI145" s="30" t="str">
        <f t="shared" si="1972"/>
        <v/>
      </c>
      <c r="EJ145" s="30" t="str">
        <f t="shared" si="1973"/>
        <v/>
      </c>
      <c r="EK145" s="30" t="str">
        <f t="shared" si="1974"/>
        <v/>
      </c>
      <c r="EL145" s="30" t="str">
        <f t="shared" si="1975"/>
        <v/>
      </c>
      <c r="EM145" s="30" t="str">
        <f t="shared" si="1976"/>
        <v/>
      </c>
      <c r="EN145" s="30" t="str">
        <f t="shared" si="1977"/>
        <v/>
      </c>
      <c r="EO145" s="30" t="str">
        <f t="shared" si="1978"/>
        <v/>
      </c>
      <c r="EP145" s="30" t="str">
        <f t="shared" si="1979"/>
        <v/>
      </c>
      <c r="EQ145" s="30" t="str">
        <f t="shared" si="1980"/>
        <v/>
      </c>
      <c r="ER145" s="30" t="str">
        <f t="shared" si="1981"/>
        <v/>
      </c>
      <c r="ES145" s="30" t="str">
        <f t="shared" si="1982"/>
        <v/>
      </c>
      <c r="ET145" s="30" t="str">
        <f t="shared" si="1983"/>
        <v/>
      </c>
      <c r="EU145" s="30" t="str">
        <f t="shared" si="1984"/>
        <v/>
      </c>
      <c r="EV145" s="30" t="str">
        <f t="shared" si="1985"/>
        <v/>
      </c>
      <c r="EW145" s="30" t="str">
        <f t="shared" si="1986"/>
        <v/>
      </c>
      <c r="EX145" s="30" t="str">
        <f t="shared" si="1987"/>
        <v/>
      </c>
      <c r="EY145" s="30" t="str">
        <f t="shared" si="1988"/>
        <v/>
      </c>
      <c r="EZ145" s="30" t="str">
        <f t="shared" si="1989"/>
        <v/>
      </c>
      <c r="FA145" s="30" t="str">
        <f t="shared" si="1990"/>
        <v/>
      </c>
      <c r="FB145" s="30" t="str">
        <f t="shared" si="1991"/>
        <v/>
      </c>
      <c r="FC145" s="30" t="str">
        <f t="shared" si="1992"/>
        <v/>
      </c>
      <c r="FD145" s="30" t="str">
        <f t="shared" si="1993"/>
        <v/>
      </c>
      <c r="FE145" s="30" t="str">
        <f t="shared" si="1994"/>
        <v/>
      </c>
      <c r="FF145" s="30" t="str">
        <f t="shared" si="1995"/>
        <v/>
      </c>
      <c r="FG145" s="30" t="str">
        <f t="shared" si="1996"/>
        <v/>
      </c>
      <c r="FH145" s="30" t="str">
        <f t="shared" si="1997"/>
        <v/>
      </c>
      <c r="FI145" s="30" t="str">
        <f t="shared" si="1998"/>
        <v/>
      </c>
      <c r="FJ145" s="30" t="str">
        <f t="shared" si="1999"/>
        <v/>
      </c>
      <c r="FK145" s="30" t="str">
        <f t="shared" si="2000"/>
        <v/>
      </c>
      <c r="FL145" s="30" t="str">
        <f t="shared" si="2001"/>
        <v/>
      </c>
      <c r="FM145" s="30" t="str">
        <f t="shared" si="2002"/>
        <v/>
      </c>
      <c r="FN145" s="30" t="str">
        <f t="shared" si="2003"/>
        <v/>
      </c>
      <c r="FO145" s="30" t="str">
        <f t="shared" si="2004"/>
        <v/>
      </c>
      <c r="FP145" s="30" t="str">
        <f t="shared" si="2005"/>
        <v/>
      </c>
      <c r="FQ145" s="30" t="str">
        <f t="shared" si="2006"/>
        <v/>
      </c>
      <c r="FR145" s="30" t="str">
        <f t="shared" si="2007"/>
        <v/>
      </c>
      <c r="FS145" s="30" t="str">
        <f t="shared" si="2008"/>
        <v/>
      </c>
    </row>
    <row r="146" spans="1:175" ht="16.5">
      <c r="A146" s="88"/>
      <c r="B146" s="66"/>
      <c r="C146" s="88"/>
      <c r="T146" s="109"/>
      <c r="U146" s="32"/>
      <c r="CN146" s="7" t="str">
        <f t="shared" si="2009"/>
        <v>InitUnitState('',,,,,,,,,,)</v>
      </c>
      <c r="CO146" s="7" t="str">
        <f t="shared" si="2010"/>
        <v>InitUnitNormal('',,,,,,,,,,)</v>
      </c>
      <c r="CP146" s="7" t="str">
        <f t="shared" si="2011"/>
        <v>InitUnitMagic('',,,,,,,,,,)</v>
      </c>
      <c r="CQ146" s="7" t="str">
        <f t="shared" si="2012"/>
        <v>InitUnitAdd('',,,,,,,,,,)</v>
      </c>
      <c r="CR146" s="7" t="str">
        <f t="shared" si="2013"/>
        <v>InitEquipData('',,"",,,,,'','','','','','',"")</v>
      </c>
      <c r="CU146" s="45" t="str">
        <f t="shared" si="1938"/>
        <v>|n</v>
      </c>
      <c r="CW146" s="24"/>
      <c r="CX146" s="24"/>
      <c r="CY146" s="24"/>
      <c r="CZ146" s="24"/>
      <c r="DA146" s="24"/>
      <c r="DB146" s="30" t="str">
        <f t="shared" si="1939"/>
        <v/>
      </c>
      <c r="DC146" s="30" t="str">
        <f t="shared" si="1940"/>
        <v/>
      </c>
      <c r="DD146" s="30" t="str">
        <f t="shared" si="1941"/>
        <v/>
      </c>
      <c r="DE146" s="30" t="str">
        <f t="shared" si="1942"/>
        <v/>
      </c>
      <c r="DF146" s="30" t="str">
        <f t="shared" si="1943"/>
        <v/>
      </c>
      <c r="DG146" s="30" t="str">
        <f t="shared" si="1944"/>
        <v/>
      </c>
      <c r="DH146" s="30" t="str">
        <f t="shared" si="1945"/>
        <v/>
      </c>
      <c r="DI146" s="30" t="str">
        <f t="shared" si="1946"/>
        <v/>
      </c>
      <c r="DJ146" s="30" t="str">
        <f t="shared" si="1947"/>
        <v/>
      </c>
      <c r="DK146" s="30" t="str">
        <f t="shared" si="1948"/>
        <v/>
      </c>
      <c r="DL146" s="30" t="str">
        <f t="shared" si="1949"/>
        <v/>
      </c>
      <c r="DM146" s="30" t="str">
        <f t="shared" si="1950"/>
        <v/>
      </c>
      <c r="DN146" s="30" t="str">
        <f t="shared" si="1951"/>
        <v/>
      </c>
      <c r="DO146" s="30" t="str">
        <f t="shared" si="1952"/>
        <v/>
      </c>
      <c r="DP146" s="30" t="str">
        <f t="shared" si="1953"/>
        <v/>
      </c>
      <c r="DQ146" s="30" t="str">
        <f t="shared" si="1954"/>
        <v/>
      </c>
      <c r="DR146" s="30" t="str">
        <f t="shared" si="1955"/>
        <v/>
      </c>
      <c r="DS146" s="30" t="str">
        <f t="shared" si="1956"/>
        <v/>
      </c>
      <c r="DT146" s="30" t="str">
        <f t="shared" si="1957"/>
        <v/>
      </c>
      <c r="DU146" s="30" t="str">
        <f t="shared" si="1958"/>
        <v/>
      </c>
      <c r="DV146" s="30" t="str">
        <f t="shared" si="1959"/>
        <v/>
      </c>
      <c r="DW146" s="30" t="str">
        <f t="shared" si="1960"/>
        <v/>
      </c>
      <c r="DX146" s="30" t="str">
        <f t="shared" si="1961"/>
        <v/>
      </c>
      <c r="DY146" s="30" t="str">
        <f t="shared" si="1962"/>
        <v/>
      </c>
      <c r="DZ146" s="30" t="str">
        <f t="shared" si="1963"/>
        <v/>
      </c>
      <c r="EA146" s="30" t="str">
        <f t="shared" si="1964"/>
        <v/>
      </c>
      <c r="EB146" s="30" t="str">
        <f t="shared" si="1965"/>
        <v/>
      </c>
      <c r="EC146" s="30" t="str">
        <f t="shared" si="1966"/>
        <v/>
      </c>
      <c r="ED146" s="30" t="str">
        <f t="shared" si="1967"/>
        <v/>
      </c>
      <c r="EE146" s="30" t="str">
        <f t="shared" si="1968"/>
        <v/>
      </c>
      <c r="EF146" s="30" t="str">
        <f t="shared" si="1969"/>
        <v/>
      </c>
      <c r="EG146" s="30" t="str">
        <f t="shared" si="1970"/>
        <v/>
      </c>
      <c r="EH146" s="30" t="str">
        <f t="shared" si="1971"/>
        <v/>
      </c>
      <c r="EI146" s="30" t="str">
        <f t="shared" si="1972"/>
        <v/>
      </c>
      <c r="EJ146" s="30" t="str">
        <f t="shared" si="1973"/>
        <v/>
      </c>
      <c r="EK146" s="30" t="str">
        <f t="shared" si="1974"/>
        <v/>
      </c>
      <c r="EL146" s="30" t="str">
        <f t="shared" si="1975"/>
        <v/>
      </c>
      <c r="EM146" s="30" t="str">
        <f t="shared" si="1976"/>
        <v/>
      </c>
      <c r="EN146" s="30" t="str">
        <f t="shared" si="1977"/>
        <v/>
      </c>
      <c r="EO146" s="30" t="str">
        <f t="shared" si="1978"/>
        <v/>
      </c>
      <c r="EP146" s="30" t="str">
        <f t="shared" si="1979"/>
        <v/>
      </c>
      <c r="EQ146" s="30" t="str">
        <f t="shared" si="1980"/>
        <v/>
      </c>
      <c r="ER146" s="30" t="str">
        <f t="shared" si="1981"/>
        <v/>
      </c>
      <c r="ES146" s="30" t="str">
        <f t="shared" si="1982"/>
        <v/>
      </c>
      <c r="ET146" s="30" t="str">
        <f t="shared" si="1983"/>
        <v/>
      </c>
      <c r="EU146" s="30" t="str">
        <f t="shared" si="1984"/>
        <v/>
      </c>
      <c r="EV146" s="30" t="str">
        <f t="shared" si="1985"/>
        <v/>
      </c>
      <c r="EW146" s="30" t="str">
        <f t="shared" si="1986"/>
        <v/>
      </c>
      <c r="EX146" s="30" t="str">
        <f t="shared" si="1987"/>
        <v/>
      </c>
      <c r="EY146" s="30" t="str">
        <f t="shared" si="1988"/>
        <v/>
      </c>
      <c r="EZ146" s="30" t="str">
        <f t="shared" si="1989"/>
        <v/>
      </c>
      <c r="FA146" s="30" t="str">
        <f t="shared" si="1990"/>
        <v/>
      </c>
      <c r="FB146" s="30" t="str">
        <f t="shared" si="1991"/>
        <v/>
      </c>
      <c r="FC146" s="30" t="str">
        <f t="shared" si="1992"/>
        <v/>
      </c>
      <c r="FD146" s="30" t="str">
        <f t="shared" si="1993"/>
        <v/>
      </c>
      <c r="FE146" s="30" t="str">
        <f t="shared" si="1994"/>
        <v/>
      </c>
      <c r="FF146" s="30" t="str">
        <f t="shared" si="1995"/>
        <v/>
      </c>
      <c r="FG146" s="30" t="str">
        <f t="shared" si="1996"/>
        <v/>
      </c>
      <c r="FH146" s="30" t="str">
        <f t="shared" si="1997"/>
        <v/>
      </c>
      <c r="FI146" s="30" t="str">
        <f t="shared" si="1998"/>
        <v/>
      </c>
      <c r="FJ146" s="30" t="str">
        <f t="shared" si="1999"/>
        <v/>
      </c>
      <c r="FK146" s="30" t="str">
        <f t="shared" si="2000"/>
        <v/>
      </c>
      <c r="FL146" s="30" t="str">
        <f t="shared" si="2001"/>
        <v/>
      </c>
      <c r="FM146" s="30" t="str">
        <f t="shared" si="2002"/>
        <v/>
      </c>
      <c r="FN146" s="30" t="str">
        <f t="shared" si="2003"/>
        <v/>
      </c>
      <c r="FO146" s="30" t="str">
        <f t="shared" si="2004"/>
        <v/>
      </c>
      <c r="FP146" s="30" t="str">
        <f t="shared" si="2005"/>
        <v/>
      </c>
      <c r="FQ146" s="30" t="str">
        <f t="shared" si="2006"/>
        <v/>
      </c>
      <c r="FR146" s="30" t="str">
        <f t="shared" si="2007"/>
        <v/>
      </c>
      <c r="FS146" s="30" t="str">
        <f t="shared" si="2008"/>
        <v/>
      </c>
    </row>
    <row r="147" spans="1:175" ht="16.5">
      <c r="A147" s="88"/>
      <c r="B147" s="66"/>
      <c r="C147" s="88"/>
      <c r="T147" s="109"/>
      <c r="U147" s="32"/>
      <c r="CN147" s="7" t="str">
        <f t="shared" si="2009"/>
        <v>InitUnitState('',,,,,,,,,,)</v>
      </c>
      <c r="CO147" s="7" t="str">
        <f t="shared" si="2010"/>
        <v>InitUnitNormal('',,,,,,,,,,)</v>
      </c>
      <c r="CP147" s="7" t="str">
        <f t="shared" si="2011"/>
        <v>InitUnitMagic('',,,,,,,,,,)</v>
      </c>
      <c r="CQ147" s="7" t="str">
        <f t="shared" si="2012"/>
        <v>InitUnitAdd('',,,,,,,,,,)</v>
      </c>
      <c r="CR147" s="7" t="str">
        <f t="shared" si="2013"/>
        <v>InitEquipData('',,"",,,,,'','','','','','',"")</v>
      </c>
      <c r="CU147" s="45" t="str">
        <f t="shared" si="1938"/>
        <v>|n</v>
      </c>
      <c r="CW147" s="24"/>
      <c r="CX147" s="24"/>
      <c r="CY147" s="24"/>
      <c r="CZ147" s="24"/>
      <c r="DA147" s="24"/>
      <c r="DB147" s="30" t="str">
        <f t="shared" si="1939"/>
        <v/>
      </c>
      <c r="DC147" s="30" t="str">
        <f t="shared" si="1940"/>
        <v/>
      </c>
      <c r="DD147" s="30" t="str">
        <f t="shared" si="1941"/>
        <v/>
      </c>
      <c r="DE147" s="30" t="str">
        <f t="shared" si="1942"/>
        <v/>
      </c>
      <c r="DF147" s="30" t="str">
        <f t="shared" si="1943"/>
        <v/>
      </c>
      <c r="DG147" s="30" t="str">
        <f t="shared" si="1944"/>
        <v/>
      </c>
      <c r="DH147" s="30" t="str">
        <f t="shared" si="1945"/>
        <v/>
      </c>
      <c r="DI147" s="30" t="str">
        <f t="shared" si="1946"/>
        <v/>
      </c>
      <c r="DJ147" s="30" t="str">
        <f t="shared" si="1947"/>
        <v/>
      </c>
      <c r="DK147" s="30" t="str">
        <f t="shared" si="1948"/>
        <v/>
      </c>
      <c r="DL147" s="30" t="str">
        <f t="shared" si="1949"/>
        <v/>
      </c>
      <c r="DM147" s="30" t="str">
        <f t="shared" si="1950"/>
        <v/>
      </c>
      <c r="DN147" s="30" t="str">
        <f t="shared" si="1951"/>
        <v/>
      </c>
      <c r="DO147" s="30" t="str">
        <f t="shared" si="1952"/>
        <v/>
      </c>
      <c r="DP147" s="30" t="str">
        <f t="shared" si="1953"/>
        <v/>
      </c>
      <c r="DQ147" s="30" t="str">
        <f t="shared" si="1954"/>
        <v/>
      </c>
      <c r="DR147" s="30" t="str">
        <f t="shared" si="1955"/>
        <v/>
      </c>
      <c r="DS147" s="30" t="str">
        <f t="shared" si="1956"/>
        <v/>
      </c>
      <c r="DT147" s="30" t="str">
        <f t="shared" si="1957"/>
        <v/>
      </c>
      <c r="DU147" s="30" t="str">
        <f t="shared" si="1958"/>
        <v/>
      </c>
      <c r="DV147" s="30" t="str">
        <f t="shared" si="1959"/>
        <v/>
      </c>
      <c r="DW147" s="30" t="str">
        <f t="shared" si="1960"/>
        <v/>
      </c>
      <c r="DX147" s="30" t="str">
        <f t="shared" si="1961"/>
        <v/>
      </c>
      <c r="DY147" s="30" t="str">
        <f t="shared" si="1962"/>
        <v/>
      </c>
      <c r="DZ147" s="30" t="str">
        <f t="shared" si="1963"/>
        <v/>
      </c>
      <c r="EA147" s="30" t="str">
        <f t="shared" si="1964"/>
        <v/>
      </c>
      <c r="EB147" s="30" t="str">
        <f t="shared" si="1965"/>
        <v/>
      </c>
      <c r="EC147" s="30" t="str">
        <f t="shared" si="1966"/>
        <v/>
      </c>
      <c r="ED147" s="30" t="str">
        <f t="shared" si="1967"/>
        <v/>
      </c>
      <c r="EE147" s="30" t="str">
        <f t="shared" si="1968"/>
        <v/>
      </c>
      <c r="EF147" s="30" t="str">
        <f t="shared" si="1969"/>
        <v/>
      </c>
      <c r="EG147" s="30" t="str">
        <f t="shared" si="1970"/>
        <v/>
      </c>
      <c r="EH147" s="30" t="str">
        <f t="shared" si="1971"/>
        <v/>
      </c>
      <c r="EI147" s="30" t="str">
        <f t="shared" si="1972"/>
        <v/>
      </c>
      <c r="EJ147" s="30" t="str">
        <f t="shared" si="1973"/>
        <v/>
      </c>
      <c r="EK147" s="30" t="str">
        <f t="shared" si="1974"/>
        <v/>
      </c>
      <c r="EL147" s="30" t="str">
        <f t="shared" si="1975"/>
        <v/>
      </c>
      <c r="EM147" s="30" t="str">
        <f t="shared" si="1976"/>
        <v/>
      </c>
      <c r="EN147" s="30" t="str">
        <f t="shared" si="1977"/>
        <v/>
      </c>
      <c r="EO147" s="30" t="str">
        <f t="shared" si="1978"/>
        <v/>
      </c>
      <c r="EP147" s="30" t="str">
        <f t="shared" si="1979"/>
        <v/>
      </c>
      <c r="EQ147" s="30" t="str">
        <f t="shared" si="1980"/>
        <v/>
      </c>
      <c r="ER147" s="30" t="str">
        <f t="shared" si="1981"/>
        <v/>
      </c>
      <c r="ES147" s="30" t="str">
        <f t="shared" si="1982"/>
        <v/>
      </c>
      <c r="ET147" s="30" t="str">
        <f t="shared" si="1983"/>
        <v/>
      </c>
      <c r="EU147" s="30" t="str">
        <f t="shared" si="1984"/>
        <v/>
      </c>
      <c r="EV147" s="30" t="str">
        <f t="shared" si="1985"/>
        <v/>
      </c>
      <c r="EW147" s="30" t="str">
        <f t="shared" si="1986"/>
        <v/>
      </c>
      <c r="EX147" s="30" t="str">
        <f t="shared" si="1987"/>
        <v/>
      </c>
      <c r="EY147" s="30" t="str">
        <f t="shared" si="1988"/>
        <v/>
      </c>
      <c r="EZ147" s="30" t="str">
        <f t="shared" si="1989"/>
        <v/>
      </c>
      <c r="FA147" s="30" t="str">
        <f t="shared" si="1990"/>
        <v/>
      </c>
      <c r="FB147" s="30" t="str">
        <f t="shared" si="1991"/>
        <v/>
      </c>
      <c r="FC147" s="30" t="str">
        <f t="shared" si="1992"/>
        <v/>
      </c>
      <c r="FD147" s="30" t="str">
        <f t="shared" si="1993"/>
        <v/>
      </c>
      <c r="FE147" s="30" t="str">
        <f t="shared" si="1994"/>
        <v/>
      </c>
      <c r="FF147" s="30" t="str">
        <f t="shared" si="1995"/>
        <v/>
      </c>
      <c r="FG147" s="30" t="str">
        <f t="shared" si="1996"/>
        <v/>
      </c>
      <c r="FH147" s="30" t="str">
        <f t="shared" si="1997"/>
        <v/>
      </c>
      <c r="FI147" s="30" t="str">
        <f t="shared" si="1998"/>
        <v/>
      </c>
      <c r="FJ147" s="30" t="str">
        <f t="shared" si="1999"/>
        <v/>
      </c>
      <c r="FK147" s="30" t="str">
        <f t="shared" si="2000"/>
        <v/>
      </c>
      <c r="FL147" s="30" t="str">
        <f t="shared" si="2001"/>
        <v/>
      </c>
      <c r="FM147" s="30" t="str">
        <f t="shared" si="2002"/>
        <v/>
      </c>
      <c r="FN147" s="30" t="str">
        <f t="shared" si="2003"/>
        <v/>
      </c>
      <c r="FO147" s="30" t="str">
        <f t="shared" si="2004"/>
        <v/>
      </c>
      <c r="FP147" s="30" t="str">
        <f t="shared" si="2005"/>
        <v/>
      </c>
      <c r="FQ147" s="30" t="str">
        <f t="shared" si="2006"/>
        <v/>
      </c>
      <c r="FR147" s="30" t="str">
        <f t="shared" si="2007"/>
        <v/>
      </c>
      <c r="FS147" s="30" t="str">
        <f t="shared" si="2008"/>
        <v/>
      </c>
    </row>
    <row r="148" spans="1:175">
      <c r="A148" s="66"/>
      <c r="B148" s="66"/>
      <c r="C148" s="66"/>
      <c r="T148" s="100"/>
      <c r="U148" s="32"/>
      <c r="CN148" s="7" t="str">
        <f t="shared" si="2009"/>
        <v>InitUnitState('',,,,,,,,,,)</v>
      </c>
      <c r="CO148" s="7" t="str">
        <f t="shared" si="2010"/>
        <v>InitUnitNormal('',,,,,,,,,,)</v>
      </c>
      <c r="CP148" s="7" t="str">
        <f t="shared" si="2011"/>
        <v>InitUnitMagic('',,,,,,,,,,)</v>
      </c>
      <c r="CQ148" s="7" t="str">
        <f t="shared" si="2012"/>
        <v>InitUnitAdd('',,,,,,,,,,)</v>
      </c>
      <c r="CR148" s="7" t="str">
        <f t="shared" si="2013"/>
        <v>InitEquipData('',,"",,,,,'','','','','','',"")</v>
      </c>
      <c r="CU148" s="45" t="str">
        <f t="shared" si="1938"/>
        <v>|n</v>
      </c>
      <c r="CW148" s="24"/>
      <c r="CX148" s="24"/>
      <c r="CY148" s="24"/>
      <c r="CZ148" s="24"/>
      <c r="DA148" s="24"/>
      <c r="DB148" s="30" t="str">
        <f t="shared" si="1939"/>
        <v/>
      </c>
      <c r="DC148" s="30" t="str">
        <f t="shared" si="1940"/>
        <v/>
      </c>
      <c r="DD148" s="30" t="str">
        <f t="shared" si="1941"/>
        <v/>
      </c>
      <c r="DE148" s="30" t="str">
        <f t="shared" si="1942"/>
        <v/>
      </c>
      <c r="DF148" s="30" t="str">
        <f t="shared" si="1943"/>
        <v/>
      </c>
      <c r="DG148" s="30" t="str">
        <f t="shared" si="1944"/>
        <v/>
      </c>
      <c r="DH148" s="30" t="str">
        <f t="shared" si="1945"/>
        <v/>
      </c>
      <c r="DI148" s="30" t="str">
        <f t="shared" si="1946"/>
        <v/>
      </c>
      <c r="DJ148" s="30" t="str">
        <f t="shared" si="1947"/>
        <v/>
      </c>
      <c r="DK148" s="30" t="str">
        <f t="shared" si="1948"/>
        <v/>
      </c>
      <c r="DL148" s="30" t="str">
        <f t="shared" si="1949"/>
        <v/>
      </c>
      <c r="DM148" s="30" t="str">
        <f t="shared" si="1950"/>
        <v/>
      </c>
      <c r="DN148" s="30" t="str">
        <f t="shared" si="1951"/>
        <v/>
      </c>
      <c r="DO148" s="30" t="str">
        <f t="shared" si="1952"/>
        <v/>
      </c>
      <c r="DP148" s="30" t="str">
        <f t="shared" si="1953"/>
        <v/>
      </c>
      <c r="DQ148" s="30" t="str">
        <f t="shared" si="1954"/>
        <v/>
      </c>
      <c r="DR148" s="30" t="str">
        <f t="shared" si="1955"/>
        <v/>
      </c>
      <c r="DS148" s="30" t="str">
        <f t="shared" si="1956"/>
        <v/>
      </c>
      <c r="DT148" s="30" t="str">
        <f t="shared" si="1957"/>
        <v/>
      </c>
      <c r="DU148" s="30" t="str">
        <f t="shared" si="1958"/>
        <v/>
      </c>
      <c r="DV148" s="30" t="str">
        <f t="shared" si="1959"/>
        <v/>
      </c>
      <c r="DW148" s="30" t="str">
        <f t="shared" si="1960"/>
        <v/>
      </c>
      <c r="DX148" s="30" t="str">
        <f t="shared" si="1961"/>
        <v/>
      </c>
      <c r="DY148" s="30" t="str">
        <f t="shared" si="1962"/>
        <v/>
      </c>
      <c r="DZ148" s="30" t="str">
        <f t="shared" si="1963"/>
        <v/>
      </c>
      <c r="EA148" s="30" t="str">
        <f t="shared" si="1964"/>
        <v/>
      </c>
      <c r="EB148" s="30" t="str">
        <f t="shared" si="1965"/>
        <v/>
      </c>
      <c r="EC148" s="30" t="str">
        <f t="shared" si="1966"/>
        <v/>
      </c>
      <c r="ED148" s="30" t="str">
        <f t="shared" si="1967"/>
        <v/>
      </c>
      <c r="EE148" s="30" t="str">
        <f t="shared" si="1968"/>
        <v/>
      </c>
      <c r="EF148" s="30" t="str">
        <f t="shared" si="1969"/>
        <v/>
      </c>
      <c r="EG148" s="30" t="str">
        <f t="shared" si="1970"/>
        <v/>
      </c>
      <c r="EH148" s="30" t="str">
        <f t="shared" si="1971"/>
        <v/>
      </c>
      <c r="EI148" s="30" t="str">
        <f t="shared" si="1972"/>
        <v/>
      </c>
      <c r="EJ148" s="30" t="str">
        <f t="shared" si="1973"/>
        <v/>
      </c>
      <c r="EK148" s="30" t="str">
        <f t="shared" si="1974"/>
        <v/>
      </c>
      <c r="EL148" s="30" t="str">
        <f t="shared" si="1975"/>
        <v/>
      </c>
      <c r="EM148" s="30" t="str">
        <f t="shared" si="1976"/>
        <v/>
      </c>
      <c r="EN148" s="30" t="str">
        <f t="shared" si="1977"/>
        <v/>
      </c>
      <c r="EO148" s="30" t="str">
        <f t="shared" si="1978"/>
        <v/>
      </c>
      <c r="EP148" s="30" t="str">
        <f t="shared" si="1979"/>
        <v/>
      </c>
      <c r="EQ148" s="30" t="str">
        <f t="shared" si="1980"/>
        <v/>
      </c>
      <c r="ER148" s="30" t="str">
        <f t="shared" si="1981"/>
        <v/>
      </c>
      <c r="ES148" s="30" t="str">
        <f t="shared" si="1982"/>
        <v/>
      </c>
      <c r="ET148" s="30" t="str">
        <f t="shared" si="1983"/>
        <v/>
      </c>
      <c r="EU148" s="30" t="str">
        <f t="shared" si="1984"/>
        <v/>
      </c>
      <c r="EV148" s="30" t="str">
        <f t="shared" si="1985"/>
        <v/>
      </c>
      <c r="EW148" s="30" t="str">
        <f t="shared" si="1986"/>
        <v/>
      </c>
      <c r="EX148" s="30" t="str">
        <f t="shared" si="1987"/>
        <v/>
      </c>
      <c r="EY148" s="30" t="str">
        <f t="shared" si="1988"/>
        <v/>
      </c>
      <c r="EZ148" s="30" t="str">
        <f t="shared" si="1989"/>
        <v/>
      </c>
      <c r="FA148" s="30" t="str">
        <f t="shared" si="1990"/>
        <v/>
      </c>
      <c r="FB148" s="30" t="str">
        <f t="shared" si="1991"/>
        <v/>
      </c>
      <c r="FC148" s="30" t="str">
        <f t="shared" si="1992"/>
        <v/>
      </c>
      <c r="FD148" s="30" t="str">
        <f t="shared" si="1993"/>
        <v/>
      </c>
      <c r="FE148" s="30" t="str">
        <f t="shared" si="1994"/>
        <v/>
      </c>
      <c r="FF148" s="30" t="str">
        <f t="shared" si="1995"/>
        <v/>
      </c>
      <c r="FG148" s="30" t="str">
        <f t="shared" si="1996"/>
        <v/>
      </c>
      <c r="FH148" s="30" t="str">
        <f t="shared" si="1997"/>
        <v/>
      </c>
      <c r="FI148" s="30" t="str">
        <f t="shared" si="1998"/>
        <v/>
      </c>
      <c r="FJ148" s="30" t="str">
        <f t="shared" si="1999"/>
        <v/>
      </c>
      <c r="FK148" s="30" t="str">
        <f t="shared" si="2000"/>
        <v/>
      </c>
      <c r="FL148" s="30" t="str">
        <f t="shared" si="2001"/>
        <v/>
      </c>
      <c r="FM148" s="30" t="str">
        <f t="shared" si="2002"/>
        <v/>
      </c>
      <c r="FN148" s="30" t="str">
        <f t="shared" si="2003"/>
        <v/>
      </c>
      <c r="FO148" s="30" t="str">
        <f t="shared" si="2004"/>
        <v/>
      </c>
      <c r="FP148" s="30" t="str">
        <f t="shared" si="2005"/>
        <v/>
      </c>
      <c r="FQ148" s="30" t="str">
        <f t="shared" si="2006"/>
        <v/>
      </c>
      <c r="FR148" s="30" t="str">
        <f t="shared" si="2007"/>
        <v/>
      </c>
      <c r="FS148" s="30" t="str">
        <f t="shared" si="2008"/>
        <v/>
      </c>
    </row>
    <row r="149" spans="1:175">
      <c r="A149" s="66"/>
      <c r="B149" s="66"/>
      <c r="C149" s="66"/>
      <c r="T149" s="100"/>
      <c r="U149" s="32"/>
      <c r="CN149" s="7" t="str">
        <f t="shared" si="2009"/>
        <v>InitUnitState('',,,,,,,,,,)</v>
      </c>
      <c r="CO149" s="7" t="str">
        <f t="shared" si="2010"/>
        <v>InitUnitNormal('',,,,,,,,,,)</v>
      </c>
      <c r="CP149" s="7" t="str">
        <f t="shared" si="2011"/>
        <v>InitUnitMagic('',,,,,,,,,,)</v>
      </c>
      <c r="CQ149" s="7" t="str">
        <f t="shared" si="2012"/>
        <v>InitUnitAdd('',,,,,,,,,,)</v>
      </c>
      <c r="CR149" s="7" t="str">
        <f t="shared" si="2013"/>
        <v>InitEquipData('',,"",,,,,'','','','','','',"")</v>
      </c>
      <c r="CU149" s="45" t="str">
        <f t="shared" si="1938"/>
        <v>|n</v>
      </c>
      <c r="CW149" s="24"/>
      <c r="CX149" s="24"/>
      <c r="CY149" s="24"/>
      <c r="CZ149" s="24"/>
      <c r="DA149" s="24"/>
      <c r="DB149" s="30" t="str">
        <f t="shared" si="1939"/>
        <v/>
      </c>
      <c r="DC149" s="30" t="str">
        <f t="shared" si="1940"/>
        <v/>
      </c>
      <c r="DD149" s="30" t="str">
        <f t="shared" si="1941"/>
        <v/>
      </c>
      <c r="DE149" s="30" t="str">
        <f t="shared" si="1942"/>
        <v/>
      </c>
      <c r="DF149" s="30" t="str">
        <f t="shared" si="1943"/>
        <v/>
      </c>
      <c r="DG149" s="30" t="str">
        <f t="shared" si="1944"/>
        <v/>
      </c>
      <c r="DH149" s="30" t="str">
        <f t="shared" si="1945"/>
        <v/>
      </c>
      <c r="DI149" s="30" t="str">
        <f t="shared" si="1946"/>
        <v/>
      </c>
      <c r="DJ149" s="30" t="str">
        <f t="shared" si="1947"/>
        <v/>
      </c>
      <c r="DK149" s="30" t="str">
        <f t="shared" si="1948"/>
        <v/>
      </c>
      <c r="DL149" s="30" t="str">
        <f t="shared" si="1949"/>
        <v/>
      </c>
      <c r="DM149" s="30" t="str">
        <f t="shared" si="1950"/>
        <v/>
      </c>
      <c r="DN149" s="30" t="str">
        <f t="shared" si="1951"/>
        <v/>
      </c>
      <c r="DO149" s="30" t="str">
        <f t="shared" si="1952"/>
        <v/>
      </c>
      <c r="DP149" s="30" t="str">
        <f t="shared" si="1953"/>
        <v/>
      </c>
      <c r="DQ149" s="30" t="str">
        <f t="shared" si="1954"/>
        <v/>
      </c>
      <c r="DR149" s="30" t="str">
        <f t="shared" si="1955"/>
        <v/>
      </c>
      <c r="DS149" s="30" t="str">
        <f t="shared" si="1956"/>
        <v/>
      </c>
      <c r="DT149" s="30" t="str">
        <f t="shared" si="1957"/>
        <v/>
      </c>
      <c r="DU149" s="30" t="str">
        <f t="shared" si="1958"/>
        <v/>
      </c>
      <c r="DV149" s="30" t="str">
        <f t="shared" si="1959"/>
        <v/>
      </c>
      <c r="DW149" s="30" t="str">
        <f t="shared" si="1960"/>
        <v/>
      </c>
      <c r="DX149" s="30" t="str">
        <f t="shared" si="1961"/>
        <v/>
      </c>
      <c r="DY149" s="30" t="str">
        <f t="shared" si="1962"/>
        <v/>
      </c>
      <c r="DZ149" s="30" t="str">
        <f t="shared" si="1963"/>
        <v/>
      </c>
      <c r="EA149" s="30" t="str">
        <f t="shared" si="1964"/>
        <v/>
      </c>
      <c r="EB149" s="30" t="str">
        <f t="shared" si="1965"/>
        <v/>
      </c>
      <c r="EC149" s="30" t="str">
        <f t="shared" si="1966"/>
        <v/>
      </c>
      <c r="ED149" s="30" t="str">
        <f t="shared" si="1967"/>
        <v/>
      </c>
      <c r="EE149" s="30" t="str">
        <f t="shared" si="1968"/>
        <v/>
      </c>
      <c r="EF149" s="30" t="str">
        <f t="shared" si="1969"/>
        <v/>
      </c>
      <c r="EG149" s="30" t="str">
        <f t="shared" si="1970"/>
        <v/>
      </c>
      <c r="EH149" s="30" t="str">
        <f t="shared" si="1971"/>
        <v/>
      </c>
      <c r="EI149" s="30" t="str">
        <f t="shared" si="1972"/>
        <v/>
      </c>
      <c r="EJ149" s="30" t="str">
        <f t="shared" si="1973"/>
        <v/>
      </c>
      <c r="EK149" s="30" t="str">
        <f t="shared" si="1974"/>
        <v/>
      </c>
      <c r="EL149" s="30" t="str">
        <f t="shared" si="1975"/>
        <v/>
      </c>
      <c r="EM149" s="30" t="str">
        <f t="shared" si="1976"/>
        <v/>
      </c>
      <c r="EN149" s="30" t="str">
        <f t="shared" si="1977"/>
        <v/>
      </c>
      <c r="EO149" s="30" t="str">
        <f t="shared" si="1978"/>
        <v/>
      </c>
      <c r="EP149" s="30" t="str">
        <f t="shared" si="1979"/>
        <v/>
      </c>
      <c r="EQ149" s="30" t="str">
        <f t="shared" si="1980"/>
        <v/>
      </c>
      <c r="ER149" s="30" t="str">
        <f t="shared" si="1981"/>
        <v/>
      </c>
      <c r="ES149" s="30" t="str">
        <f t="shared" si="1982"/>
        <v/>
      </c>
      <c r="ET149" s="30" t="str">
        <f t="shared" si="1983"/>
        <v/>
      </c>
      <c r="EU149" s="30" t="str">
        <f t="shared" si="1984"/>
        <v/>
      </c>
      <c r="EV149" s="30" t="str">
        <f t="shared" si="1985"/>
        <v/>
      </c>
      <c r="EW149" s="30" t="str">
        <f t="shared" si="1986"/>
        <v/>
      </c>
      <c r="EX149" s="30" t="str">
        <f t="shared" si="1987"/>
        <v/>
      </c>
      <c r="EY149" s="30" t="str">
        <f t="shared" si="1988"/>
        <v/>
      </c>
      <c r="EZ149" s="30" t="str">
        <f t="shared" si="1989"/>
        <v/>
      </c>
      <c r="FA149" s="30" t="str">
        <f t="shared" si="1990"/>
        <v/>
      </c>
      <c r="FB149" s="30" t="str">
        <f t="shared" si="1991"/>
        <v/>
      </c>
      <c r="FC149" s="30" t="str">
        <f t="shared" si="1992"/>
        <v/>
      </c>
      <c r="FD149" s="30" t="str">
        <f t="shared" si="1993"/>
        <v/>
      </c>
      <c r="FE149" s="30" t="str">
        <f t="shared" si="1994"/>
        <v/>
      </c>
      <c r="FF149" s="30" t="str">
        <f t="shared" si="1995"/>
        <v/>
      </c>
      <c r="FG149" s="30" t="str">
        <f t="shared" si="1996"/>
        <v/>
      </c>
      <c r="FH149" s="30" t="str">
        <f t="shared" si="1997"/>
        <v/>
      </c>
      <c r="FI149" s="30" t="str">
        <f t="shared" si="1998"/>
        <v/>
      </c>
      <c r="FJ149" s="30" t="str">
        <f t="shared" si="1999"/>
        <v/>
      </c>
      <c r="FK149" s="30" t="str">
        <f t="shared" si="2000"/>
        <v/>
      </c>
      <c r="FL149" s="30" t="str">
        <f t="shared" si="2001"/>
        <v/>
      </c>
      <c r="FM149" s="30" t="str">
        <f t="shared" si="2002"/>
        <v/>
      </c>
      <c r="FN149" s="30" t="str">
        <f t="shared" si="2003"/>
        <v/>
      </c>
      <c r="FO149" s="30" t="str">
        <f t="shared" si="2004"/>
        <v/>
      </c>
      <c r="FP149" s="30" t="str">
        <f t="shared" si="2005"/>
        <v/>
      </c>
      <c r="FQ149" s="30" t="str">
        <f t="shared" si="2006"/>
        <v/>
      </c>
      <c r="FR149" s="30" t="str">
        <f t="shared" si="2007"/>
        <v/>
      </c>
      <c r="FS149" s="30" t="str">
        <f t="shared" si="2008"/>
        <v/>
      </c>
    </row>
    <row r="150" spans="1:175">
      <c r="A150" s="66"/>
      <c r="B150" s="66"/>
      <c r="C150" s="66"/>
      <c r="T150" s="100"/>
      <c r="U150" s="32"/>
      <c r="CN150" s="7" t="str">
        <f t="shared" si="2009"/>
        <v>InitUnitState('',,,,,,,,,,)</v>
      </c>
      <c r="CO150" s="7" t="str">
        <f t="shared" si="2010"/>
        <v>InitUnitNormal('',,,,,,,,,,)</v>
      </c>
      <c r="CP150" s="7" t="str">
        <f t="shared" si="2011"/>
        <v>InitUnitMagic('',,,,,,,,,,)</v>
      </c>
      <c r="CQ150" s="7" t="str">
        <f t="shared" si="2012"/>
        <v>InitUnitAdd('',,,,,,,,,,)</v>
      </c>
      <c r="CR150" s="7" t="str">
        <f t="shared" si="2013"/>
        <v>InitEquipData('',,"",,,,,'','','','','','',"")</v>
      </c>
      <c r="CU150" s="45" t="str">
        <f t="shared" si="1938"/>
        <v>|n</v>
      </c>
      <c r="CW150" s="24"/>
      <c r="CX150" s="24"/>
      <c r="CY150" s="24"/>
      <c r="CZ150" s="24"/>
      <c r="DA150" s="24"/>
      <c r="DB150" s="30" t="str">
        <f t="shared" si="1939"/>
        <v/>
      </c>
      <c r="DC150" s="30" t="str">
        <f t="shared" si="1940"/>
        <v/>
      </c>
      <c r="DD150" s="30" t="str">
        <f t="shared" si="1941"/>
        <v/>
      </c>
      <c r="DE150" s="30" t="str">
        <f t="shared" si="1942"/>
        <v/>
      </c>
      <c r="DF150" s="30" t="str">
        <f t="shared" si="1943"/>
        <v/>
      </c>
      <c r="DG150" s="30" t="str">
        <f t="shared" si="1944"/>
        <v/>
      </c>
      <c r="DH150" s="30" t="str">
        <f t="shared" si="1945"/>
        <v/>
      </c>
      <c r="DI150" s="30" t="str">
        <f t="shared" si="1946"/>
        <v/>
      </c>
      <c r="DJ150" s="30" t="str">
        <f t="shared" si="1947"/>
        <v/>
      </c>
      <c r="DK150" s="30" t="str">
        <f t="shared" si="1948"/>
        <v/>
      </c>
      <c r="DL150" s="30" t="str">
        <f t="shared" si="1949"/>
        <v/>
      </c>
      <c r="DM150" s="30" t="str">
        <f t="shared" si="1950"/>
        <v/>
      </c>
      <c r="DN150" s="30" t="str">
        <f t="shared" si="1951"/>
        <v/>
      </c>
      <c r="DO150" s="30" t="str">
        <f t="shared" si="1952"/>
        <v/>
      </c>
      <c r="DP150" s="30" t="str">
        <f t="shared" si="1953"/>
        <v/>
      </c>
      <c r="DQ150" s="30" t="str">
        <f t="shared" si="1954"/>
        <v/>
      </c>
      <c r="DR150" s="30" t="str">
        <f t="shared" si="1955"/>
        <v/>
      </c>
      <c r="DS150" s="30" t="str">
        <f t="shared" si="1956"/>
        <v/>
      </c>
      <c r="DT150" s="30" t="str">
        <f t="shared" si="1957"/>
        <v/>
      </c>
      <c r="DU150" s="30" t="str">
        <f t="shared" si="1958"/>
        <v/>
      </c>
      <c r="DV150" s="30" t="str">
        <f t="shared" si="1959"/>
        <v/>
      </c>
      <c r="DW150" s="30" t="str">
        <f t="shared" si="1960"/>
        <v/>
      </c>
      <c r="DX150" s="30" t="str">
        <f t="shared" si="1961"/>
        <v/>
      </c>
      <c r="DY150" s="30" t="str">
        <f t="shared" si="1962"/>
        <v/>
      </c>
      <c r="DZ150" s="30" t="str">
        <f t="shared" si="1963"/>
        <v/>
      </c>
      <c r="EA150" s="30" t="str">
        <f t="shared" si="1964"/>
        <v/>
      </c>
      <c r="EB150" s="30" t="str">
        <f t="shared" si="1965"/>
        <v/>
      </c>
      <c r="EC150" s="30" t="str">
        <f t="shared" si="1966"/>
        <v/>
      </c>
      <c r="ED150" s="30" t="str">
        <f t="shared" si="1967"/>
        <v/>
      </c>
      <c r="EE150" s="30" t="str">
        <f t="shared" si="1968"/>
        <v/>
      </c>
      <c r="EF150" s="30" t="str">
        <f t="shared" si="1969"/>
        <v/>
      </c>
      <c r="EG150" s="30" t="str">
        <f t="shared" si="1970"/>
        <v/>
      </c>
      <c r="EH150" s="30" t="str">
        <f t="shared" si="1971"/>
        <v/>
      </c>
      <c r="EI150" s="30" t="str">
        <f t="shared" si="1972"/>
        <v/>
      </c>
      <c r="EJ150" s="30" t="str">
        <f t="shared" si="1973"/>
        <v/>
      </c>
      <c r="EK150" s="30" t="str">
        <f t="shared" si="1974"/>
        <v/>
      </c>
      <c r="EL150" s="30" t="str">
        <f t="shared" si="1975"/>
        <v/>
      </c>
      <c r="EM150" s="30" t="str">
        <f t="shared" si="1976"/>
        <v/>
      </c>
      <c r="EN150" s="30" t="str">
        <f t="shared" si="1977"/>
        <v/>
      </c>
      <c r="EO150" s="30" t="str">
        <f t="shared" si="1978"/>
        <v/>
      </c>
      <c r="EP150" s="30" t="str">
        <f t="shared" si="1979"/>
        <v/>
      </c>
      <c r="EQ150" s="30" t="str">
        <f t="shared" si="1980"/>
        <v/>
      </c>
      <c r="ER150" s="30" t="str">
        <f t="shared" si="1981"/>
        <v/>
      </c>
      <c r="ES150" s="30" t="str">
        <f t="shared" si="1982"/>
        <v/>
      </c>
      <c r="ET150" s="30" t="str">
        <f t="shared" si="1983"/>
        <v/>
      </c>
      <c r="EU150" s="30" t="str">
        <f t="shared" si="1984"/>
        <v/>
      </c>
      <c r="EV150" s="30" t="str">
        <f t="shared" si="1985"/>
        <v/>
      </c>
      <c r="EW150" s="30" t="str">
        <f t="shared" si="1986"/>
        <v/>
      </c>
      <c r="EX150" s="30" t="str">
        <f t="shared" si="1987"/>
        <v/>
      </c>
      <c r="EY150" s="30" t="str">
        <f t="shared" si="1988"/>
        <v/>
      </c>
      <c r="EZ150" s="30" t="str">
        <f t="shared" si="1989"/>
        <v/>
      </c>
      <c r="FA150" s="30" t="str">
        <f t="shared" si="1990"/>
        <v/>
      </c>
      <c r="FB150" s="30" t="str">
        <f t="shared" si="1991"/>
        <v/>
      </c>
      <c r="FC150" s="30" t="str">
        <f t="shared" si="1992"/>
        <v/>
      </c>
      <c r="FD150" s="30" t="str">
        <f t="shared" si="1993"/>
        <v/>
      </c>
      <c r="FE150" s="30" t="str">
        <f t="shared" si="1994"/>
        <v/>
      </c>
      <c r="FF150" s="30" t="str">
        <f t="shared" si="1995"/>
        <v/>
      </c>
      <c r="FG150" s="30" t="str">
        <f t="shared" si="1996"/>
        <v/>
      </c>
      <c r="FH150" s="30" t="str">
        <f t="shared" si="1997"/>
        <v/>
      </c>
      <c r="FI150" s="30" t="str">
        <f t="shared" si="1998"/>
        <v/>
      </c>
      <c r="FJ150" s="30" t="str">
        <f t="shared" si="1999"/>
        <v/>
      </c>
      <c r="FK150" s="30" t="str">
        <f t="shared" si="2000"/>
        <v/>
      </c>
      <c r="FL150" s="30" t="str">
        <f t="shared" si="2001"/>
        <v/>
      </c>
      <c r="FM150" s="30" t="str">
        <f t="shared" si="2002"/>
        <v/>
      </c>
      <c r="FN150" s="30" t="str">
        <f t="shared" si="2003"/>
        <v/>
      </c>
      <c r="FO150" s="30" t="str">
        <f t="shared" si="2004"/>
        <v/>
      </c>
      <c r="FP150" s="30" t="str">
        <f t="shared" si="2005"/>
        <v/>
      </c>
      <c r="FQ150" s="30" t="str">
        <f t="shared" si="2006"/>
        <v/>
      </c>
      <c r="FR150" s="30" t="str">
        <f t="shared" si="2007"/>
        <v/>
      </c>
      <c r="FS150" s="30" t="str">
        <f t="shared" si="2008"/>
        <v/>
      </c>
    </row>
    <row r="151" spans="1:175">
      <c r="A151" s="66"/>
      <c r="B151" s="66"/>
      <c r="C151" s="66"/>
      <c r="T151" s="100"/>
      <c r="U151" s="32"/>
      <c r="CN151" s="7" t="str">
        <f t="shared" si="2009"/>
        <v>InitUnitState('',,,,,,,,,,)</v>
      </c>
      <c r="CO151" s="7" t="str">
        <f t="shared" si="2010"/>
        <v>InitUnitNormal('',,,,,,,,,,)</v>
      </c>
      <c r="CP151" s="7" t="str">
        <f t="shared" si="2011"/>
        <v>InitUnitMagic('',,,,,,,,,,)</v>
      </c>
      <c r="CQ151" s="7" t="str">
        <f t="shared" si="2012"/>
        <v>InitUnitAdd('',,,,,,,,,,)</v>
      </c>
      <c r="CR151" s="7" t="str">
        <f t="shared" si="2013"/>
        <v>InitEquipData('',,"",,,,,'','','','','','',"")</v>
      </c>
      <c r="CU151" s="45" t="str">
        <f t="shared" ref="CU151:CU192" si="2014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W151" s="24"/>
      <c r="CX151" s="24"/>
      <c r="CY151" s="24"/>
      <c r="CZ151" s="24"/>
      <c r="DA151" s="24"/>
      <c r="DB151" s="30" t="str">
        <f t="shared" ref="DB151:DB192" si="2015">IF(V151="","","|n"&amp;DB$2&amp;"+"&amp;V151&amp;DB$1)</f>
        <v/>
      </c>
      <c r="DC151" s="30" t="str">
        <f t="shared" ref="DC151:DC192" si="2016">IF(W151="","","|n"&amp;DC$2&amp;"+"&amp;W151&amp;DC$1)</f>
        <v/>
      </c>
      <c r="DD151" s="30" t="str">
        <f t="shared" ref="DD151:DD192" si="2017">IF(X151="","","|n"&amp;DD$2&amp;"+"&amp;X151&amp;DD$1)</f>
        <v/>
      </c>
      <c r="DE151" s="30" t="str">
        <f t="shared" ref="DE151:DE192" si="2018">IF(Y151="","","|n"&amp;DE$2&amp;"+"&amp;Y151&amp;DE$1)</f>
        <v/>
      </c>
      <c r="DF151" s="30" t="str">
        <f t="shared" ref="DF151:DF192" si="2019">IF(Z151="","","|n"&amp;DF$2&amp;"+"&amp;Z151&amp;DF$1)</f>
        <v/>
      </c>
      <c r="DG151" s="30" t="str">
        <f t="shared" ref="DG151:DG192" si="2020">IF(AA151="","","|n"&amp;DG$2&amp;"+"&amp;AA151&amp;DG$1)</f>
        <v/>
      </c>
      <c r="DH151" s="30" t="str">
        <f t="shared" ref="DH151:DH192" si="2021">IF(AB151="","","|n"&amp;DH$2&amp;"+"&amp;AB151&amp;DH$1)</f>
        <v/>
      </c>
      <c r="DI151" s="30" t="str">
        <f t="shared" ref="DI151:DI192" si="2022">IF(AC151="","","|n"&amp;DI$2&amp;"+"&amp;AC151&amp;DI$1)</f>
        <v/>
      </c>
      <c r="DJ151" s="30" t="str">
        <f t="shared" ref="DJ151:DJ192" si="2023">IF(AD151="","","|n"&amp;DJ$2&amp;"+"&amp;AD151&amp;DJ$1)</f>
        <v/>
      </c>
      <c r="DK151" s="30" t="str">
        <f t="shared" ref="DK151:DK192" si="2024">IF(AE151="","","|n"&amp;DK$2&amp;"+"&amp;AE151&amp;DK$1)</f>
        <v/>
      </c>
      <c r="DL151" s="30" t="str">
        <f t="shared" ref="DL151:DL192" si="2025">IF(AF151="","","|n"&amp;DL$2&amp;"+"&amp;AF151&amp;DL$1)</f>
        <v/>
      </c>
      <c r="DM151" s="30" t="str">
        <f t="shared" ref="DM151:DM192" si="2026">IF(AG151="","","|n"&amp;DM$2&amp;"+"&amp;AG151&amp;DM$1)</f>
        <v/>
      </c>
      <c r="DN151" s="30" t="str">
        <f t="shared" ref="DN151:DN192" si="2027">IF(AH151="","","|n"&amp;DN$2&amp;"+"&amp;AH151&amp;DN$1)</f>
        <v/>
      </c>
      <c r="DO151" s="30" t="str">
        <f t="shared" ref="DO151:DO192" si="2028">IF(AI151="","","|n"&amp;DO$2&amp;"+"&amp;AI151&amp;DO$1)</f>
        <v/>
      </c>
      <c r="DP151" s="30" t="str">
        <f t="shared" ref="DP151:DP192" si="2029">IF(AJ151="","","|n"&amp;DP$2&amp;"+"&amp;AJ151&amp;DP$1)</f>
        <v/>
      </c>
      <c r="DQ151" s="30" t="str">
        <f t="shared" ref="DQ151:DQ192" si="2030">IF(AK151="","","|n"&amp;DQ$2&amp;"+"&amp;AK151&amp;DQ$1)</f>
        <v/>
      </c>
      <c r="DR151" s="30" t="str">
        <f t="shared" ref="DR151:DR192" si="2031">IF(AL151="","","|n"&amp;DR$2&amp;"+"&amp;AL151&amp;DR$1)</f>
        <v/>
      </c>
      <c r="DS151" s="30" t="str">
        <f t="shared" ref="DS151:DS192" si="2032">IF(AM151="","","|n"&amp;DS$2&amp;"+"&amp;AM151&amp;DS$1)</f>
        <v/>
      </c>
      <c r="DT151" s="30" t="str">
        <f t="shared" ref="DT151:DT192" si="2033">IF(AN151="","","|n"&amp;DT$2&amp;"+"&amp;AN151&amp;DT$1)</f>
        <v/>
      </c>
      <c r="DU151" s="30" t="str">
        <f t="shared" ref="DU151:DU192" si="2034">IF(AO151="","","|n"&amp;DU$2&amp;"+"&amp;AO151&amp;DU$1)</f>
        <v/>
      </c>
      <c r="DV151" s="30" t="str">
        <f t="shared" ref="DV151:DV192" si="2035">IF(AP151="","","|n"&amp;DV$2&amp;"+"&amp;AP151&amp;DV$1)</f>
        <v/>
      </c>
      <c r="DW151" s="30" t="str">
        <f t="shared" ref="DW151:DW192" si="2036">IF(AQ151="","","|n"&amp;DW$2&amp;"+"&amp;AQ151&amp;DW$1)</f>
        <v/>
      </c>
      <c r="DX151" s="30" t="str">
        <f t="shared" ref="DX151:DX192" si="2037">IF(AR151="","","|n"&amp;DX$2&amp;"+"&amp;AR151&amp;DX$1)</f>
        <v/>
      </c>
      <c r="DY151" s="30" t="str">
        <f t="shared" ref="DY151:DY192" si="2038">IF(AS151="","","|n"&amp;DY$2&amp;"+"&amp;AS151&amp;DY$1)</f>
        <v/>
      </c>
      <c r="DZ151" s="30" t="str">
        <f t="shared" ref="DZ151:DZ192" si="2039">IF(AT151="","","|n"&amp;DZ$2&amp;"+"&amp;AT151&amp;DZ$1)</f>
        <v/>
      </c>
      <c r="EA151" s="30" t="str">
        <f t="shared" ref="EA151:EA192" si="2040">IF(AU151="","","|n"&amp;EA$2&amp;"+"&amp;AU151&amp;EA$1)</f>
        <v/>
      </c>
      <c r="EB151" s="30" t="str">
        <f t="shared" ref="EB151:EB192" si="2041">IF(AV151="","","|n"&amp;EB$2&amp;"+"&amp;AV151&amp;EB$1)</f>
        <v/>
      </c>
      <c r="EC151" s="30" t="str">
        <f t="shared" ref="EC151:EC192" si="2042">IF(AW151="","","|n"&amp;EC$2&amp;"+"&amp;AW151&amp;EC$1)</f>
        <v/>
      </c>
      <c r="ED151" s="30" t="str">
        <f t="shared" ref="ED151:ED192" si="2043">IF(AX151="","","|n"&amp;ED$2&amp;"+"&amp;AX151&amp;ED$1)</f>
        <v/>
      </c>
      <c r="EE151" s="30" t="str">
        <f t="shared" ref="EE151:EE192" si="2044">IF(AY151="","","|n"&amp;EE$2&amp;"+"&amp;AY151&amp;EE$1)</f>
        <v/>
      </c>
      <c r="EF151" s="30" t="str">
        <f t="shared" ref="EF151:EF192" si="2045">IF(AZ151="","","|n"&amp;EF$2&amp;"+"&amp;AZ151&amp;EF$1)</f>
        <v/>
      </c>
      <c r="EG151" s="30" t="str">
        <f t="shared" ref="EG151:EG192" si="2046">IF(BA151="","","|n"&amp;EG$2&amp;"+"&amp;BA151&amp;EG$1)</f>
        <v/>
      </c>
      <c r="EH151" s="30" t="str">
        <f t="shared" ref="EH151:EH192" si="2047">IF(BB151="","","|n"&amp;EH$2&amp;"+"&amp;BB151&amp;EH$1)</f>
        <v/>
      </c>
      <c r="EI151" s="30" t="str">
        <f t="shared" ref="EI151:EI192" si="2048">IF(BC151="","","|n"&amp;EI$2&amp;"+"&amp;BC151&amp;EI$1)</f>
        <v/>
      </c>
      <c r="EJ151" s="30" t="str">
        <f t="shared" ref="EJ151:EJ192" si="2049">IF(BD151="","","|n"&amp;EJ$2&amp;"+"&amp;BD151&amp;EJ$1)</f>
        <v/>
      </c>
      <c r="EK151" s="30" t="str">
        <f t="shared" ref="EK151:EK192" si="2050">IF(BE151="","","|n"&amp;EK$2&amp;"+"&amp;BE151&amp;EK$1)</f>
        <v/>
      </c>
      <c r="EL151" s="30" t="str">
        <f t="shared" ref="EL151:EL192" si="2051">IF(BF151="","","|n"&amp;EL$2&amp;"+"&amp;BF151&amp;EL$1)</f>
        <v/>
      </c>
      <c r="EM151" s="30" t="str">
        <f t="shared" ref="EM151:EM192" si="2052">IF(BG151="","","|n"&amp;EM$2&amp;"+"&amp;BG151&amp;EM$1)</f>
        <v/>
      </c>
      <c r="EN151" s="30" t="str">
        <f t="shared" ref="EN151:EN192" si="2053">IF(BH151="","","|n"&amp;EN$2&amp;"+"&amp;BH151&amp;EN$1)</f>
        <v/>
      </c>
      <c r="EO151" s="30" t="str">
        <f t="shared" ref="EO151:EO192" si="2054">IF(BI151="","","|n"&amp;EO$2&amp;"+"&amp;BI151&amp;EO$1)</f>
        <v/>
      </c>
      <c r="EP151" s="30" t="str">
        <f t="shared" ref="EP151:EP192" si="2055">IF(BJ151="","","|n"&amp;EP$2&amp;"+"&amp;BJ151&amp;EP$1)</f>
        <v/>
      </c>
      <c r="EQ151" s="30" t="str">
        <f t="shared" ref="EQ151:EQ192" si="2056">IF(BK151="","","|n"&amp;EQ$2&amp;"+"&amp;BK151&amp;EQ$1)</f>
        <v/>
      </c>
      <c r="ER151" s="30" t="str">
        <f t="shared" ref="ER151:ER192" si="2057">IF(BL151="","","|n"&amp;ER$2&amp;"+"&amp;BL151&amp;ER$1)</f>
        <v/>
      </c>
      <c r="ES151" s="30" t="str">
        <f t="shared" ref="ES151:ES192" si="2058">IF(BM151="","","|n"&amp;ES$2&amp;"+"&amp;BM151&amp;ES$1)</f>
        <v/>
      </c>
      <c r="ET151" s="30" t="str">
        <f t="shared" ref="ET151:ET192" si="2059">IF(BN151="","","|n"&amp;ET$2&amp;"+"&amp;BN151&amp;ET$1)</f>
        <v/>
      </c>
      <c r="EU151" s="30" t="str">
        <f t="shared" ref="EU151:EU192" si="2060">IF(BO151="","","|n"&amp;EU$2&amp;"+"&amp;BO151&amp;EU$1)</f>
        <v/>
      </c>
      <c r="EV151" s="30" t="str">
        <f t="shared" ref="EV151:EV192" si="2061">IF(BP151="","","|n"&amp;EV$2&amp;"+"&amp;BP151&amp;EV$1)</f>
        <v/>
      </c>
      <c r="EW151" s="30" t="str">
        <f t="shared" ref="EW151:EW192" si="2062">IF(BQ151="","","|n"&amp;EW$2&amp;"+"&amp;BQ151&amp;EW$1)</f>
        <v/>
      </c>
      <c r="EX151" s="30" t="str">
        <f t="shared" ref="EX151:EX192" si="2063">IF(BR151="","","|n"&amp;EX$2&amp;"+"&amp;BR151&amp;EX$1)</f>
        <v/>
      </c>
      <c r="EY151" s="30" t="str">
        <f t="shared" ref="EY151:EY192" si="2064">IF(BS151="","","|n"&amp;EY$2&amp;"+"&amp;BS151&amp;EY$1)</f>
        <v/>
      </c>
      <c r="EZ151" s="30" t="str">
        <f t="shared" ref="EZ151:EZ192" si="2065">IF(BT151="","","|n"&amp;EZ$2&amp;"+"&amp;BT151&amp;EZ$1)</f>
        <v/>
      </c>
      <c r="FA151" s="30" t="str">
        <f t="shared" ref="FA151:FA192" si="2066">IF(BU151="","","|n"&amp;FA$2&amp;"+"&amp;BU151&amp;FA$1)</f>
        <v/>
      </c>
      <c r="FB151" s="30" t="str">
        <f t="shared" ref="FB151:FB192" si="2067">IF(BV151="","","|n"&amp;FB$2&amp;"+"&amp;BV151&amp;FB$1)</f>
        <v/>
      </c>
      <c r="FC151" s="30" t="str">
        <f t="shared" ref="FC151:FC192" si="2068">IF(BW151="","","|n"&amp;FC$2&amp;"+"&amp;BW151&amp;FC$1)</f>
        <v/>
      </c>
      <c r="FD151" s="30" t="str">
        <f t="shared" ref="FD151:FD192" si="2069">IF(BX151="","","|n"&amp;FD$2&amp;"+"&amp;BX151&amp;FD$1)</f>
        <v/>
      </c>
      <c r="FE151" s="30" t="str">
        <f t="shared" ref="FE151:FE192" si="2070">IF(BY151="","","|n"&amp;FE$2&amp;"+"&amp;BY151&amp;FE$1)</f>
        <v/>
      </c>
      <c r="FF151" s="30" t="str">
        <f t="shared" ref="FF151:FF192" si="2071">IF(BZ151="","","|n"&amp;FF$2&amp;"+"&amp;BZ151&amp;FF$1)</f>
        <v/>
      </c>
      <c r="FG151" s="30" t="str">
        <f t="shared" ref="FG151:FG192" si="2072">IF(CA151="","","|n"&amp;FG$2&amp;"+"&amp;CA151&amp;FG$1)</f>
        <v/>
      </c>
      <c r="FH151" s="30" t="str">
        <f t="shared" ref="FH151:FH192" si="2073">IF(CB151="","","|n"&amp;FH$2&amp;"+"&amp;CB151&amp;FH$1)</f>
        <v/>
      </c>
      <c r="FI151" s="30" t="str">
        <f t="shared" ref="FI151:FI192" si="2074">IF(CC151="","","|n"&amp;FI$2&amp;"+"&amp;CC151&amp;FI$1)</f>
        <v/>
      </c>
      <c r="FJ151" s="30" t="str">
        <f t="shared" ref="FJ151:FJ192" si="2075">IF(CD151="","","|n"&amp;FJ$2&amp;"+"&amp;CD151&amp;FJ$1)</f>
        <v/>
      </c>
      <c r="FK151" s="30" t="str">
        <f t="shared" ref="FK151:FK192" si="2076">IF(CE151="","","|n"&amp;FK$2&amp;"+"&amp;CE151&amp;FK$1)</f>
        <v/>
      </c>
      <c r="FL151" s="30" t="str">
        <f t="shared" ref="FL151:FL192" si="2077">IF(CF151="","","|n"&amp;FL$2&amp;"+"&amp;CF151&amp;FL$1)</f>
        <v/>
      </c>
      <c r="FM151" s="30" t="str">
        <f t="shared" ref="FM151:FM192" si="2078">IF(CG151="","","|n"&amp;FM$2&amp;"+"&amp;CG151&amp;FM$1)</f>
        <v/>
      </c>
      <c r="FN151" s="30" t="str">
        <f t="shared" ref="FN151:FN192" si="2079">IF(CH151="","","|n"&amp;FN$2&amp;"+"&amp;CH151&amp;FN$1)</f>
        <v/>
      </c>
      <c r="FO151" s="30" t="str">
        <f t="shared" ref="FO151:FO192" si="2080">IF(CI151="","","|n"&amp;FO$2&amp;"+"&amp;CI151&amp;FO$1)</f>
        <v/>
      </c>
      <c r="FP151" s="30" t="str">
        <f t="shared" ref="FP151:FP192" si="2081">IF(CJ151="","","|n"&amp;FP$2&amp;"+"&amp;CJ151&amp;FP$1)</f>
        <v/>
      </c>
      <c r="FQ151" s="30" t="str">
        <f t="shared" ref="FQ151:FQ192" si="2082">IF(CK151="","","|n"&amp;FQ$2&amp;"+"&amp;CK151&amp;FQ$1)</f>
        <v/>
      </c>
      <c r="FR151" s="30" t="str">
        <f t="shared" ref="FR151:FR192" si="2083">IF(CL151="","","|n"&amp;FR$2&amp;"+"&amp;CL151&amp;FR$1)</f>
        <v/>
      </c>
      <c r="FS151" s="30" t="str">
        <f t="shared" ref="FS151:FS192" si="2084">IF(CM151="","","|n"&amp;FS$2&amp;"+"&amp;CM151&amp;FS$1)</f>
        <v/>
      </c>
    </row>
    <row r="152" spans="1:175">
      <c r="A152" s="66"/>
      <c r="B152" s="66"/>
      <c r="C152" s="66"/>
      <c r="T152" s="100"/>
      <c r="U152" s="32"/>
      <c r="CN152" s="7" t="str">
        <f t="shared" si="2009"/>
        <v>InitUnitState('',,,,,,,,,,)</v>
      </c>
      <c r="CO152" s="7" t="str">
        <f t="shared" si="2010"/>
        <v>InitUnitNormal('',,,,,,,,,,)</v>
      </c>
      <c r="CP152" s="7" t="str">
        <f t="shared" si="2011"/>
        <v>InitUnitMagic('',,,,,,,,,,)</v>
      </c>
      <c r="CQ152" s="7" t="str">
        <f t="shared" si="2012"/>
        <v>InitUnitAdd('',,,,,,,,,,)</v>
      </c>
      <c r="CR152" s="7" t="str">
        <f t="shared" si="2013"/>
        <v>InitEquipData('',,"",,,,,'','','','','','',"")</v>
      </c>
      <c r="CU152" s="45" t="str">
        <f t="shared" si="2014"/>
        <v>|n</v>
      </c>
      <c r="CW152" s="24"/>
      <c r="CX152" s="24"/>
      <c r="CY152" s="24"/>
      <c r="CZ152" s="24"/>
      <c r="DA152" s="24"/>
      <c r="DB152" s="30" t="str">
        <f t="shared" si="2015"/>
        <v/>
      </c>
      <c r="DC152" s="30" t="str">
        <f t="shared" si="2016"/>
        <v/>
      </c>
      <c r="DD152" s="30" t="str">
        <f t="shared" si="2017"/>
        <v/>
      </c>
      <c r="DE152" s="30" t="str">
        <f t="shared" si="2018"/>
        <v/>
      </c>
      <c r="DF152" s="30" t="str">
        <f t="shared" si="2019"/>
        <v/>
      </c>
      <c r="DG152" s="30" t="str">
        <f t="shared" si="2020"/>
        <v/>
      </c>
      <c r="DH152" s="30" t="str">
        <f t="shared" si="2021"/>
        <v/>
      </c>
      <c r="DI152" s="30" t="str">
        <f t="shared" si="2022"/>
        <v/>
      </c>
      <c r="DJ152" s="30" t="str">
        <f t="shared" si="2023"/>
        <v/>
      </c>
      <c r="DK152" s="30" t="str">
        <f t="shared" si="2024"/>
        <v/>
      </c>
      <c r="DL152" s="30" t="str">
        <f t="shared" si="2025"/>
        <v/>
      </c>
      <c r="DM152" s="30" t="str">
        <f t="shared" si="2026"/>
        <v/>
      </c>
      <c r="DN152" s="30" t="str">
        <f t="shared" si="2027"/>
        <v/>
      </c>
      <c r="DO152" s="30" t="str">
        <f t="shared" si="2028"/>
        <v/>
      </c>
      <c r="DP152" s="30" t="str">
        <f t="shared" si="2029"/>
        <v/>
      </c>
      <c r="DQ152" s="30" t="str">
        <f t="shared" si="2030"/>
        <v/>
      </c>
      <c r="DR152" s="30" t="str">
        <f t="shared" si="2031"/>
        <v/>
      </c>
      <c r="DS152" s="30" t="str">
        <f t="shared" si="2032"/>
        <v/>
      </c>
      <c r="DT152" s="30" t="str">
        <f t="shared" si="2033"/>
        <v/>
      </c>
      <c r="DU152" s="30" t="str">
        <f t="shared" si="2034"/>
        <v/>
      </c>
      <c r="DV152" s="30" t="str">
        <f t="shared" si="2035"/>
        <v/>
      </c>
      <c r="DW152" s="30" t="str">
        <f t="shared" si="2036"/>
        <v/>
      </c>
      <c r="DX152" s="30" t="str">
        <f t="shared" si="2037"/>
        <v/>
      </c>
      <c r="DY152" s="30" t="str">
        <f t="shared" si="2038"/>
        <v/>
      </c>
      <c r="DZ152" s="30" t="str">
        <f t="shared" si="2039"/>
        <v/>
      </c>
      <c r="EA152" s="30" t="str">
        <f t="shared" si="2040"/>
        <v/>
      </c>
      <c r="EB152" s="30" t="str">
        <f t="shared" si="2041"/>
        <v/>
      </c>
      <c r="EC152" s="30" t="str">
        <f t="shared" si="2042"/>
        <v/>
      </c>
      <c r="ED152" s="30" t="str">
        <f t="shared" si="2043"/>
        <v/>
      </c>
      <c r="EE152" s="30" t="str">
        <f t="shared" si="2044"/>
        <v/>
      </c>
      <c r="EF152" s="30" t="str">
        <f t="shared" si="2045"/>
        <v/>
      </c>
      <c r="EG152" s="30" t="str">
        <f t="shared" si="2046"/>
        <v/>
      </c>
      <c r="EH152" s="30" t="str">
        <f t="shared" si="2047"/>
        <v/>
      </c>
      <c r="EI152" s="30" t="str">
        <f t="shared" si="2048"/>
        <v/>
      </c>
      <c r="EJ152" s="30" t="str">
        <f t="shared" si="2049"/>
        <v/>
      </c>
      <c r="EK152" s="30" t="str">
        <f t="shared" si="2050"/>
        <v/>
      </c>
      <c r="EL152" s="30" t="str">
        <f t="shared" si="2051"/>
        <v/>
      </c>
      <c r="EM152" s="30" t="str">
        <f t="shared" si="2052"/>
        <v/>
      </c>
      <c r="EN152" s="30" t="str">
        <f t="shared" si="2053"/>
        <v/>
      </c>
      <c r="EO152" s="30" t="str">
        <f t="shared" si="2054"/>
        <v/>
      </c>
      <c r="EP152" s="30" t="str">
        <f t="shared" si="2055"/>
        <v/>
      </c>
      <c r="EQ152" s="30" t="str">
        <f t="shared" si="2056"/>
        <v/>
      </c>
      <c r="ER152" s="30" t="str">
        <f t="shared" si="2057"/>
        <v/>
      </c>
      <c r="ES152" s="30" t="str">
        <f t="shared" si="2058"/>
        <v/>
      </c>
      <c r="ET152" s="30" t="str">
        <f t="shared" si="2059"/>
        <v/>
      </c>
      <c r="EU152" s="30" t="str">
        <f t="shared" si="2060"/>
        <v/>
      </c>
      <c r="EV152" s="30" t="str">
        <f t="shared" si="2061"/>
        <v/>
      </c>
      <c r="EW152" s="30" t="str">
        <f t="shared" si="2062"/>
        <v/>
      </c>
      <c r="EX152" s="30" t="str">
        <f t="shared" si="2063"/>
        <v/>
      </c>
      <c r="EY152" s="30" t="str">
        <f t="shared" si="2064"/>
        <v/>
      </c>
      <c r="EZ152" s="30" t="str">
        <f t="shared" si="2065"/>
        <v/>
      </c>
      <c r="FA152" s="30" t="str">
        <f t="shared" si="2066"/>
        <v/>
      </c>
      <c r="FB152" s="30" t="str">
        <f t="shared" si="2067"/>
        <v/>
      </c>
      <c r="FC152" s="30" t="str">
        <f t="shared" si="2068"/>
        <v/>
      </c>
      <c r="FD152" s="30" t="str">
        <f t="shared" si="2069"/>
        <v/>
      </c>
      <c r="FE152" s="30" t="str">
        <f t="shared" si="2070"/>
        <v/>
      </c>
      <c r="FF152" s="30" t="str">
        <f t="shared" si="2071"/>
        <v/>
      </c>
      <c r="FG152" s="30" t="str">
        <f t="shared" si="2072"/>
        <v/>
      </c>
      <c r="FH152" s="30" t="str">
        <f t="shared" si="2073"/>
        <v/>
      </c>
      <c r="FI152" s="30" t="str">
        <f t="shared" si="2074"/>
        <v/>
      </c>
      <c r="FJ152" s="30" t="str">
        <f t="shared" si="2075"/>
        <v/>
      </c>
      <c r="FK152" s="30" t="str">
        <f t="shared" si="2076"/>
        <v/>
      </c>
      <c r="FL152" s="30" t="str">
        <f t="shared" si="2077"/>
        <v/>
      </c>
      <c r="FM152" s="30" t="str">
        <f t="shared" si="2078"/>
        <v/>
      </c>
      <c r="FN152" s="30" t="str">
        <f t="shared" si="2079"/>
        <v/>
      </c>
      <c r="FO152" s="30" t="str">
        <f t="shared" si="2080"/>
        <v/>
      </c>
      <c r="FP152" s="30" t="str">
        <f t="shared" si="2081"/>
        <v/>
      </c>
      <c r="FQ152" s="30" t="str">
        <f t="shared" si="2082"/>
        <v/>
      </c>
      <c r="FR152" s="30" t="str">
        <f t="shared" si="2083"/>
        <v/>
      </c>
      <c r="FS152" s="30" t="str">
        <f t="shared" si="2084"/>
        <v/>
      </c>
    </row>
    <row r="153" spans="1:175">
      <c r="A153" s="66"/>
      <c r="B153" s="66"/>
      <c r="C153" s="66"/>
      <c r="T153" s="100"/>
      <c r="U153" s="32"/>
      <c r="CN153" s="7" t="str">
        <f t="shared" si="2009"/>
        <v>InitUnitState('',,,,,,,,,,)</v>
      </c>
      <c r="CO153" s="7" t="str">
        <f t="shared" si="2010"/>
        <v>InitUnitNormal('',,,,,,,,,,)</v>
      </c>
      <c r="CP153" s="7" t="str">
        <f t="shared" si="2011"/>
        <v>InitUnitMagic('',,,,,,,,,,)</v>
      </c>
      <c r="CQ153" s="7" t="str">
        <f t="shared" si="2012"/>
        <v>InitUnitAdd('',,,,,,,,,,)</v>
      </c>
      <c r="CR153" s="7" t="str">
        <f t="shared" si="2013"/>
        <v>InitEquipData('',,"",,,,,'','','','','','',"")</v>
      </c>
      <c r="CU153" s="45" t="str">
        <f t="shared" si="2014"/>
        <v>|n</v>
      </c>
      <c r="CW153" s="24"/>
      <c r="CX153" s="24"/>
      <c r="CY153" s="24"/>
      <c r="CZ153" s="24"/>
      <c r="DA153" s="24"/>
      <c r="DB153" s="30" t="str">
        <f t="shared" si="2015"/>
        <v/>
      </c>
      <c r="DC153" s="30" t="str">
        <f t="shared" si="2016"/>
        <v/>
      </c>
      <c r="DD153" s="30" t="str">
        <f t="shared" si="2017"/>
        <v/>
      </c>
      <c r="DE153" s="30" t="str">
        <f t="shared" si="2018"/>
        <v/>
      </c>
      <c r="DF153" s="30" t="str">
        <f t="shared" si="2019"/>
        <v/>
      </c>
      <c r="DG153" s="30" t="str">
        <f t="shared" si="2020"/>
        <v/>
      </c>
      <c r="DH153" s="30" t="str">
        <f t="shared" si="2021"/>
        <v/>
      </c>
      <c r="DI153" s="30" t="str">
        <f t="shared" si="2022"/>
        <v/>
      </c>
      <c r="DJ153" s="30" t="str">
        <f t="shared" si="2023"/>
        <v/>
      </c>
      <c r="DK153" s="30" t="str">
        <f t="shared" si="2024"/>
        <v/>
      </c>
      <c r="DL153" s="30" t="str">
        <f t="shared" si="2025"/>
        <v/>
      </c>
      <c r="DM153" s="30" t="str">
        <f t="shared" si="2026"/>
        <v/>
      </c>
      <c r="DN153" s="30" t="str">
        <f t="shared" si="2027"/>
        <v/>
      </c>
      <c r="DO153" s="30" t="str">
        <f t="shared" si="2028"/>
        <v/>
      </c>
      <c r="DP153" s="30" t="str">
        <f t="shared" si="2029"/>
        <v/>
      </c>
      <c r="DQ153" s="30" t="str">
        <f t="shared" si="2030"/>
        <v/>
      </c>
      <c r="DR153" s="30" t="str">
        <f t="shared" si="2031"/>
        <v/>
      </c>
      <c r="DS153" s="30" t="str">
        <f t="shared" si="2032"/>
        <v/>
      </c>
      <c r="DT153" s="30" t="str">
        <f t="shared" si="2033"/>
        <v/>
      </c>
      <c r="DU153" s="30" t="str">
        <f t="shared" si="2034"/>
        <v/>
      </c>
      <c r="DV153" s="30" t="str">
        <f t="shared" si="2035"/>
        <v/>
      </c>
      <c r="DW153" s="30" t="str">
        <f t="shared" si="2036"/>
        <v/>
      </c>
      <c r="DX153" s="30" t="str">
        <f t="shared" si="2037"/>
        <v/>
      </c>
      <c r="DY153" s="30" t="str">
        <f t="shared" si="2038"/>
        <v/>
      </c>
      <c r="DZ153" s="30" t="str">
        <f t="shared" si="2039"/>
        <v/>
      </c>
      <c r="EA153" s="30" t="str">
        <f t="shared" si="2040"/>
        <v/>
      </c>
      <c r="EB153" s="30" t="str">
        <f t="shared" si="2041"/>
        <v/>
      </c>
      <c r="EC153" s="30" t="str">
        <f t="shared" si="2042"/>
        <v/>
      </c>
      <c r="ED153" s="30" t="str">
        <f t="shared" si="2043"/>
        <v/>
      </c>
      <c r="EE153" s="30" t="str">
        <f t="shared" si="2044"/>
        <v/>
      </c>
      <c r="EF153" s="30" t="str">
        <f t="shared" si="2045"/>
        <v/>
      </c>
      <c r="EG153" s="30" t="str">
        <f t="shared" si="2046"/>
        <v/>
      </c>
      <c r="EH153" s="30" t="str">
        <f t="shared" si="2047"/>
        <v/>
      </c>
      <c r="EI153" s="30" t="str">
        <f t="shared" si="2048"/>
        <v/>
      </c>
      <c r="EJ153" s="30" t="str">
        <f t="shared" si="2049"/>
        <v/>
      </c>
      <c r="EK153" s="30" t="str">
        <f t="shared" si="2050"/>
        <v/>
      </c>
      <c r="EL153" s="30" t="str">
        <f t="shared" si="2051"/>
        <v/>
      </c>
      <c r="EM153" s="30" t="str">
        <f t="shared" si="2052"/>
        <v/>
      </c>
      <c r="EN153" s="30" t="str">
        <f t="shared" si="2053"/>
        <v/>
      </c>
      <c r="EO153" s="30" t="str">
        <f t="shared" si="2054"/>
        <v/>
      </c>
      <c r="EP153" s="30" t="str">
        <f t="shared" si="2055"/>
        <v/>
      </c>
      <c r="EQ153" s="30" t="str">
        <f t="shared" si="2056"/>
        <v/>
      </c>
      <c r="ER153" s="30" t="str">
        <f t="shared" si="2057"/>
        <v/>
      </c>
      <c r="ES153" s="30" t="str">
        <f t="shared" si="2058"/>
        <v/>
      </c>
      <c r="ET153" s="30" t="str">
        <f t="shared" si="2059"/>
        <v/>
      </c>
      <c r="EU153" s="30" t="str">
        <f t="shared" si="2060"/>
        <v/>
      </c>
      <c r="EV153" s="30" t="str">
        <f t="shared" si="2061"/>
        <v/>
      </c>
      <c r="EW153" s="30" t="str">
        <f t="shared" si="2062"/>
        <v/>
      </c>
      <c r="EX153" s="30" t="str">
        <f t="shared" si="2063"/>
        <v/>
      </c>
      <c r="EY153" s="30" t="str">
        <f t="shared" si="2064"/>
        <v/>
      </c>
      <c r="EZ153" s="30" t="str">
        <f t="shared" si="2065"/>
        <v/>
      </c>
      <c r="FA153" s="30" t="str">
        <f t="shared" si="2066"/>
        <v/>
      </c>
      <c r="FB153" s="30" t="str">
        <f t="shared" si="2067"/>
        <v/>
      </c>
      <c r="FC153" s="30" t="str">
        <f t="shared" si="2068"/>
        <v/>
      </c>
      <c r="FD153" s="30" t="str">
        <f t="shared" si="2069"/>
        <v/>
      </c>
      <c r="FE153" s="30" t="str">
        <f t="shared" si="2070"/>
        <v/>
      </c>
      <c r="FF153" s="30" t="str">
        <f t="shared" si="2071"/>
        <v/>
      </c>
      <c r="FG153" s="30" t="str">
        <f t="shared" si="2072"/>
        <v/>
      </c>
      <c r="FH153" s="30" t="str">
        <f t="shared" si="2073"/>
        <v/>
      </c>
      <c r="FI153" s="30" t="str">
        <f t="shared" si="2074"/>
        <v/>
      </c>
      <c r="FJ153" s="30" t="str">
        <f t="shared" si="2075"/>
        <v/>
      </c>
      <c r="FK153" s="30" t="str">
        <f t="shared" si="2076"/>
        <v/>
      </c>
      <c r="FL153" s="30" t="str">
        <f t="shared" si="2077"/>
        <v/>
      </c>
      <c r="FM153" s="30" t="str">
        <f t="shared" si="2078"/>
        <v/>
      </c>
      <c r="FN153" s="30" t="str">
        <f t="shared" si="2079"/>
        <v/>
      </c>
      <c r="FO153" s="30" t="str">
        <f t="shared" si="2080"/>
        <v/>
      </c>
      <c r="FP153" s="30" t="str">
        <f t="shared" si="2081"/>
        <v/>
      </c>
      <c r="FQ153" s="30" t="str">
        <f t="shared" si="2082"/>
        <v/>
      </c>
      <c r="FR153" s="30" t="str">
        <f t="shared" si="2083"/>
        <v/>
      </c>
      <c r="FS153" s="30" t="str">
        <f t="shared" si="2084"/>
        <v/>
      </c>
    </row>
    <row r="154" spans="1:175">
      <c r="A154" s="66"/>
      <c r="B154" s="66"/>
      <c r="C154" s="66"/>
      <c r="T154" s="100"/>
      <c r="U154" s="32"/>
      <c r="CN154" s="7" t="str">
        <f t="shared" si="2009"/>
        <v>InitUnitState('',,,,,,,,,,)</v>
      </c>
      <c r="CO154" s="7" t="str">
        <f t="shared" si="2010"/>
        <v>InitUnitNormal('',,,,,,,,,,)</v>
      </c>
      <c r="CP154" s="7" t="str">
        <f t="shared" si="2011"/>
        <v>InitUnitMagic('',,,,,,,,,,)</v>
      </c>
      <c r="CQ154" s="7" t="str">
        <f t="shared" si="2012"/>
        <v>InitUnitAdd('',,,,,,,,,,)</v>
      </c>
      <c r="CR154" s="7" t="str">
        <f t="shared" si="2013"/>
        <v>InitEquipData('',,"",,,,,'','','','','','',"")</v>
      </c>
      <c r="CU154" s="45" t="str">
        <f t="shared" si="2014"/>
        <v>|n</v>
      </c>
      <c r="CW154" s="24"/>
      <c r="CX154" s="24"/>
      <c r="CY154" s="24"/>
      <c r="CZ154" s="24"/>
      <c r="DA154" s="24"/>
      <c r="DB154" s="30" t="str">
        <f t="shared" si="2015"/>
        <v/>
      </c>
      <c r="DC154" s="30" t="str">
        <f t="shared" si="2016"/>
        <v/>
      </c>
      <c r="DD154" s="30" t="str">
        <f t="shared" si="2017"/>
        <v/>
      </c>
      <c r="DE154" s="30" t="str">
        <f t="shared" si="2018"/>
        <v/>
      </c>
      <c r="DF154" s="30" t="str">
        <f t="shared" si="2019"/>
        <v/>
      </c>
      <c r="DG154" s="30" t="str">
        <f t="shared" si="2020"/>
        <v/>
      </c>
      <c r="DH154" s="30" t="str">
        <f t="shared" si="2021"/>
        <v/>
      </c>
      <c r="DI154" s="30" t="str">
        <f t="shared" si="2022"/>
        <v/>
      </c>
      <c r="DJ154" s="30" t="str">
        <f t="shared" si="2023"/>
        <v/>
      </c>
      <c r="DK154" s="30" t="str">
        <f t="shared" si="2024"/>
        <v/>
      </c>
      <c r="DL154" s="30" t="str">
        <f t="shared" si="2025"/>
        <v/>
      </c>
      <c r="DM154" s="30" t="str">
        <f t="shared" si="2026"/>
        <v/>
      </c>
      <c r="DN154" s="30" t="str">
        <f t="shared" si="2027"/>
        <v/>
      </c>
      <c r="DO154" s="30" t="str">
        <f t="shared" si="2028"/>
        <v/>
      </c>
      <c r="DP154" s="30" t="str">
        <f t="shared" si="2029"/>
        <v/>
      </c>
      <c r="DQ154" s="30" t="str">
        <f t="shared" si="2030"/>
        <v/>
      </c>
      <c r="DR154" s="30" t="str">
        <f t="shared" si="2031"/>
        <v/>
      </c>
      <c r="DS154" s="30" t="str">
        <f t="shared" si="2032"/>
        <v/>
      </c>
      <c r="DT154" s="30" t="str">
        <f t="shared" si="2033"/>
        <v/>
      </c>
      <c r="DU154" s="30" t="str">
        <f t="shared" si="2034"/>
        <v/>
      </c>
      <c r="DV154" s="30" t="str">
        <f t="shared" si="2035"/>
        <v/>
      </c>
      <c r="DW154" s="30" t="str">
        <f t="shared" si="2036"/>
        <v/>
      </c>
      <c r="DX154" s="30" t="str">
        <f t="shared" si="2037"/>
        <v/>
      </c>
      <c r="DY154" s="30" t="str">
        <f t="shared" si="2038"/>
        <v/>
      </c>
      <c r="DZ154" s="30" t="str">
        <f t="shared" si="2039"/>
        <v/>
      </c>
      <c r="EA154" s="30" t="str">
        <f t="shared" si="2040"/>
        <v/>
      </c>
      <c r="EB154" s="30" t="str">
        <f t="shared" si="2041"/>
        <v/>
      </c>
      <c r="EC154" s="30" t="str">
        <f t="shared" si="2042"/>
        <v/>
      </c>
      <c r="ED154" s="30" t="str">
        <f t="shared" si="2043"/>
        <v/>
      </c>
      <c r="EE154" s="30" t="str">
        <f t="shared" si="2044"/>
        <v/>
      </c>
      <c r="EF154" s="30" t="str">
        <f t="shared" si="2045"/>
        <v/>
      </c>
      <c r="EG154" s="30" t="str">
        <f t="shared" si="2046"/>
        <v/>
      </c>
      <c r="EH154" s="30" t="str">
        <f t="shared" si="2047"/>
        <v/>
      </c>
      <c r="EI154" s="30" t="str">
        <f t="shared" si="2048"/>
        <v/>
      </c>
      <c r="EJ154" s="30" t="str">
        <f t="shared" si="2049"/>
        <v/>
      </c>
      <c r="EK154" s="30" t="str">
        <f t="shared" si="2050"/>
        <v/>
      </c>
      <c r="EL154" s="30" t="str">
        <f t="shared" si="2051"/>
        <v/>
      </c>
      <c r="EM154" s="30" t="str">
        <f t="shared" si="2052"/>
        <v/>
      </c>
      <c r="EN154" s="30" t="str">
        <f t="shared" si="2053"/>
        <v/>
      </c>
      <c r="EO154" s="30" t="str">
        <f t="shared" si="2054"/>
        <v/>
      </c>
      <c r="EP154" s="30" t="str">
        <f t="shared" si="2055"/>
        <v/>
      </c>
      <c r="EQ154" s="30" t="str">
        <f t="shared" si="2056"/>
        <v/>
      </c>
      <c r="ER154" s="30" t="str">
        <f t="shared" si="2057"/>
        <v/>
      </c>
      <c r="ES154" s="30" t="str">
        <f t="shared" si="2058"/>
        <v/>
      </c>
      <c r="ET154" s="30" t="str">
        <f t="shared" si="2059"/>
        <v/>
      </c>
      <c r="EU154" s="30" t="str">
        <f t="shared" si="2060"/>
        <v/>
      </c>
      <c r="EV154" s="30" t="str">
        <f t="shared" si="2061"/>
        <v/>
      </c>
      <c r="EW154" s="30" t="str">
        <f t="shared" si="2062"/>
        <v/>
      </c>
      <c r="EX154" s="30" t="str">
        <f t="shared" si="2063"/>
        <v/>
      </c>
      <c r="EY154" s="30" t="str">
        <f t="shared" si="2064"/>
        <v/>
      </c>
      <c r="EZ154" s="30" t="str">
        <f t="shared" si="2065"/>
        <v/>
      </c>
      <c r="FA154" s="30" t="str">
        <f t="shared" si="2066"/>
        <v/>
      </c>
      <c r="FB154" s="30" t="str">
        <f t="shared" si="2067"/>
        <v/>
      </c>
      <c r="FC154" s="30" t="str">
        <f t="shared" si="2068"/>
        <v/>
      </c>
      <c r="FD154" s="30" t="str">
        <f t="shared" si="2069"/>
        <v/>
      </c>
      <c r="FE154" s="30" t="str">
        <f t="shared" si="2070"/>
        <v/>
      </c>
      <c r="FF154" s="30" t="str">
        <f t="shared" si="2071"/>
        <v/>
      </c>
      <c r="FG154" s="30" t="str">
        <f t="shared" si="2072"/>
        <v/>
      </c>
      <c r="FH154" s="30" t="str">
        <f t="shared" si="2073"/>
        <v/>
      </c>
      <c r="FI154" s="30" t="str">
        <f t="shared" si="2074"/>
        <v/>
      </c>
      <c r="FJ154" s="30" t="str">
        <f t="shared" si="2075"/>
        <v/>
      </c>
      <c r="FK154" s="30" t="str">
        <f t="shared" si="2076"/>
        <v/>
      </c>
      <c r="FL154" s="30" t="str">
        <f t="shared" si="2077"/>
        <v/>
      </c>
      <c r="FM154" s="30" t="str">
        <f t="shared" si="2078"/>
        <v/>
      </c>
      <c r="FN154" s="30" t="str">
        <f t="shared" si="2079"/>
        <v/>
      </c>
      <c r="FO154" s="30" t="str">
        <f t="shared" si="2080"/>
        <v/>
      </c>
      <c r="FP154" s="30" t="str">
        <f t="shared" si="2081"/>
        <v/>
      </c>
      <c r="FQ154" s="30" t="str">
        <f t="shared" si="2082"/>
        <v/>
      </c>
      <c r="FR154" s="30" t="str">
        <f t="shared" si="2083"/>
        <v/>
      </c>
      <c r="FS154" s="30" t="str">
        <f t="shared" si="2084"/>
        <v/>
      </c>
    </row>
    <row r="155" spans="1:175">
      <c r="A155" s="66"/>
      <c r="B155" s="66"/>
      <c r="C155" s="66"/>
      <c r="T155" s="100"/>
      <c r="U155" s="32"/>
      <c r="CN155" s="7" t="str">
        <f t="shared" si="2009"/>
        <v>InitUnitState('',,,,,,,,,,)</v>
      </c>
      <c r="CO155" s="7" t="str">
        <f t="shared" si="2010"/>
        <v>InitUnitNormal('',,,,,,,,,,)</v>
      </c>
      <c r="CP155" s="7" t="str">
        <f t="shared" si="2011"/>
        <v>InitUnitMagic('',,,,,,,,,,)</v>
      </c>
      <c r="CQ155" s="7" t="str">
        <f t="shared" si="2012"/>
        <v>InitUnitAdd('',,,,,,,,,,)</v>
      </c>
      <c r="CR155" s="7" t="str">
        <f t="shared" si="2013"/>
        <v>InitEquipData('',,"",,,,,'','','','','','',"")</v>
      </c>
      <c r="CU155" s="45" t="str">
        <f t="shared" si="2014"/>
        <v>|n</v>
      </c>
      <c r="CW155" s="24"/>
      <c r="CX155" s="24"/>
      <c r="CY155" s="24"/>
      <c r="CZ155" s="24"/>
      <c r="DA155" s="24"/>
      <c r="DB155" s="30" t="str">
        <f t="shared" si="2015"/>
        <v/>
      </c>
      <c r="DC155" s="30" t="str">
        <f t="shared" si="2016"/>
        <v/>
      </c>
      <c r="DD155" s="30" t="str">
        <f t="shared" si="2017"/>
        <v/>
      </c>
      <c r="DE155" s="30" t="str">
        <f t="shared" si="2018"/>
        <v/>
      </c>
      <c r="DF155" s="30" t="str">
        <f t="shared" si="2019"/>
        <v/>
      </c>
      <c r="DG155" s="30" t="str">
        <f t="shared" si="2020"/>
        <v/>
      </c>
      <c r="DH155" s="30" t="str">
        <f t="shared" si="2021"/>
        <v/>
      </c>
      <c r="DI155" s="30" t="str">
        <f t="shared" si="2022"/>
        <v/>
      </c>
      <c r="DJ155" s="30" t="str">
        <f t="shared" si="2023"/>
        <v/>
      </c>
      <c r="DK155" s="30" t="str">
        <f t="shared" si="2024"/>
        <v/>
      </c>
      <c r="DL155" s="30" t="str">
        <f t="shared" si="2025"/>
        <v/>
      </c>
      <c r="DM155" s="30" t="str">
        <f t="shared" si="2026"/>
        <v/>
      </c>
      <c r="DN155" s="30" t="str">
        <f t="shared" si="2027"/>
        <v/>
      </c>
      <c r="DO155" s="30" t="str">
        <f t="shared" si="2028"/>
        <v/>
      </c>
      <c r="DP155" s="30" t="str">
        <f t="shared" si="2029"/>
        <v/>
      </c>
      <c r="DQ155" s="30" t="str">
        <f t="shared" si="2030"/>
        <v/>
      </c>
      <c r="DR155" s="30" t="str">
        <f t="shared" si="2031"/>
        <v/>
      </c>
      <c r="DS155" s="30" t="str">
        <f t="shared" si="2032"/>
        <v/>
      </c>
      <c r="DT155" s="30" t="str">
        <f t="shared" si="2033"/>
        <v/>
      </c>
      <c r="DU155" s="30" t="str">
        <f t="shared" si="2034"/>
        <v/>
      </c>
      <c r="DV155" s="30" t="str">
        <f t="shared" si="2035"/>
        <v/>
      </c>
      <c r="DW155" s="30" t="str">
        <f t="shared" si="2036"/>
        <v/>
      </c>
      <c r="DX155" s="30" t="str">
        <f t="shared" si="2037"/>
        <v/>
      </c>
      <c r="DY155" s="30" t="str">
        <f t="shared" si="2038"/>
        <v/>
      </c>
      <c r="DZ155" s="30" t="str">
        <f t="shared" si="2039"/>
        <v/>
      </c>
      <c r="EA155" s="30" t="str">
        <f t="shared" si="2040"/>
        <v/>
      </c>
      <c r="EB155" s="30" t="str">
        <f t="shared" si="2041"/>
        <v/>
      </c>
      <c r="EC155" s="30" t="str">
        <f t="shared" si="2042"/>
        <v/>
      </c>
      <c r="ED155" s="30" t="str">
        <f t="shared" si="2043"/>
        <v/>
      </c>
      <c r="EE155" s="30" t="str">
        <f t="shared" si="2044"/>
        <v/>
      </c>
      <c r="EF155" s="30" t="str">
        <f t="shared" si="2045"/>
        <v/>
      </c>
      <c r="EG155" s="30" t="str">
        <f t="shared" si="2046"/>
        <v/>
      </c>
      <c r="EH155" s="30" t="str">
        <f t="shared" si="2047"/>
        <v/>
      </c>
      <c r="EI155" s="30" t="str">
        <f t="shared" si="2048"/>
        <v/>
      </c>
      <c r="EJ155" s="30" t="str">
        <f t="shared" si="2049"/>
        <v/>
      </c>
      <c r="EK155" s="30" t="str">
        <f t="shared" si="2050"/>
        <v/>
      </c>
      <c r="EL155" s="30" t="str">
        <f t="shared" si="2051"/>
        <v/>
      </c>
      <c r="EM155" s="30" t="str">
        <f t="shared" si="2052"/>
        <v/>
      </c>
      <c r="EN155" s="30" t="str">
        <f t="shared" si="2053"/>
        <v/>
      </c>
      <c r="EO155" s="30" t="str">
        <f t="shared" si="2054"/>
        <v/>
      </c>
      <c r="EP155" s="30" t="str">
        <f t="shared" si="2055"/>
        <v/>
      </c>
      <c r="EQ155" s="30" t="str">
        <f t="shared" si="2056"/>
        <v/>
      </c>
      <c r="ER155" s="30" t="str">
        <f t="shared" si="2057"/>
        <v/>
      </c>
      <c r="ES155" s="30" t="str">
        <f t="shared" si="2058"/>
        <v/>
      </c>
      <c r="ET155" s="30" t="str">
        <f t="shared" si="2059"/>
        <v/>
      </c>
      <c r="EU155" s="30" t="str">
        <f t="shared" si="2060"/>
        <v/>
      </c>
      <c r="EV155" s="30" t="str">
        <f t="shared" si="2061"/>
        <v/>
      </c>
      <c r="EW155" s="30" t="str">
        <f t="shared" si="2062"/>
        <v/>
      </c>
      <c r="EX155" s="30" t="str">
        <f t="shared" si="2063"/>
        <v/>
      </c>
      <c r="EY155" s="30" t="str">
        <f t="shared" si="2064"/>
        <v/>
      </c>
      <c r="EZ155" s="30" t="str">
        <f t="shared" si="2065"/>
        <v/>
      </c>
      <c r="FA155" s="30" t="str">
        <f t="shared" si="2066"/>
        <v/>
      </c>
      <c r="FB155" s="30" t="str">
        <f t="shared" si="2067"/>
        <v/>
      </c>
      <c r="FC155" s="30" t="str">
        <f t="shared" si="2068"/>
        <v/>
      </c>
      <c r="FD155" s="30" t="str">
        <f t="shared" si="2069"/>
        <v/>
      </c>
      <c r="FE155" s="30" t="str">
        <f t="shared" si="2070"/>
        <v/>
      </c>
      <c r="FF155" s="30" t="str">
        <f t="shared" si="2071"/>
        <v/>
      </c>
      <c r="FG155" s="30" t="str">
        <f t="shared" si="2072"/>
        <v/>
      </c>
      <c r="FH155" s="30" t="str">
        <f t="shared" si="2073"/>
        <v/>
      </c>
      <c r="FI155" s="30" t="str">
        <f t="shared" si="2074"/>
        <v/>
      </c>
      <c r="FJ155" s="30" t="str">
        <f t="shared" si="2075"/>
        <v/>
      </c>
      <c r="FK155" s="30" t="str">
        <f t="shared" si="2076"/>
        <v/>
      </c>
      <c r="FL155" s="30" t="str">
        <f t="shared" si="2077"/>
        <v/>
      </c>
      <c r="FM155" s="30" t="str">
        <f t="shared" si="2078"/>
        <v/>
      </c>
      <c r="FN155" s="30" t="str">
        <f t="shared" si="2079"/>
        <v/>
      </c>
      <c r="FO155" s="30" t="str">
        <f t="shared" si="2080"/>
        <v/>
      </c>
      <c r="FP155" s="30" t="str">
        <f t="shared" si="2081"/>
        <v/>
      </c>
      <c r="FQ155" s="30" t="str">
        <f t="shared" si="2082"/>
        <v/>
      </c>
      <c r="FR155" s="30" t="str">
        <f t="shared" si="2083"/>
        <v/>
      </c>
      <c r="FS155" s="30" t="str">
        <f t="shared" si="2084"/>
        <v/>
      </c>
    </row>
    <row r="156" spans="1:175">
      <c r="A156" s="66"/>
      <c r="B156" s="66"/>
      <c r="C156" s="66"/>
      <c r="T156" s="100"/>
      <c r="U156" s="32"/>
      <c r="CN156" s="7" t="str">
        <f t="shared" si="2009"/>
        <v>InitUnitState('',,,,,,,,,,)</v>
      </c>
      <c r="CO156" s="7" t="str">
        <f t="shared" si="2010"/>
        <v>InitUnitNormal('',,,,,,,,,,)</v>
      </c>
      <c r="CP156" s="7" t="str">
        <f t="shared" si="2011"/>
        <v>InitUnitMagic('',,,,,,,,,,)</v>
      </c>
      <c r="CQ156" s="7" t="str">
        <f t="shared" si="2012"/>
        <v>InitUnitAdd('',,,,,,,,,,)</v>
      </c>
      <c r="CR156" s="7" t="str">
        <f t="shared" si="2013"/>
        <v>InitEquipData('',,"",,,,,'','','','','','',"")</v>
      </c>
      <c r="CU156" s="45" t="str">
        <f t="shared" si="2014"/>
        <v>|n</v>
      </c>
      <c r="CW156" s="24"/>
      <c r="CX156" s="24"/>
      <c r="CY156" s="24"/>
      <c r="CZ156" s="24"/>
      <c r="DA156" s="24"/>
      <c r="DB156" s="30" t="str">
        <f t="shared" si="2015"/>
        <v/>
      </c>
      <c r="DC156" s="30" t="str">
        <f t="shared" si="2016"/>
        <v/>
      </c>
      <c r="DD156" s="30" t="str">
        <f t="shared" si="2017"/>
        <v/>
      </c>
      <c r="DE156" s="30" t="str">
        <f t="shared" si="2018"/>
        <v/>
      </c>
      <c r="DF156" s="30" t="str">
        <f t="shared" si="2019"/>
        <v/>
      </c>
      <c r="DG156" s="30" t="str">
        <f t="shared" si="2020"/>
        <v/>
      </c>
      <c r="DH156" s="30" t="str">
        <f t="shared" si="2021"/>
        <v/>
      </c>
      <c r="DI156" s="30" t="str">
        <f t="shared" si="2022"/>
        <v/>
      </c>
      <c r="DJ156" s="30" t="str">
        <f t="shared" si="2023"/>
        <v/>
      </c>
      <c r="DK156" s="30" t="str">
        <f t="shared" si="2024"/>
        <v/>
      </c>
      <c r="DL156" s="30" t="str">
        <f t="shared" si="2025"/>
        <v/>
      </c>
      <c r="DM156" s="30" t="str">
        <f t="shared" si="2026"/>
        <v/>
      </c>
      <c r="DN156" s="30" t="str">
        <f t="shared" si="2027"/>
        <v/>
      </c>
      <c r="DO156" s="30" t="str">
        <f t="shared" si="2028"/>
        <v/>
      </c>
      <c r="DP156" s="30" t="str">
        <f t="shared" si="2029"/>
        <v/>
      </c>
      <c r="DQ156" s="30" t="str">
        <f t="shared" si="2030"/>
        <v/>
      </c>
      <c r="DR156" s="30" t="str">
        <f t="shared" si="2031"/>
        <v/>
      </c>
      <c r="DS156" s="30" t="str">
        <f t="shared" si="2032"/>
        <v/>
      </c>
      <c r="DT156" s="30" t="str">
        <f t="shared" si="2033"/>
        <v/>
      </c>
      <c r="DU156" s="30" t="str">
        <f t="shared" si="2034"/>
        <v/>
      </c>
      <c r="DV156" s="30" t="str">
        <f t="shared" si="2035"/>
        <v/>
      </c>
      <c r="DW156" s="30" t="str">
        <f t="shared" si="2036"/>
        <v/>
      </c>
      <c r="DX156" s="30" t="str">
        <f t="shared" si="2037"/>
        <v/>
      </c>
      <c r="DY156" s="30" t="str">
        <f t="shared" si="2038"/>
        <v/>
      </c>
      <c r="DZ156" s="30" t="str">
        <f t="shared" si="2039"/>
        <v/>
      </c>
      <c r="EA156" s="30" t="str">
        <f t="shared" si="2040"/>
        <v/>
      </c>
      <c r="EB156" s="30" t="str">
        <f t="shared" si="2041"/>
        <v/>
      </c>
      <c r="EC156" s="30" t="str">
        <f t="shared" si="2042"/>
        <v/>
      </c>
      <c r="ED156" s="30" t="str">
        <f t="shared" si="2043"/>
        <v/>
      </c>
      <c r="EE156" s="30" t="str">
        <f t="shared" si="2044"/>
        <v/>
      </c>
      <c r="EF156" s="30" t="str">
        <f t="shared" si="2045"/>
        <v/>
      </c>
      <c r="EG156" s="30" t="str">
        <f t="shared" si="2046"/>
        <v/>
      </c>
      <c r="EH156" s="30" t="str">
        <f t="shared" si="2047"/>
        <v/>
      </c>
      <c r="EI156" s="30" t="str">
        <f t="shared" si="2048"/>
        <v/>
      </c>
      <c r="EJ156" s="30" t="str">
        <f t="shared" si="2049"/>
        <v/>
      </c>
      <c r="EK156" s="30" t="str">
        <f t="shared" si="2050"/>
        <v/>
      </c>
      <c r="EL156" s="30" t="str">
        <f t="shared" si="2051"/>
        <v/>
      </c>
      <c r="EM156" s="30" t="str">
        <f t="shared" si="2052"/>
        <v/>
      </c>
      <c r="EN156" s="30" t="str">
        <f t="shared" si="2053"/>
        <v/>
      </c>
      <c r="EO156" s="30" t="str">
        <f t="shared" si="2054"/>
        <v/>
      </c>
      <c r="EP156" s="30" t="str">
        <f t="shared" si="2055"/>
        <v/>
      </c>
      <c r="EQ156" s="30" t="str">
        <f t="shared" si="2056"/>
        <v/>
      </c>
      <c r="ER156" s="30" t="str">
        <f t="shared" si="2057"/>
        <v/>
      </c>
      <c r="ES156" s="30" t="str">
        <f t="shared" si="2058"/>
        <v/>
      </c>
      <c r="ET156" s="30" t="str">
        <f t="shared" si="2059"/>
        <v/>
      </c>
      <c r="EU156" s="30" t="str">
        <f t="shared" si="2060"/>
        <v/>
      </c>
      <c r="EV156" s="30" t="str">
        <f t="shared" si="2061"/>
        <v/>
      </c>
      <c r="EW156" s="30" t="str">
        <f t="shared" si="2062"/>
        <v/>
      </c>
      <c r="EX156" s="30" t="str">
        <f t="shared" si="2063"/>
        <v/>
      </c>
      <c r="EY156" s="30" t="str">
        <f t="shared" si="2064"/>
        <v/>
      </c>
      <c r="EZ156" s="30" t="str">
        <f t="shared" si="2065"/>
        <v/>
      </c>
      <c r="FA156" s="30" t="str">
        <f t="shared" si="2066"/>
        <v/>
      </c>
      <c r="FB156" s="30" t="str">
        <f t="shared" si="2067"/>
        <v/>
      </c>
      <c r="FC156" s="30" t="str">
        <f t="shared" si="2068"/>
        <v/>
      </c>
      <c r="FD156" s="30" t="str">
        <f t="shared" si="2069"/>
        <v/>
      </c>
      <c r="FE156" s="30" t="str">
        <f t="shared" si="2070"/>
        <v/>
      </c>
      <c r="FF156" s="30" t="str">
        <f t="shared" si="2071"/>
        <v/>
      </c>
      <c r="FG156" s="30" t="str">
        <f t="shared" si="2072"/>
        <v/>
      </c>
      <c r="FH156" s="30" t="str">
        <f t="shared" si="2073"/>
        <v/>
      </c>
      <c r="FI156" s="30" t="str">
        <f t="shared" si="2074"/>
        <v/>
      </c>
      <c r="FJ156" s="30" t="str">
        <f t="shared" si="2075"/>
        <v/>
      </c>
      <c r="FK156" s="30" t="str">
        <f t="shared" si="2076"/>
        <v/>
      </c>
      <c r="FL156" s="30" t="str">
        <f t="shared" si="2077"/>
        <v/>
      </c>
      <c r="FM156" s="30" t="str">
        <f t="shared" si="2078"/>
        <v/>
      </c>
      <c r="FN156" s="30" t="str">
        <f t="shared" si="2079"/>
        <v/>
      </c>
      <c r="FO156" s="30" t="str">
        <f t="shared" si="2080"/>
        <v/>
      </c>
      <c r="FP156" s="30" t="str">
        <f t="shared" si="2081"/>
        <v/>
      </c>
      <c r="FQ156" s="30" t="str">
        <f t="shared" si="2082"/>
        <v/>
      </c>
      <c r="FR156" s="30" t="str">
        <f t="shared" si="2083"/>
        <v/>
      </c>
      <c r="FS156" s="30" t="str">
        <f t="shared" si="2084"/>
        <v/>
      </c>
    </row>
    <row r="157" spans="1:175" s="24" customFormat="1" ht="16.5">
      <c r="A157" s="46"/>
      <c r="B157" s="36"/>
      <c r="C157" s="46"/>
      <c r="D157" s="31"/>
      <c r="E157" s="39"/>
      <c r="F157" s="41"/>
      <c r="G157" s="47"/>
      <c r="H157" s="47"/>
      <c r="I157" s="47"/>
      <c r="J157" s="47"/>
      <c r="K157" s="47"/>
      <c r="L157" s="47"/>
      <c r="M157" s="47"/>
      <c r="N157" s="47"/>
      <c r="O157" s="47"/>
      <c r="P157" s="42"/>
      <c r="Q157" s="42"/>
      <c r="R157" s="42"/>
      <c r="S157" s="42"/>
      <c r="T157" s="102"/>
      <c r="U157" s="32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4" t="str">
        <f t="shared" si="2009"/>
        <v>InitUnitState('',,,,,,,,,,)</v>
      </c>
      <c r="CO157" s="44" t="str">
        <f t="shared" si="2010"/>
        <v>InitUnitNormal('',,,,,,,,,,)</v>
      </c>
      <c r="CP157" s="44" t="str">
        <f t="shared" si="2011"/>
        <v>InitUnitMagic('',,,,,,,,,,)</v>
      </c>
      <c r="CQ157" s="44" t="str">
        <f t="shared" si="2012"/>
        <v>InitUnitAdd('',,,,,,,,,,)</v>
      </c>
      <c r="CR157" s="44" t="str">
        <f t="shared" si="2013"/>
        <v>InitEquipData('',,"",,,,,'','','','','','',"")</v>
      </c>
      <c r="CS157" s="44"/>
      <c r="CT157" s="44"/>
      <c r="CU157" s="45" t="str">
        <f t="shared" si="2014"/>
        <v>|n</v>
      </c>
      <c r="CV157" s="29"/>
      <c r="DB157" s="30" t="str">
        <f t="shared" si="2015"/>
        <v/>
      </c>
      <c r="DC157" s="30" t="str">
        <f t="shared" si="2016"/>
        <v/>
      </c>
      <c r="DD157" s="30" t="str">
        <f t="shared" si="2017"/>
        <v/>
      </c>
      <c r="DE157" s="30" t="str">
        <f t="shared" si="2018"/>
        <v/>
      </c>
      <c r="DF157" s="30" t="str">
        <f t="shared" si="2019"/>
        <v/>
      </c>
      <c r="DG157" s="30" t="str">
        <f t="shared" si="2020"/>
        <v/>
      </c>
      <c r="DH157" s="30" t="str">
        <f t="shared" si="2021"/>
        <v/>
      </c>
      <c r="DI157" s="30" t="str">
        <f t="shared" si="2022"/>
        <v/>
      </c>
      <c r="DJ157" s="30" t="str">
        <f t="shared" si="2023"/>
        <v/>
      </c>
      <c r="DK157" s="30" t="str">
        <f t="shared" si="2024"/>
        <v/>
      </c>
      <c r="DL157" s="30" t="str">
        <f t="shared" si="2025"/>
        <v/>
      </c>
      <c r="DM157" s="30" t="str">
        <f t="shared" si="2026"/>
        <v/>
      </c>
      <c r="DN157" s="30" t="str">
        <f t="shared" si="2027"/>
        <v/>
      </c>
      <c r="DO157" s="30" t="str">
        <f t="shared" si="2028"/>
        <v/>
      </c>
      <c r="DP157" s="30" t="str">
        <f t="shared" si="2029"/>
        <v/>
      </c>
      <c r="DQ157" s="30" t="str">
        <f t="shared" si="2030"/>
        <v/>
      </c>
      <c r="DR157" s="30" t="str">
        <f t="shared" si="2031"/>
        <v/>
      </c>
      <c r="DS157" s="30" t="str">
        <f t="shared" si="2032"/>
        <v/>
      </c>
      <c r="DT157" s="30" t="str">
        <f t="shared" si="2033"/>
        <v/>
      </c>
      <c r="DU157" s="30" t="str">
        <f t="shared" si="2034"/>
        <v/>
      </c>
      <c r="DV157" s="30" t="str">
        <f t="shared" si="2035"/>
        <v/>
      </c>
      <c r="DW157" s="30" t="str">
        <f t="shared" si="2036"/>
        <v/>
      </c>
      <c r="DX157" s="30" t="str">
        <f t="shared" si="2037"/>
        <v/>
      </c>
      <c r="DY157" s="30" t="str">
        <f t="shared" si="2038"/>
        <v/>
      </c>
      <c r="DZ157" s="30" t="str">
        <f t="shared" si="2039"/>
        <v/>
      </c>
      <c r="EA157" s="30" t="str">
        <f t="shared" si="2040"/>
        <v/>
      </c>
      <c r="EB157" s="30" t="str">
        <f t="shared" si="2041"/>
        <v/>
      </c>
      <c r="EC157" s="30" t="str">
        <f t="shared" si="2042"/>
        <v/>
      </c>
      <c r="ED157" s="30" t="str">
        <f t="shared" si="2043"/>
        <v/>
      </c>
      <c r="EE157" s="30" t="str">
        <f t="shared" si="2044"/>
        <v/>
      </c>
      <c r="EF157" s="30" t="str">
        <f t="shared" si="2045"/>
        <v/>
      </c>
      <c r="EG157" s="30" t="str">
        <f t="shared" si="2046"/>
        <v/>
      </c>
      <c r="EH157" s="30" t="str">
        <f t="shared" si="2047"/>
        <v/>
      </c>
      <c r="EI157" s="30" t="str">
        <f t="shared" si="2048"/>
        <v/>
      </c>
      <c r="EJ157" s="30" t="str">
        <f t="shared" si="2049"/>
        <v/>
      </c>
      <c r="EK157" s="30" t="str">
        <f t="shared" si="2050"/>
        <v/>
      </c>
      <c r="EL157" s="30" t="str">
        <f t="shared" si="2051"/>
        <v/>
      </c>
      <c r="EM157" s="30" t="str">
        <f t="shared" si="2052"/>
        <v/>
      </c>
      <c r="EN157" s="30" t="str">
        <f t="shared" si="2053"/>
        <v/>
      </c>
      <c r="EO157" s="30" t="str">
        <f t="shared" si="2054"/>
        <v/>
      </c>
      <c r="EP157" s="30" t="str">
        <f t="shared" si="2055"/>
        <v/>
      </c>
      <c r="EQ157" s="30" t="str">
        <f t="shared" si="2056"/>
        <v/>
      </c>
      <c r="ER157" s="30" t="str">
        <f t="shared" si="2057"/>
        <v/>
      </c>
      <c r="ES157" s="30" t="str">
        <f t="shared" si="2058"/>
        <v/>
      </c>
      <c r="ET157" s="30" t="str">
        <f t="shared" si="2059"/>
        <v/>
      </c>
      <c r="EU157" s="30" t="str">
        <f t="shared" si="2060"/>
        <v/>
      </c>
      <c r="EV157" s="30" t="str">
        <f t="shared" si="2061"/>
        <v/>
      </c>
      <c r="EW157" s="30" t="str">
        <f t="shared" si="2062"/>
        <v/>
      </c>
      <c r="EX157" s="30" t="str">
        <f t="shared" si="2063"/>
        <v/>
      </c>
      <c r="EY157" s="30" t="str">
        <f t="shared" si="2064"/>
        <v/>
      </c>
      <c r="EZ157" s="30" t="str">
        <f t="shared" si="2065"/>
        <v/>
      </c>
      <c r="FA157" s="30" t="str">
        <f t="shared" si="2066"/>
        <v/>
      </c>
      <c r="FB157" s="30" t="str">
        <f t="shared" si="2067"/>
        <v/>
      </c>
      <c r="FC157" s="30" t="str">
        <f t="shared" si="2068"/>
        <v/>
      </c>
      <c r="FD157" s="30" t="str">
        <f t="shared" si="2069"/>
        <v/>
      </c>
      <c r="FE157" s="30" t="str">
        <f t="shared" si="2070"/>
        <v/>
      </c>
      <c r="FF157" s="30" t="str">
        <f t="shared" si="2071"/>
        <v/>
      </c>
      <c r="FG157" s="30" t="str">
        <f t="shared" si="2072"/>
        <v/>
      </c>
      <c r="FH157" s="30" t="str">
        <f t="shared" si="2073"/>
        <v/>
      </c>
      <c r="FI157" s="30" t="str">
        <f t="shared" si="2074"/>
        <v/>
      </c>
      <c r="FJ157" s="30" t="str">
        <f t="shared" si="2075"/>
        <v/>
      </c>
      <c r="FK157" s="30" t="str">
        <f t="shared" si="2076"/>
        <v/>
      </c>
      <c r="FL157" s="30" t="str">
        <f t="shared" si="2077"/>
        <v/>
      </c>
      <c r="FM157" s="30" t="str">
        <f t="shared" si="2078"/>
        <v/>
      </c>
      <c r="FN157" s="30" t="str">
        <f t="shared" si="2079"/>
        <v/>
      </c>
      <c r="FO157" s="30" t="str">
        <f t="shared" si="2080"/>
        <v/>
      </c>
      <c r="FP157" s="30" t="str">
        <f t="shared" si="2081"/>
        <v/>
      </c>
      <c r="FQ157" s="30" t="str">
        <f t="shared" si="2082"/>
        <v/>
      </c>
      <c r="FR157" s="30" t="str">
        <f t="shared" si="2083"/>
        <v/>
      </c>
      <c r="FS157" s="30" t="str">
        <f t="shared" si="2084"/>
        <v/>
      </c>
    </row>
    <row r="158" spans="1:175" s="24" customFormat="1" ht="16.5">
      <c r="A158" s="46"/>
      <c r="B158" s="36"/>
      <c r="C158" s="46"/>
      <c r="D158" s="31"/>
      <c r="E158" s="39"/>
      <c r="F158" s="41"/>
      <c r="G158" s="47"/>
      <c r="H158" s="47"/>
      <c r="I158" s="47"/>
      <c r="J158" s="47"/>
      <c r="K158" s="47"/>
      <c r="L158" s="47"/>
      <c r="M158" s="47"/>
      <c r="N158" s="47"/>
      <c r="O158" s="47"/>
      <c r="P158" s="42"/>
      <c r="Q158" s="42"/>
      <c r="R158" s="42"/>
      <c r="S158" s="42"/>
      <c r="T158" s="102"/>
      <c r="U158" s="32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4" t="str">
        <f t="shared" si="2009"/>
        <v>InitUnitState('',,,,,,,,,,)</v>
      </c>
      <c r="CO158" s="44" t="str">
        <f t="shared" si="2010"/>
        <v>InitUnitNormal('',,,,,,,,,,)</v>
      </c>
      <c r="CP158" s="44" t="str">
        <f t="shared" si="2011"/>
        <v>InitUnitMagic('',,,,,,,,,,)</v>
      </c>
      <c r="CQ158" s="44" t="str">
        <f t="shared" si="2012"/>
        <v>InitUnitAdd('',,,,,,,,,,)</v>
      </c>
      <c r="CR158" s="44" t="str">
        <f t="shared" si="2013"/>
        <v>InitEquipData('',,"",,,,,'','','','','','',"")</v>
      </c>
      <c r="CS158" s="44"/>
      <c r="CT158" s="44"/>
      <c r="CU158" s="45" t="str">
        <f t="shared" si="2014"/>
        <v>|n</v>
      </c>
      <c r="CV158" s="29"/>
      <c r="DB158" s="30" t="str">
        <f t="shared" si="2015"/>
        <v/>
      </c>
      <c r="DC158" s="30" t="str">
        <f t="shared" si="2016"/>
        <v/>
      </c>
      <c r="DD158" s="30" t="str">
        <f t="shared" si="2017"/>
        <v/>
      </c>
      <c r="DE158" s="30" t="str">
        <f t="shared" si="2018"/>
        <v/>
      </c>
      <c r="DF158" s="30" t="str">
        <f t="shared" si="2019"/>
        <v/>
      </c>
      <c r="DG158" s="30" t="str">
        <f t="shared" si="2020"/>
        <v/>
      </c>
      <c r="DH158" s="30" t="str">
        <f t="shared" si="2021"/>
        <v/>
      </c>
      <c r="DI158" s="30" t="str">
        <f t="shared" si="2022"/>
        <v/>
      </c>
      <c r="DJ158" s="30" t="str">
        <f t="shared" si="2023"/>
        <v/>
      </c>
      <c r="DK158" s="30" t="str">
        <f t="shared" si="2024"/>
        <v/>
      </c>
      <c r="DL158" s="30" t="str">
        <f t="shared" si="2025"/>
        <v/>
      </c>
      <c r="DM158" s="30" t="str">
        <f t="shared" si="2026"/>
        <v/>
      </c>
      <c r="DN158" s="30" t="str">
        <f t="shared" si="2027"/>
        <v/>
      </c>
      <c r="DO158" s="30" t="str">
        <f t="shared" si="2028"/>
        <v/>
      </c>
      <c r="DP158" s="30" t="str">
        <f t="shared" si="2029"/>
        <v/>
      </c>
      <c r="DQ158" s="30" t="str">
        <f t="shared" si="2030"/>
        <v/>
      </c>
      <c r="DR158" s="30" t="str">
        <f t="shared" si="2031"/>
        <v/>
      </c>
      <c r="DS158" s="30" t="str">
        <f t="shared" si="2032"/>
        <v/>
      </c>
      <c r="DT158" s="30" t="str">
        <f t="shared" si="2033"/>
        <v/>
      </c>
      <c r="DU158" s="30" t="str">
        <f t="shared" si="2034"/>
        <v/>
      </c>
      <c r="DV158" s="30" t="str">
        <f t="shared" si="2035"/>
        <v/>
      </c>
      <c r="DW158" s="30" t="str">
        <f t="shared" si="2036"/>
        <v/>
      </c>
      <c r="DX158" s="30" t="str">
        <f t="shared" si="2037"/>
        <v/>
      </c>
      <c r="DY158" s="30" t="str">
        <f t="shared" si="2038"/>
        <v/>
      </c>
      <c r="DZ158" s="30" t="str">
        <f t="shared" si="2039"/>
        <v/>
      </c>
      <c r="EA158" s="30" t="str">
        <f t="shared" si="2040"/>
        <v/>
      </c>
      <c r="EB158" s="30" t="str">
        <f t="shared" si="2041"/>
        <v/>
      </c>
      <c r="EC158" s="30" t="str">
        <f t="shared" si="2042"/>
        <v/>
      </c>
      <c r="ED158" s="30" t="str">
        <f t="shared" si="2043"/>
        <v/>
      </c>
      <c r="EE158" s="30" t="str">
        <f t="shared" si="2044"/>
        <v/>
      </c>
      <c r="EF158" s="30" t="str">
        <f t="shared" si="2045"/>
        <v/>
      </c>
      <c r="EG158" s="30" t="str">
        <f t="shared" si="2046"/>
        <v/>
      </c>
      <c r="EH158" s="30" t="str">
        <f t="shared" si="2047"/>
        <v/>
      </c>
      <c r="EI158" s="30" t="str">
        <f t="shared" si="2048"/>
        <v/>
      </c>
      <c r="EJ158" s="30" t="str">
        <f t="shared" si="2049"/>
        <v/>
      </c>
      <c r="EK158" s="30" t="str">
        <f t="shared" si="2050"/>
        <v/>
      </c>
      <c r="EL158" s="30" t="str">
        <f t="shared" si="2051"/>
        <v/>
      </c>
      <c r="EM158" s="30" t="str">
        <f t="shared" si="2052"/>
        <v/>
      </c>
      <c r="EN158" s="30" t="str">
        <f t="shared" si="2053"/>
        <v/>
      </c>
      <c r="EO158" s="30" t="str">
        <f t="shared" si="2054"/>
        <v/>
      </c>
      <c r="EP158" s="30" t="str">
        <f t="shared" si="2055"/>
        <v/>
      </c>
      <c r="EQ158" s="30" t="str">
        <f t="shared" si="2056"/>
        <v/>
      </c>
      <c r="ER158" s="30" t="str">
        <f t="shared" si="2057"/>
        <v/>
      </c>
      <c r="ES158" s="30" t="str">
        <f t="shared" si="2058"/>
        <v/>
      </c>
      <c r="ET158" s="30" t="str">
        <f t="shared" si="2059"/>
        <v/>
      </c>
      <c r="EU158" s="30" t="str">
        <f t="shared" si="2060"/>
        <v/>
      </c>
      <c r="EV158" s="30" t="str">
        <f t="shared" si="2061"/>
        <v/>
      </c>
      <c r="EW158" s="30" t="str">
        <f t="shared" si="2062"/>
        <v/>
      </c>
      <c r="EX158" s="30" t="str">
        <f t="shared" si="2063"/>
        <v/>
      </c>
      <c r="EY158" s="30" t="str">
        <f t="shared" si="2064"/>
        <v/>
      </c>
      <c r="EZ158" s="30" t="str">
        <f t="shared" si="2065"/>
        <v/>
      </c>
      <c r="FA158" s="30" t="str">
        <f t="shared" si="2066"/>
        <v/>
      </c>
      <c r="FB158" s="30" t="str">
        <f t="shared" si="2067"/>
        <v/>
      </c>
      <c r="FC158" s="30" t="str">
        <f t="shared" si="2068"/>
        <v/>
      </c>
      <c r="FD158" s="30" t="str">
        <f t="shared" si="2069"/>
        <v/>
      </c>
      <c r="FE158" s="30" t="str">
        <f t="shared" si="2070"/>
        <v/>
      </c>
      <c r="FF158" s="30" t="str">
        <f t="shared" si="2071"/>
        <v/>
      </c>
      <c r="FG158" s="30" t="str">
        <f t="shared" si="2072"/>
        <v/>
      </c>
      <c r="FH158" s="30" t="str">
        <f t="shared" si="2073"/>
        <v/>
      </c>
      <c r="FI158" s="30" t="str">
        <f t="shared" si="2074"/>
        <v/>
      </c>
      <c r="FJ158" s="30" t="str">
        <f t="shared" si="2075"/>
        <v/>
      </c>
      <c r="FK158" s="30" t="str">
        <f t="shared" si="2076"/>
        <v/>
      </c>
      <c r="FL158" s="30" t="str">
        <f t="shared" si="2077"/>
        <v/>
      </c>
      <c r="FM158" s="30" t="str">
        <f t="shared" si="2078"/>
        <v/>
      </c>
      <c r="FN158" s="30" t="str">
        <f t="shared" si="2079"/>
        <v/>
      </c>
      <c r="FO158" s="30" t="str">
        <f t="shared" si="2080"/>
        <v/>
      </c>
      <c r="FP158" s="30" t="str">
        <f t="shared" si="2081"/>
        <v/>
      </c>
      <c r="FQ158" s="30" t="str">
        <f t="shared" si="2082"/>
        <v/>
      </c>
      <c r="FR158" s="30" t="str">
        <f t="shared" si="2083"/>
        <v/>
      </c>
      <c r="FS158" s="30" t="str">
        <f t="shared" si="2084"/>
        <v/>
      </c>
    </row>
    <row r="159" spans="1:175" s="24" customFormat="1" ht="16.5">
      <c r="A159" s="46"/>
      <c r="B159" s="36"/>
      <c r="C159" s="46"/>
      <c r="D159" s="31"/>
      <c r="E159" s="39"/>
      <c r="F159" s="41"/>
      <c r="G159" s="47"/>
      <c r="H159" s="47"/>
      <c r="I159" s="47"/>
      <c r="J159" s="47"/>
      <c r="K159" s="47"/>
      <c r="L159" s="47"/>
      <c r="M159" s="47"/>
      <c r="N159" s="47"/>
      <c r="O159" s="47"/>
      <c r="P159" s="42"/>
      <c r="Q159" s="42"/>
      <c r="R159" s="42"/>
      <c r="S159" s="42"/>
      <c r="T159" s="102"/>
      <c r="U159" s="32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4" t="str">
        <f t="shared" si="2009"/>
        <v>InitUnitState('',,,,,,,,,,)</v>
      </c>
      <c r="CO159" s="44" t="str">
        <f t="shared" si="2010"/>
        <v>InitUnitNormal('',,,,,,,,,,)</v>
      </c>
      <c r="CP159" s="44" t="str">
        <f t="shared" si="2011"/>
        <v>InitUnitMagic('',,,,,,,,,,)</v>
      </c>
      <c r="CQ159" s="44" t="str">
        <f t="shared" si="2012"/>
        <v>InitUnitAdd('',,,,,,,,,,)</v>
      </c>
      <c r="CR159" s="44" t="str">
        <f t="shared" si="2013"/>
        <v>InitEquipData('',,"",,,,,'','','','','','',"")</v>
      </c>
      <c r="CS159" s="44"/>
      <c r="CT159" s="44"/>
      <c r="CU159" s="45" t="str">
        <f t="shared" si="2014"/>
        <v>|n</v>
      </c>
      <c r="CV159" s="29"/>
      <c r="DB159" s="30" t="str">
        <f t="shared" si="2015"/>
        <v/>
      </c>
      <c r="DC159" s="30" t="str">
        <f t="shared" si="2016"/>
        <v/>
      </c>
      <c r="DD159" s="30" t="str">
        <f t="shared" si="2017"/>
        <v/>
      </c>
      <c r="DE159" s="30" t="str">
        <f t="shared" si="2018"/>
        <v/>
      </c>
      <c r="DF159" s="30" t="str">
        <f t="shared" si="2019"/>
        <v/>
      </c>
      <c r="DG159" s="30" t="str">
        <f t="shared" si="2020"/>
        <v/>
      </c>
      <c r="DH159" s="30" t="str">
        <f t="shared" si="2021"/>
        <v/>
      </c>
      <c r="DI159" s="30" t="str">
        <f t="shared" si="2022"/>
        <v/>
      </c>
      <c r="DJ159" s="30" t="str">
        <f t="shared" si="2023"/>
        <v/>
      </c>
      <c r="DK159" s="30" t="str">
        <f t="shared" si="2024"/>
        <v/>
      </c>
      <c r="DL159" s="30" t="str">
        <f t="shared" si="2025"/>
        <v/>
      </c>
      <c r="DM159" s="30" t="str">
        <f t="shared" si="2026"/>
        <v/>
      </c>
      <c r="DN159" s="30" t="str">
        <f t="shared" si="2027"/>
        <v/>
      </c>
      <c r="DO159" s="30" t="str">
        <f t="shared" si="2028"/>
        <v/>
      </c>
      <c r="DP159" s="30" t="str">
        <f t="shared" si="2029"/>
        <v/>
      </c>
      <c r="DQ159" s="30" t="str">
        <f t="shared" si="2030"/>
        <v/>
      </c>
      <c r="DR159" s="30" t="str">
        <f t="shared" si="2031"/>
        <v/>
      </c>
      <c r="DS159" s="30" t="str">
        <f t="shared" si="2032"/>
        <v/>
      </c>
      <c r="DT159" s="30" t="str">
        <f t="shared" si="2033"/>
        <v/>
      </c>
      <c r="DU159" s="30" t="str">
        <f t="shared" si="2034"/>
        <v/>
      </c>
      <c r="DV159" s="30" t="str">
        <f t="shared" si="2035"/>
        <v/>
      </c>
      <c r="DW159" s="30" t="str">
        <f t="shared" si="2036"/>
        <v/>
      </c>
      <c r="DX159" s="30" t="str">
        <f t="shared" si="2037"/>
        <v/>
      </c>
      <c r="DY159" s="30" t="str">
        <f t="shared" si="2038"/>
        <v/>
      </c>
      <c r="DZ159" s="30" t="str">
        <f t="shared" si="2039"/>
        <v/>
      </c>
      <c r="EA159" s="30" t="str">
        <f t="shared" si="2040"/>
        <v/>
      </c>
      <c r="EB159" s="30" t="str">
        <f t="shared" si="2041"/>
        <v/>
      </c>
      <c r="EC159" s="30" t="str">
        <f t="shared" si="2042"/>
        <v/>
      </c>
      <c r="ED159" s="30" t="str">
        <f t="shared" si="2043"/>
        <v/>
      </c>
      <c r="EE159" s="30" t="str">
        <f t="shared" si="2044"/>
        <v/>
      </c>
      <c r="EF159" s="30" t="str">
        <f t="shared" si="2045"/>
        <v/>
      </c>
      <c r="EG159" s="30" t="str">
        <f t="shared" si="2046"/>
        <v/>
      </c>
      <c r="EH159" s="30" t="str">
        <f t="shared" si="2047"/>
        <v/>
      </c>
      <c r="EI159" s="30" t="str">
        <f t="shared" si="2048"/>
        <v/>
      </c>
      <c r="EJ159" s="30" t="str">
        <f t="shared" si="2049"/>
        <v/>
      </c>
      <c r="EK159" s="30" t="str">
        <f t="shared" si="2050"/>
        <v/>
      </c>
      <c r="EL159" s="30" t="str">
        <f t="shared" si="2051"/>
        <v/>
      </c>
      <c r="EM159" s="30" t="str">
        <f t="shared" si="2052"/>
        <v/>
      </c>
      <c r="EN159" s="30" t="str">
        <f t="shared" si="2053"/>
        <v/>
      </c>
      <c r="EO159" s="30" t="str">
        <f t="shared" si="2054"/>
        <v/>
      </c>
      <c r="EP159" s="30" t="str">
        <f t="shared" si="2055"/>
        <v/>
      </c>
      <c r="EQ159" s="30" t="str">
        <f t="shared" si="2056"/>
        <v/>
      </c>
      <c r="ER159" s="30" t="str">
        <f t="shared" si="2057"/>
        <v/>
      </c>
      <c r="ES159" s="30" t="str">
        <f t="shared" si="2058"/>
        <v/>
      </c>
      <c r="ET159" s="30" t="str">
        <f t="shared" si="2059"/>
        <v/>
      </c>
      <c r="EU159" s="30" t="str">
        <f t="shared" si="2060"/>
        <v/>
      </c>
      <c r="EV159" s="30" t="str">
        <f t="shared" si="2061"/>
        <v/>
      </c>
      <c r="EW159" s="30" t="str">
        <f t="shared" si="2062"/>
        <v/>
      </c>
      <c r="EX159" s="30" t="str">
        <f t="shared" si="2063"/>
        <v/>
      </c>
      <c r="EY159" s="30" t="str">
        <f t="shared" si="2064"/>
        <v/>
      </c>
      <c r="EZ159" s="30" t="str">
        <f t="shared" si="2065"/>
        <v/>
      </c>
      <c r="FA159" s="30" t="str">
        <f t="shared" si="2066"/>
        <v/>
      </c>
      <c r="FB159" s="30" t="str">
        <f t="shared" si="2067"/>
        <v/>
      </c>
      <c r="FC159" s="30" t="str">
        <f t="shared" si="2068"/>
        <v/>
      </c>
      <c r="FD159" s="30" t="str">
        <f t="shared" si="2069"/>
        <v/>
      </c>
      <c r="FE159" s="30" t="str">
        <f t="shared" si="2070"/>
        <v/>
      </c>
      <c r="FF159" s="30" t="str">
        <f t="shared" si="2071"/>
        <v/>
      </c>
      <c r="FG159" s="30" t="str">
        <f t="shared" si="2072"/>
        <v/>
      </c>
      <c r="FH159" s="30" t="str">
        <f t="shared" si="2073"/>
        <v/>
      </c>
      <c r="FI159" s="30" t="str">
        <f t="shared" si="2074"/>
        <v/>
      </c>
      <c r="FJ159" s="30" t="str">
        <f t="shared" si="2075"/>
        <v/>
      </c>
      <c r="FK159" s="30" t="str">
        <f t="shared" si="2076"/>
        <v/>
      </c>
      <c r="FL159" s="30" t="str">
        <f t="shared" si="2077"/>
        <v/>
      </c>
      <c r="FM159" s="30" t="str">
        <f t="shared" si="2078"/>
        <v/>
      </c>
      <c r="FN159" s="30" t="str">
        <f t="shared" si="2079"/>
        <v/>
      </c>
      <c r="FO159" s="30" t="str">
        <f t="shared" si="2080"/>
        <v/>
      </c>
      <c r="FP159" s="30" t="str">
        <f t="shared" si="2081"/>
        <v/>
      </c>
      <c r="FQ159" s="30" t="str">
        <f t="shared" si="2082"/>
        <v/>
      </c>
      <c r="FR159" s="30" t="str">
        <f t="shared" si="2083"/>
        <v/>
      </c>
      <c r="FS159" s="30" t="str">
        <f t="shared" si="2084"/>
        <v/>
      </c>
    </row>
    <row r="160" spans="1:175" s="24" customFormat="1" ht="16.5">
      <c r="A160" s="46"/>
      <c r="B160" s="36"/>
      <c r="C160" s="46"/>
      <c r="D160" s="31"/>
      <c r="E160" s="39"/>
      <c r="F160" s="41"/>
      <c r="G160" s="47"/>
      <c r="H160" s="47"/>
      <c r="I160" s="47"/>
      <c r="J160" s="47"/>
      <c r="K160" s="47"/>
      <c r="L160" s="47"/>
      <c r="M160" s="47"/>
      <c r="N160" s="47"/>
      <c r="O160" s="47"/>
      <c r="P160" s="42"/>
      <c r="Q160" s="42"/>
      <c r="R160" s="42"/>
      <c r="S160" s="42"/>
      <c r="T160" s="102"/>
      <c r="U160" s="32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4" t="str">
        <f t="shared" si="2009"/>
        <v>InitUnitState('',,,,,,,,,,)</v>
      </c>
      <c r="CO160" s="44" t="str">
        <f t="shared" si="2010"/>
        <v>InitUnitNormal('',,,,,,,,,,)</v>
      </c>
      <c r="CP160" s="44" t="str">
        <f t="shared" si="2011"/>
        <v>InitUnitMagic('',,,,,,,,,,)</v>
      </c>
      <c r="CQ160" s="44" t="str">
        <f t="shared" si="2012"/>
        <v>InitUnitAdd('',,,,,,,,,,)</v>
      </c>
      <c r="CR160" s="44" t="str">
        <f t="shared" si="2013"/>
        <v>InitEquipData('',,"",,,,,'','','','','','',"")</v>
      </c>
      <c r="CS160" s="44"/>
      <c r="CT160" s="44"/>
      <c r="CU160" s="45" t="str">
        <f t="shared" si="2014"/>
        <v>|n</v>
      </c>
      <c r="CV160" s="29"/>
      <c r="DB160" s="30" t="str">
        <f t="shared" si="2015"/>
        <v/>
      </c>
      <c r="DC160" s="30" t="str">
        <f t="shared" si="2016"/>
        <v/>
      </c>
      <c r="DD160" s="30" t="str">
        <f t="shared" si="2017"/>
        <v/>
      </c>
      <c r="DE160" s="30" t="str">
        <f t="shared" si="2018"/>
        <v/>
      </c>
      <c r="DF160" s="30" t="str">
        <f t="shared" si="2019"/>
        <v/>
      </c>
      <c r="DG160" s="30" t="str">
        <f t="shared" si="2020"/>
        <v/>
      </c>
      <c r="DH160" s="30" t="str">
        <f t="shared" si="2021"/>
        <v/>
      </c>
      <c r="DI160" s="30" t="str">
        <f t="shared" si="2022"/>
        <v/>
      </c>
      <c r="DJ160" s="30" t="str">
        <f t="shared" si="2023"/>
        <v/>
      </c>
      <c r="DK160" s="30" t="str">
        <f t="shared" si="2024"/>
        <v/>
      </c>
      <c r="DL160" s="30" t="str">
        <f t="shared" si="2025"/>
        <v/>
      </c>
      <c r="DM160" s="30" t="str">
        <f t="shared" si="2026"/>
        <v/>
      </c>
      <c r="DN160" s="30" t="str">
        <f t="shared" si="2027"/>
        <v/>
      </c>
      <c r="DO160" s="30" t="str">
        <f t="shared" si="2028"/>
        <v/>
      </c>
      <c r="DP160" s="30" t="str">
        <f t="shared" si="2029"/>
        <v/>
      </c>
      <c r="DQ160" s="30" t="str">
        <f t="shared" si="2030"/>
        <v/>
      </c>
      <c r="DR160" s="30" t="str">
        <f t="shared" si="2031"/>
        <v/>
      </c>
      <c r="DS160" s="30" t="str">
        <f t="shared" si="2032"/>
        <v/>
      </c>
      <c r="DT160" s="30" t="str">
        <f t="shared" si="2033"/>
        <v/>
      </c>
      <c r="DU160" s="30" t="str">
        <f t="shared" si="2034"/>
        <v/>
      </c>
      <c r="DV160" s="30" t="str">
        <f t="shared" si="2035"/>
        <v/>
      </c>
      <c r="DW160" s="30" t="str">
        <f t="shared" si="2036"/>
        <v/>
      </c>
      <c r="DX160" s="30" t="str">
        <f t="shared" si="2037"/>
        <v/>
      </c>
      <c r="DY160" s="30" t="str">
        <f t="shared" si="2038"/>
        <v/>
      </c>
      <c r="DZ160" s="30" t="str">
        <f t="shared" si="2039"/>
        <v/>
      </c>
      <c r="EA160" s="30" t="str">
        <f t="shared" si="2040"/>
        <v/>
      </c>
      <c r="EB160" s="30" t="str">
        <f t="shared" si="2041"/>
        <v/>
      </c>
      <c r="EC160" s="30" t="str">
        <f t="shared" si="2042"/>
        <v/>
      </c>
      <c r="ED160" s="30" t="str">
        <f t="shared" si="2043"/>
        <v/>
      </c>
      <c r="EE160" s="30" t="str">
        <f t="shared" si="2044"/>
        <v/>
      </c>
      <c r="EF160" s="30" t="str">
        <f t="shared" si="2045"/>
        <v/>
      </c>
      <c r="EG160" s="30" t="str">
        <f t="shared" si="2046"/>
        <v/>
      </c>
      <c r="EH160" s="30" t="str">
        <f t="shared" si="2047"/>
        <v/>
      </c>
      <c r="EI160" s="30" t="str">
        <f t="shared" si="2048"/>
        <v/>
      </c>
      <c r="EJ160" s="30" t="str">
        <f t="shared" si="2049"/>
        <v/>
      </c>
      <c r="EK160" s="30" t="str">
        <f t="shared" si="2050"/>
        <v/>
      </c>
      <c r="EL160" s="30" t="str">
        <f t="shared" si="2051"/>
        <v/>
      </c>
      <c r="EM160" s="30" t="str">
        <f t="shared" si="2052"/>
        <v/>
      </c>
      <c r="EN160" s="30" t="str">
        <f t="shared" si="2053"/>
        <v/>
      </c>
      <c r="EO160" s="30" t="str">
        <f t="shared" si="2054"/>
        <v/>
      </c>
      <c r="EP160" s="30" t="str">
        <f t="shared" si="2055"/>
        <v/>
      </c>
      <c r="EQ160" s="30" t="str">
        <f t="shared" si="2056"/>
        <v/>
      </c>
      <c r="ER160" s="30" t="str">
        <f t="shared" si="2057"/>
        <v/>
      </c>
      <c r="ES160" s="30" t="str">
        <f t="shared" si="2058"/>
        <v/>
      </c>
      <c r="ET160" s="30" t="str">
        <f t="shared" si="2059"/>
        <v/>
      </c>
      <c r="EU160" s="30" t="str">
        <f t="shared" si="2060"/>
        <v/>
      </c>
      <c r="EV160" s="30" t="str">
        <f t="shared" si="2061"/>
        <v/>
      </c>
      <c r="EW160" s="30" t="str">
        <f t="shared" si="2062"/>
        <v/>
      </c>
      <c r="EX160" s="30" t="str">
        <f t="shared" si="2063"/>
        <v/>
      </c>
      <c r="EY160" s="30" t="str">
        <f t="shared" si="2064"/>
        <v/>
      </c>
      <c r="EZ160" s="30" t="str">
        <f t="shared" si="2065"/>
        <v/>
      </c>
      <c r="FA160" s="30" t="str">
        <f t="shared" si="2066"/>
        <v/>
      </c>
      <c r="FB160" s="30" t="str">
        <f t="shared" si="2067"/>
        <v/>
      </c>
      <c r="FC160" s="30" t="str">
        <f t="shared" si="2068"/>
        <v/>
      </c>
      <c r="FD160" s="30" t="str">
        <f t="shared" si="2069"/>
        <v/>
      </c>
      <c r="FE160" s="30" t="str">
        <f t="shared" si="2070"/>
        <v/>
      </c>
      <c r="FF160" s="30" t="str">
        <f t="shared" si="2071"/>
        <v/>
      </c>
      <c r="FG160" s="30" t="str">
        <f t="shared" si="2072"/>
        <v/>
      </c>
      <c r="FH160" s="30" t="str">
        <f t="shared" si="2073"/>
        <v/>
      </c>
      <c r="FI160" s="30" t="str">
        <f t="shared" si="2074"/>
        <v/>
      </c>
      <c r="FJ160" s="30" t="str">
        <f t="shared" si="2075"/>
        <v/>
      </c>
      <c r="FK160" s="30" t="str">
        <f t="shared" si="2076"/>
        <v/>
      </c>
      <c r="FL160" s="30" t="str">
        <f t="shared" si="2077"/>
        <v/>
      </c>
      <c r="FM160" s="30" t="str">
        <f t="shared" si="2078"/>
        <v/>
      </c>
      <c r="FN160" s="30" t="str">
        <f t="shared" si="2079"/>
        <v/>
      </c>
      <c r="FO160" s="30" t="str">
        <f t="shared" si="2080"/>
        <v/>
      </c>
      <c r="FP160" s="30" t="str">
        <f t="shared" si="2081"/>
        <v/>
      </c>
      <c r="FQ160" s="30" t="str">
        <f t="shared" si="2082"/>
        <v/>
      </c>
      <c r="FR160" s="30" t="str">
        <f t="shared" si="2083"/>
        <v/>
      </c>
      <c r="FS160" s="30" t="str">
        <f t="shared" si="2084"/>
        <v/>
      </c>
    </row>
    <row r="161" spans="1:175" s="24" customFormat="1" ht="16.5">
      <c r="A161" s="46"/>
      <c r="B161" s="36"/>
      <c r="C161" s="46"/>
      <c r="D161" s="31"/>
      <c r="E161" s="39"/>
      <c r="F161" s="41"/>
      <c r="G161" s="47"/>
      <c r="H161" s="47"/>
      <c r="I161" s="47"/>
      <c r="J161" s="47"/>
      <c r="K161" s="47"/>
      <c r="L161" s="47"/>
      <c r="M161" s="47"/>
      <c r="N161" s="47"/>
      <c r="O161" s="47"/>
      <c r="P161" s="42"/>
      <c r="Q161" s="42"/>
      <c r="R161" s="42"/>
      <c r="S161" s="42"/>
      <c r="T161" s="102"/>
      <c r="U161" s="32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43"/>
      <c r="CB161" s="43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4" t="str">
        <f t="shared" si="2009"/>
        <v>InitUnitState('',,,,,,,,,,)</v>
      </c>
      <c r="CO161" s="44" t="str">
        <f t="shared" si="2010"/>
        <v>InitUnitNormal('',,,,,,,,,,)</v>
      </c>
      <c r="CP161" s="44" t="str">
        <f t="shared" si="2011"/>
        <v>InitUnitMagic('',,,,,,,,,,)</v>
      </c>
      <c r="CQ161" s="44" t="str">
        <f t="shared" si="2012"/>
        <v>InitUnitAdd('',,,,,,,,,,)</v>
      </c>
      <c r="CR161" s="44" t="str">
        <f t="shared" si="2013"/>
        <v>InitEquipData('',,"",,,,,'','','','','','',"")</v>
      </c>
      <c r="CS161" s="44"/>
      <c r="CT161" s="44"/>
      <c r="CU161" s="45" t="str">
        <f t="shared" si="2014"/>
        <v>|n</v>
      </c>
      <c r="CV161" s="29"/>
      <c r="DB161" s="30" t="str">
        <f t="shared" si="2015"/>
        <v/>
      </c>
      <c r="DC161" s="30" t="str">
        <f t="shared" si="2016"/>
        <v/>
      </c>
      <c r="DD161" s="30" t="str">
        <f t="shared" si="2017"/>
        <v/>
      </c>
      <c r="DE161" s="30" t="str">
        <f t="shared" si="2018"/>
        <v/>
      </c>
      <c r="DF161" s="30" t="str">
        <f t="shared" si="2019"/>
        <v/>
      </c>
      <c r="DG161" s="30" t="str">
        <f t="shared" si="2020"/>
        <v/>
      </c>
      <c r="DH161" s="30" t="str">
        <f t="shared" si="2021"/>
        <v/>
      </c>
      <c r="DI161" s="30" t="str">
        <f t="shared" si="2022"/>
        <v/>
      </c>
      <c r="DJ161" s="30" t="str">
        <f t="shared" si="2023"/>
        <v/>
      </c>
      <c r="DK161" s="30" t="str">
        <f t="shared" si="2024"/>
        <v/>
      </c>
      <c r="DL161" s="30" t="str">
        <f t="shared" si="2025"/>
        <v/>
      </c>
      <c r="DM161" s="30" t="str">
        <f t="shared" si="2026"/>
        <v/>
      </c>
      <c r="DN161" s="30" t="str">
        <f t="shared" si="2027"/>
        <v/>
      </c>
      <c r="DO161" s="30" t="str">
        <f t="shared" si="2028"/>
        <v/>
      </c>
      <c r="DP161" s="30" t="str">
        <f t="shared" si="2029"/>
        <v/>
      </c>
      <c r="DQ161" s="30" t="str">
        <f t="shared" si="2030"/>
        <v/>
      </c>
      <c r="DR161" s="30" t="str">
        <f t="shared" si="2031"/>
        <v/>
      </c>
      <c r="DS161" s="30" t="str">
        <f t="shared" si="2032"/>
        <v/>
      </c>
      <c r="DT161" s="30" t="str">
        <f t="shared" si="2033"/>
        <v/>
      </c>
      <c r="DU161" s="30" t="str">
        <f t="shared" si="2034"/>
        <v/>
      </c>
      <c r="DV161" s="30" t="str">
        <f t="shared" si="2035"/>
        <v/>
      </c>
      <c r="DW161" s="30" t="str">
        <f t="shared" si="2036"/>
        <v/>
      </c>
      <c r="DX161" s="30" t="str">
        <f t="shared" si="2037"/>
        <v/>
      </c>
      <c r="DY161" s="30" t="str">
        <f t="shared" si="2038"/>
        <v/>
      </c>
      <c r="DZ161" s="30" t="str">
        <f t="shared" si="2039"/>
        <v/>
      </c>
      <c r="EA161" s="30" t="str">
        <f t="shared" si="2040"/>
        <v/>
      </c>
      <c r="EB161" s="30" t="str">
        <f t="shared" si="2041"/>
        <v/>
      </c>
      <c r="EC161" s="30" t="str">
        <f t="shared" si="2042"/>
        <v/>
      </c>
      <c r="ED161" s="30" t="str">
        <f t="shared" si="2043"/>
        <v/>
      </c>
      <c r="EE161" s="30" t="str">
        <f t="shared" si="2044"/>
        <v/>
      </c>
      <c r="EF161" s="30" t="str">
        <f t="shared" si="2045"/>
        <v/>
      </c>
      <c r="EG161" s="30" t="str">
        <f t="shared" si="2046"/>
        <v/>
      </c>
      <c r="EH161" s="30" t="str">
        <f t="shared" si="2047"/>
        <v/>
      </c>
      <c r="EI161" s="30" t="str">
        <f t="shared" si="2048"/>
        <v/>
      </c>
      <c r="EJ161" s="30" t="str">
        <f t="shared" si="2049"/>
        <v/>
      </c>
      <c r="EK161" s="30" t="str">
        <f t="shared" si="2050"/>
        <v/>
      </c>
      <c r="EL161" s="30" t="str">
        <f t="shared" si="2051"/>
        <v/>
      </c>
      <c r="EM161" s="30" t="str">
        <f t="shared" si="2052"/>
        <v/>
      </c>
      <c r="EN161" s="30" t="str">
        <f t="shared" si="2053"/>
        <v/>
      </c>
      <c r="EO161" s="30" t="str">
        <f t="shared" si="2054"/>
        <v/>
      </c>
      <c r="EP161" s="30" t="str">
        <f t="shared" si="2055"/>
        <v/>
      </c>
      <c r="EQ161" s="30" t="str">
        <f t="shared" si="2056"/>
        <v/>
      </c>
      <c r="ER161" s="30" t="str">
        <f t="shared" si="2057"/>
        <v/>
      </c>
      <c r="ES161" s="30" t="str">
        <f t="shared" si="2058"/>
        <v/>
      </c>
      <c r="ET161" s="30" t="str">
        <f t="shared" si="2059"/>
        <v/>
      </c>
      <c r="EU161" s="30" t="str">
        <f t="shared" si="2060"/>
        <v/>
      </c>
      <c r="EV161" s="30" t="str">
        <f t="shared" si="2061"/>
        <v/>
      </c>
      <c r="EW161" s="30" t="str">
        <f t="shared" si="2062"/>
        <v/>
      </c>
      <c r="EX161" s="30" t="str">
        <f t="shared" si="2063"/>
        <v/>
      </c>
      <c r="EY161" s="30" t="str">
        <f t="shared" si="2064"/>
        <v/>
      </c>
      <c r="EZ161" s="30" t="str">
        <f t="shared" si="2065"/>
        <v/>
      </c>
      <c r="FA161" s="30" t="str">
        <f t="shared" si="2066"/>
        <v/>
      </c>
      <c r="FB161" s="30" t="str">
        <f t="shared" si="2067"/>
        <v/>
      </c>
      <c r="FC161" s="30" t="str">
        <f t="shared" si="2068"/>
        <v/>
      </c>
      <c r="FD161" s="30" t="str">
        <f t="shared" si="2069"/>
        <v/>
      </c>
      <c r="FE161" s="30" t="str">
        <f t="shared" si="2070"/>
        <v/>
      </c>
      <c r="FF161" s="30" t="str">
        <f t="shared" si="2071"/>
        <v/>
      </c>
      <c r="FG161" s="30" t="str">
        <f t="shared" si="2072"/>
        <v/>
      </c>
      <c r="FH161" s="30" t="str">
        <f t="shared" si="2073"/>
        <v/>
      </c>
      <c r="FI161" s="30" t="str">
        <f t="shared" si="2074"/>
        <v/>
      </c>
      <c r="FJ161" s="30" t="str">
        <f t="shared" si="2075"/>
        <v/>
      </c>
      <c r="FK161" s="30" t="str">
        <f t="shared" si="2076"/>
        <v/>
      </c>
      <c r="FL161" s="30" t="str">
        <f t="shared" si="2077"/>
        <v/>
      </c>
      <c r="FM161" s="30" t="str">
        <f t="shared" si="2078"/>
        <v/>
      </c>
      <c r="FN161" s="30" t="str">
        <f t="shared" si="2079"/>
        <v/>
      </c>
      <c r="FO161" s="30" t="str">
        <f t="shared" si="2080"/>
        <v/>
      </c>
      <c r="FP161" s="30" t="str">
        <f t="shared" si="2081"/>
        <v/>
      </c>
      <c r="FQ161" s="30" t="str">
        <f t="shared" si="2082"/>
        <v/>
      </c>
      <c r="FR161" s="30" t="str">
        <f t="shared" si="2083"/>
        <v/>
      </c>
      <c r="FS161" s="30" t="str">
        <f t="shared" si="2084"/>
        <v/>
      </c>
    </row>
    <row r="162" spans="1:175" s="24" customFormat="1" ht="16.5">
      <c r="A162" s="46"/>
      <c r="B162" s="36"/>
      <c r="C162" s="46"/>
      <c r="D162" s="31"/>
      <c r="E162" s="39"/>
      <c r="F162" s="41"/>
      <c r="G162" s="47"/>
      <c r="H162" s="47"/>
      <c r="I162" s="47"/>
      <c r="J162" s="47"/>
      <c r="K162" s="47"/>
      <c r="L162" s="47"/>
      <c r="M162" s="47"/>
      <c r="N162" s="47"/>
      <c r="O162" s="47"/>
      <c r="P162" s="42"/>
      <c r="Q162" s="42"/>
      <c r="R162" s="42"/>
      <c r="S162" s="42"/>
      <c r="T162" s="102"/>
      <c r="U162" s="32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43"/>
      <c r="CB162" s="43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4" t="str">
        <f t="shared" si="2009"/>
        <v>InitUnitState('',,,,,,,,,,)</v>
      </c>
      <c r="CO162" s="44" t="str">
        <f t="shared" si="2010"/>
        <v>InitUnitNormal('',,,,,,,,,,)</v>
      </c>
      <c r="CP162" s="44" t="str">
        <f t="shared" si="2011"/>
        <v>InitUnitMagic('',,,,,,,,,,)</v>
      </c>
      <c r="CQ162" s="44" t="str">
        <f t="shared" si="2012"/>
        <v>InitUnitAdd('',,,,,,,,,,)</v>
      </c>
      <c r="CR162" s="44" t="str">
        <f t="shared" si="2013"/>
        <v>InitEquipData('',,"",,,,,'','','','','','',"")</v>
      </c>
      <c r="CS162" s="44"/>
      <c r="CT162" s="44"/>
      <c r="CU162" s="45" t="str">
        <f t="shared" si="2014"/>
        <v>|n</v>
      </c>
      <c r="CV162" s="29"/>
      <c r="DB162" s="30" t="str">
        <f t="shared" si="2015"/>
        <v/>
      </c>
      <c r="DC162" s="30" t="str">
        <f t="shared" si="2016"/>
        <v/>
      </c>
      <c r="DD162" s="30" t="str">
        <f t="shared" si="2017"/>
        <v/>
      </c>
      <c r="DE162" s="30" t="str">
        <f t="shared" si="2018"/>
        <v/>
      </c>
      <c r="DF162" s="30" t="str">
        <f t="shared" si="2019"/>
        <v/>
      </c>
      <c r="DG162" s="30" t="str">
        <f t="shared" si="2020"/>
        <v/>
      </c>
      <c r="DH162" s="30" t="str">
        <f t="shared" si="2021"/>
        <v/>
      </c>
      <c r="DI162" s="30" t="str">
        <f t="shared" si="2022"/>
        <v/>
      </c>
      <c r="DJ162" s="30" t="str">
        <f t="shared" si="2023"/>
        <v/>
      </c>
      <c r="DK162" s="30" t="str">
        <f t="shared" si="2024"/>
        <v/>
      </c>
      <c r="DL162" s="30" t="str">
        <f t="shared" si="2025"/>
        <v/>
      </c>
      <c r="DM162" s="30" t="str">
        <f t="shared" si="2026"/>
        <v/>
      </c>
      <c r="DN162" s="30" t="str">
        <f t="shared" si="2027"/>
        <v/>
      </c>
      <c r="DO162" s="30" t="str">
        <f t="shared" si="2028"/>
        <v/>
      </c>
      <c r="DP162" s="30" t="str">
        <f t="shared" si="2029"/>
        <v/>
      </c>
      <c r="DQ162" s="30" t="str">
        <f t="shared" si="2030"/>
        <v/>
      </c>
      <c r="DR162" s="30" t="str">
        <f t="shared" si="2031"/>
        <v/>
      </c>
      <c r="DS162" s="30" t="str">
        <f t="shared" si="2032"/>
        <v/>
      </c>
      <c r="DT162" s="30" t="str">
        <f t="shared" si="2033"/>
        <v/>
      </c>
      <c r="DU162" s="30" t="str">
        <f t="shared" si="2034"/>
        <v/>
      </c>
      <c r="DV162" s="30" t="str">
        <f t="shared" si="2035"/>
        <v/>
      </c>
      <c r="DW162" s="30" t="str">
        <f t="shared" si="2036"/>
        <v/>
      </c>
      <c r="DX162" s="30" t="str">
        <f t="shared" si="2037"/>
        <v/>
      </c>
      <c r="DY162" s="30" t="str">
        <f t="shared" si="2038"/>
        <v/>
      </c>
      <c r="DZ162" s="30" t="str">
        <f t="shared" si="2039"/>
        <v/>
      </c>
      <c r="EA162" s="30" t="str">
        <f t="shared" si="2040"/>
        <v/>
      </c>
      <c r="EB162" s="30" t="str">
        <f t="shared" si="2041"/>
        <v/>
      </c>
      <c r="EC162" s="30" t="str">
        <f t="shared" si="2042"/>
        <v/>
      </c>
      <c r="ED162" s="30" t="str">
        <f t="shared" si="2043"/>
        <v/>
      </c>
      <c r="EE162" s="30" t="str">
        <f t="shared" si="2044"/>
        <v/>
      </c>
      <c r="EF162" s="30" t="str">
        <f t="shared" si="2045"/>
        <v/>
      </c>
      <c r="EG162" s="30" t="str">
        <f t="shared" si="2046"/>
        <v/>
      </c>
      <c r="EH162" s="30" t="str">
        <f t="shared" si="2047"/>
        <v/>
      </c>
      <c r="EI162" s="30" t="str">
        <f t="shared" si="2048"/>
        <v/>
      </c>
      <c r="EJ162" s="30" t="str">
        <f t="shared" si="2049"/>
        <v/>
      </c>
      <c r="EK162" s="30" t="str">
        <f t="shared" si="2050"/>
        <v/>
      </c>
      <c r="EL162" s="30" t="str">
        <f t="shared" si="2051"/>
        <v/>
      </c>
      <c r="EM162" s="30" t="str">
        <f t="shared" si="2052"/>
        <v/>
      </c>
      <c r="EN162" s="30" t="str">
        <f t="shared" si="2053"/>
        <v/>
      </c>
      <c r="EO162" s="30" t="str">
        <f t="shared" si="2054"/>
        <v/>
      </c>
      <c r="EP162" s="30" t="str">
        <f t="shared" si="2055"/>
        <v/>
      </c>
      <c r="EQ162" s="30" t="str">
        <f t="shared" si="2056"/>
        <v/>
      </c>
      <c r="ER162" s="30" t="str">
        <f t="shared" si="2057"/>
        <v/>
      </c>
      <c r="ES162" s="30" t="str">
        <f t="shared" si="2058"/>
        <v/>
      </c>
      <c r="ET162" s="30" t="str">
        <f t="shared" si="2059"/>
        <v/>
      </c>
      <c r="EU162" s="30" t="str">
        <f t="shared" si="2060"/>
        <v/>
      </c>
      <c r="EV162" s="30" t="str">
        <f t="shared" si="2061"/>
        <v/>
      </c>
      <c r="EW162" s="30" t="str">
        <f t="shared" si="2062"/>
        <v/>
      </c>
      <c r="EX162" s="30" t="str">
        <f t="shared" si="2063"/>
        <v/>
      </c>
      <c r="EY162" s="30" t="str">
        <f t="shared" si="2064"/>
        <v/>
      </c>
      <c r="EZ162" s="30" t="str">
        <f t="shared" si="2065"/>
        <v/>
      </c>
      <c r="FA162" s="30" t="str">
        <f t="shared" si="2066"/>
        <v/>
      </c>
      <c r="FB162" s="30" t="str">
        <f t="shared" si="2067"/>
        <v/>
      </c>
      <c r="FC162" s="30" t="str">
        <f t="shared" si="2068"/>
        <v/>
      </c>
      <c r="FD162" s="30" t="str">
        <f t="shared" si="2069"/>
        <v/>
      </c>
      <c r="FE162" s="30" t="str">
        <f t="shared" si="2070"/>
        <v/>
      </c>
      <c r="FF162" s="30" t="str">
        <f t="shared" si="2071"/>
        <v/>
      </c>
      <c r="FG162" s="30" t="str">
        <f t="shared" si="2072"/>
        <v/>
      </c>
      <c r="FH162" s="30" t="str">
        <f t="shared" si="2073"/>
        <v/>
      </c>
      <c r="FI162" s="30" t="str">
        <f t="shared" si="2074"/>
        <v/>
      </c>
      <c r="FJ162" s="30" t="str">
        <f t="shared" si="2075"/>
        <v/>
      </c>
      <c r="FK162" s="30" t="str">
        <f t="shared" si="2076"/>
        <v/>
      </c>
      <c r="FL162" s="30" t="str">
        <f t="shared" si="2077"/>
        <v/>
      </c>
      <c r="FM162" s="30" t="str">
        <f t="shared" si="2078"/>
        <v/>
      </c>
      <c r="FN162" s="30" t="str">
        <f t="shared" si="2079"/>
        <v/>
      </c>
      <c r="FO162" s="30" t="str">
        <f t="shared" si="2080"/>
        <v/>
      </c>
      <c r="FP162" s="30" t="str">
        <f t="shared" si="2081"/>
        <v/>
      </c>
      <c r="FQ162" s="30" t="str">
        <f t="shared" si="2082"/>
        <v/>
      </c>
      <c r="FR162" s="30" t="str">
        <f t="shared" si="2083"/>
        <v/>
      </c>
      <c r="FS162" s="30" t="str">
        <f t="shared" si="2084"/>
        <v/>
      </c>
    </row>
    <row r="163" spans="1:175" s="24" customFormat="1" ht="16.5">
      <c r="A163" s="46"/>
      <c r="B163" s="36"/>
      <c r="C163" s="46"/>
      <c r="D163" s="31"/>
      <c r="E163" s="39"/>
      <c r="F163" s="41"/>
      <c r="G163" s="47"/>
      <c r="H163" s="47"/>
      <c r="I163" s="47"/>
      <c r="J163" s="47"/>
      <c r="K163" s="47"/>
      <c r="L163" s="47"/>
      <c r="M163" s="47"/>
      <c r="N163" s="47"/>
      <c r="O163" s="47"/>
      <c r="P163" s="42"/>
      <c r="Q163" s="42"/>
      <c r="R163" s="42"/>
      <c r="S163" s="42"/>
      <c r="T163" s="102"/>
      <c r="U163" s="32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43"/>
      <c r="BR163" s="43"/>
      <c r="BS163" s="43"/>
      <c r="BT163" s="43"/>
      <c r="BU163" s="43"/>
      <c r="BV163" s="43"/>
      <c r="BW163" s="43"/>
      <c r="BX163" s="43"/>
      <c r="BY163" s="43"/>
      <c r="BZ163" s="43"/>
      <c r="CA163" s="43"/>
      <c r="CB163" s="43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4" t="str">
        <f t="shared" si="2009"/>
        <v>InitUnitState('',,,,,,,,,,)</v>
      </c>
      <c r="CO163" s="44" t="str">
        <f t="shared" si="2010"/>
        <v>InitUnitNormal('',,,,,,,,,,)</v>
      </c>
      <c r="CP163" s="44" t="str">
        <f t="shared" si="2011"/>
        <v>InitUnitMagic('',,,,,,,,,,)</v>
      </c>
      <c r="CQ163" s="44" t="str">
        <f t="shared" si="2012"/>
        <v>InitUnitAdd('',,,,,,,,,,)</v>
      </c>
      <c r="CR163" s="44" t="str">
        <f t="shared" si="2013"/>
        <v>InitEquipData('',,"",,,,,'','','','','','',"")</v>
      </c>
      <c r="CS163" s="44"/>
      <c r="CT163" s="44"/>
      <c r="CU163" s="45" t="str">
        <f t="shared" si="2014"/>
        <v>|n</v>
      </c>
      <c r="CV163" s="29"/>
      <c r="DB163" s="30" t="str">
        <f t="shared" si="2015"/>
        <v/>
      </c>
      <c r="DC163" s="30" t="str">
        <f t="shared" si="2016"/>
        <v/>
      </c>
      <c r="DD163" s="30" t="str">
        <f t="shared" si="2017"/>
        <v/>
      </c>
      <c r="DE163" s="30" t="str">
        <f t="shared" si="2018"/>
        <v/>
      </c>
      <c r="DF163" s="30" t="str">
        <f t="shared" si="2019"/>
        <v/>
      </c>
      <c r="DG163" s="30" t="str">
        <f t="shared" si="2020"/>
        <v/>
      </c>
      <c r="DH163" s="30" t="str">
        <f t="shared" si="2021"/>
        <v/>
      </c>
      <c r="DI163" s="30" t="str">
        <f t="shared" si="2022"/>
        <v/>
      </c>
      <c r="DJ163" s="30" t="str">
        <f t="shared" si="2023"/>
        <v/>
      </c>
      <c r="DK163" s="30" t="str">
        <f t="shared" si="2024"/>
        <v/>
      </c>
      <c r="DL163" s="30" t="str">
        <f t="shared" si="2025"/>
        <v/>
      </c>
      <c r="DM163" s="30" t="str">
        <f t="shared" si="2026"/>
        <v/>
      </c>
      <c r="DN163" s="30" t="str">
        <f t="shared" si="2027"/>
        <v/>
      </c>
      <c r="DO163" s="30" t="str">
        <f t="shared" si="2028"/>
        <v/>
      </c>
      <c r="DP163" s="30" t="str">
        <f t="shared" si="2029"/>
        <v/>
      </c>
      <c r="DQ163" s="30" t="str">
        <f t="shared" si="2030"/>
        <v/>
      </c>
      <c r="DR163" s="30" t="str">
        <f t="shared" si="2031"/>
        <v/>
      </c>
      <c r="DS163" s="30" t="str">
        <f t="shared" si="2032"/>
        <v/>
      </c>
      <c r="DT163" s="30" t="str">
        <f t="shared" si="2033"/>
        <v/>
      </c>
      <c r="DU163" s="30" t="str">
        <f t="shared" si="2034"/>
        <v/>
      </c>
      <c r="DV163" s="30" t="str">
        <f t="shared" si="2035"/>
        <v/>
      </c>
      <c r="DW163" s="30" t="str">
        <f t="shared" si="2036"/>
        <v/>
      </c>
      <c r="DX163" s="30" t="str">
        <f t="shared" si="2037"/>
        <v/>
      </c>
      <c r="DY163" s="30" t="str">
        <f t="shared" si="2038"/>
        <v/>
      </c>
      <c r="DZ163" s="30" t="str">
        <f t="shared" si="2039"/>
        <v/>
      </c>
      <c r="EA163" s="30" t="str">
        <f t="shared" si="2040"/>
        <v/>
      </c>
      <c r="EB163" s="30" t="str">
        <f t="shared" si="2041"/>
        <v/>
      </c>
      <c r="EC163" s="30" t="str">
        <f t="shared" si="2042"/>
        <v/>
      </c>
      <c r="ED163" s="30" t="str">
        <f t="shared" si="2043"/>
        <v/>
      </c>
      <c r="EE163" s="30" t="str">
        <f t="shared" si="2044"/>
        <v/>
      </c>
      <c r="EF163" s="30" t="str">
        <f t="shared" si="2045"/>
        <v/>
      </c>
      <c r="EG163" s="30" t="str">
        <f t="shared" si="2046"/>
        <v/>
      </c>
      <c r="EH163" s="30" t="str">
        <f t="shared" si="2047"/>
        <v/>
      </c>
      <c r="EI163" s="30" t="str">
        <f t="shared" si="2048"/>
        <v/>
      </c>
      <c r="EJ163" s="30" t="str">
        <f t="shared" si="2049"/>
        <v/>
      </c>
      <c r="EK163" s="30" t="str">
        <f t="shared" si="2050"/>
        <v/>
      </c>
      <c r="EL163" s="30" t="str">
        <f t="shared" si="2051"/>
        <v/>
      </c>
      <c r="EM163" s="30" t="str">
        <f t="shared" si="2052"/>
        <v/>
      </c>
      <c r="EN163" s="30" t="str">
        <f t="shared" si="2053"/>
        <v/>
      </c>
      <c r="EO163" s="30" t="str">
        <f t="shared" si="2054"/>
        <v/>
      </c>
      <c r="EP163" s="30" t="str">
        <f t="shared" si="2055"/>
        <v/>
      </c>
      <c r="EQ163" s="30" t="str">
        <f t="shared" si="2056"/>
        <v/>
      </c>
      <c r="ER163" s="30" t="str">
        <f t="shared" si="2057"/>
        <v/>
      </c>
      <c r="ES163" s="30" t="str">
        <f t="shared" si="2058"/>
        <v/>
      </c>
      <c r="ET163" s="30" t="str">
        <f t="shared" si="2059"/>
        <v/>
      </c>
      <c r="EU163" s="30" t="str">
        <f t="shared" si="2060"/>
        <v/>
      </c>
      <c r="EV163" s="30" t="str">
        <f t="shared" si="2061"/>
        <v/>
      </c>
      <c r="EW163" s="30" t="str">
        <f t="shared" si="2062"/>
        <v/>
      </c>
      <c r="EX163" s="30" t="str">
        <f t="shared" si="2063"/>
        <v/>
      </c>
      <c r="EY163" s="30" t="str">
        <f t="shared" si="2064"/>
        <v/>
      </c>
      <c r="EZ163" s="30" t="str">
        <f t="shared" si="2065"/>
        <v/>
      </c>
      <c r="FA163" s="30" t="str">
        <f t="shared" si="2066"/>
        <v/>
      </c>
      <c r="FB163" s="30" t="str">
        <f t="shared" si="2067"/>
        <v/>
      </c>
      <c r="FC163" s="30" t="str">
        <f t="shared" si="2068"/>
        <v/>
      </c>
      <c r="FD163" s="30" t="str">
        <f t="shared" si="2069"/>
        <v/>
      </c>
      <c r="FE163" s="30" t="str">
        <f t="shared" si="2070"/>
        <v/>
      </c>
      <c r="FF163" s="30" t="str">
        <f t="shared" si="2071"/>
        <v/>
      </c>
      <c r="FG163" s="30" t="str">
        <f t="shared" si="2072"/>
        <v/>
      </c>
      <c r="FH163" s="30" t="str">
        <f t="shared" si="2073"/>
        <v/>
      </c>
      <c r="FI163" s="30" t="str">
        <f t="shared" si="2074"/>
        <v/>
      </c>
      <c r="FJ163" s="30" t="str">
        <f t="shared" si="2075"/>
        <v/>
      </c>
      <c r="FK163" s="30" t="str">
        <f t="shared" si="2076"/>
        <v/>
      </c>
      <c r="FL163" s="30" t="str">
        <f t="shared" si="2077"/>
        <v/>
      </c>
      <c r="FM163" s="30" t="str">
        <f t="shared" si="2078"/>
        <v/>
      </c>
      <c r="FN163" s="30" t="str">
        <f t="shared" si="2079"/>
        <v/>
      </c>
      <c r="FO163" s="30" t="str">
        <f t="shared" si="2080"/>
        <v/>
      </c>
      <c r="FP163" s="30" t="str">
        <f t="shared" si="2081"/>
        <v/>
      </c>
      <c r="FQ163" s="30" t="str">
        <f t="shared" si="2082"/>
        <v/>
      </c>
      <c r="FR163" s="30" t="str">
        <f t="shared" si="2083"/>
        <v/>
      </c>
      <c r="FS163" s="30" t="str">
        <f t="shared" si="2084"/>
        <v/>
      </c>
    </row>
    <row r="164" spans="1:175" s="24" customFormat="1" ht="16.5">
      <c r="A164" s="46"/>
      <c r="B164" s="36"/>
      <c r="C164" s="46"/>
      <c r="D164" s="31"/>
      <c r="E164" s="39"/>
      <c r="F164" s="41"/>
      <c r="G164" s="47"/>
      <c r="H164" s="47"/>
      <c r="I164" s="47"/>
      <c r="J164" s="47"/>
      <c r="K164" s="47"/>
      <c r="L164" s="47"/>
      <c r="M164" s="47"/>
      <c r="N164" s="47"/>
      <c r="O164" s="47"/>
      <c r="P164" s="42"/>
      <c r="Q164" s="42"/>
      <c r="R164" s="42"/>
      <c r="S164" s="42"/>
      <c r="T164" s="102"/>
      <c r="U164" s="32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4" t="str">
        <f t="shared" si="2009"/>
        <v>InitUnitState('',,,,,,,,,,)</v>
      </c>
      <c r="CO164" s="44" t="str">
        <f t="shared" si="2010"/>
        <v>InitUnitNormal('',,,,,,,,,,)</v>
      </c>
      <c r="CP164" s="44" t="str">
        <f t="shared" si="2011"/>
        <v>InitUnitMagic('',,,,,,,,,,)</v>
      </c>
      <c r="CQ164" s="44" t="str">
        <f t="shared" si="2012"/>
        <v>InitUnitAdd('',,,,,,,,,,)</v>
      </c>
      <c r="CR164" s="44" t="str">
        <f t="shared" si="2013"/>
        <v>InitEquipData('',,"",,,,,'','','','','','',"")</v>
      </c>
      <c r="CS164" s="44"/>
      <c r="CT164" s="44"/>
      <c r="CU164" s="45" t="str">
        <f t="shared" si="2014"/>
        <v>|n</v>
      </c>
      <c r="CV164" s="29"/>
      <c r="DB164" s="30" t="str">
        <f t="shared" si="2015"/>
        <v/>
      </c>
      <c r="DC164" s="30" t="str">
        <f t="shared" si="2016"/>
        <v/>
      </c>
      <c r="DD164" s="30" t="str">
        <f t="shared" si="2017"/>
        <v/>
      </c>
      <c r="DE164" s="30" t="str">
        <f t="shared" si="2018"/>
        <v/>
      </c>
      <c r="DF164" s="30" t="str">
        <f t="shared" si="2019"/>
        <v/>
      </c>
      <c r="DG164" s="30" t="str">
        <f t="shared" si="2020"/>
        <v/>
      </c>
      <c r="DH164" s="30" t="str">
        <f t="shared" si="2021"/>
        <v/>
      </c>
      <c r="DI164" s="30" t="str">
        <f t="shared" si="2022"/>
        <v/>
      </c>
      <c r="DJ164" s="30" t="str">
        <f t="shared" si="2023"/>
        <v/>
      </c>
      <c r="DK164" s="30" t="str">
        <f t="shared" si="2024"/>
        <v/>
      </c>
      <c r="DL164" s="30" t="str">
        <f t="shared" si="2025"/>
        <v/>
      </c>
      <c r="DM164" s="30" t="str">
        <f t="shared" si="2026"/>
        <v/>
      </c>
      <c r="DN164" s="30" t="str">
        <f t="shared" si="2027"/>
        <v/>
      </c>
      <c r="DO164" s="30" t="str">
        <f t="shared" si="2028"/>
        <v/>
      </c>
      <c r="DP164" s="30" t="str">
        <f t="shared" si="2029"/>
        <v/>
      </c>
      <c r="DQ164" s="30" t="str">
        <f t="shared" si="2030"/>
        <v/>
      </c>
      <c r="DR164" s="30" t="str">
        <f t="shared" si="2031"/>
        <v/>
      </c>
      <c r="DS164" s="30" t="str">
        <f t="shared" si="2032"/>
        <v/>
      </c>
      <c r="DT164" s="30" t="str">
        <f t="shared" si="2033"/>
        <v/>
      </c>
      <c r="DU164" s="30" t="str">
        <f t="shared" si="2034"/>
        <v/>
      </c>
      <c r="DV164" s="30" t="str">
        <f t="shared" si="2035"/>
        <v/>
      </c>
      <c r="DW164" s="30" t="str">
        <f t="shared" si="2036"/>
        <v/>
      </c>
      <c r="DX164" s="30" t="str">
        <f t="shared" si="2037"/>
        <v/>
      </c>
      <c r="DY164" s="30" t="str">
        <f t="shared" si="2038"/>
        <v/>
      </c>
      <c r="DZ164" s="30" t="str">
        <f t="shared" si="2039"/>
        <v/>
      </c>
      <c r="EA164" s="30" t="str">
        <f t="shared" si="2040"/>
        <v/>
      </c>
      <c r="EB164" s="30" t="str">
        <f t="shared" si="2041"/>
        <v/>
      </c>
      <c r="EC164" s="30" t="str">
        <f t="shared" si="2042"/>
        <v/>
      </c>
      <c r="ED164" s="30" t="str">
        <f t="shared" si="2043"/>
        <v/>
      </c>
      <c r="EE164" s="30" t="str">
        <f t="shared" si="2044"/>
        <v/>
      </c>
      <c r="EF164" s="30" t="str">
        <f t="shared" si="2045"/>
        <v/>
      </c>
      <c r="EG164" s="30" t="str">
        <f t="shared" si="2046"/>
        <v/>
      </c>
      <c r="EH164" s="30" t="str">
        <f t="shared" si="2047"/>
        <v/>
      </c>
      <c r="EI164" s="30" t="str">
        <f t="shared" si="2048"/>
        <v/>
      </c>
      <c r="EJ164" s="30" t="str">
        <f t="shared" si="2049"/>
        <v/>
      </c>
      <c r="EK164" s="30" t="str">
        <f t="shared" si="2050"/>
        <v/>
      </c>
      <c r="EL164" s="30" t="str">
        <f t="shared" si="2051"/>
        <v/>
      </c>
      <c r="EM164" s="30" t="str">
        <f t="shared" si="2052"/>
        <v/>
      </c>
      <c r="EN164" s="30" t="str">
        <f t="shared" si="2053"/>
        <v/>
      </c>
      <c r="EO164" s="30" t="str">
        <f t="shared" si="2054"/>
        <v/>
      </c>
      <c r="EP164" s="30" t="str">
        <f t="shared" si="2055"/>
        <v/>
      </c>
      <c r="EQ164" s="30" t="str">
        <f t="shared" si="2056"/>
        <v/>
      </c>
      <c r="ER164" s="30" t="str">
        <f t="shared" si="2057"/>
        <v/>
      </c>
      <c r="ES164" s="30" t="str">
        <f t="shared" si="2058"/>
        <v/>
      </c>
      <c r="ET164" s="30" t="str">
        <f t="shared" si="2059"/>
        <v/>
      </c>
      <c r="EU164" s="30" t="str">
        <f t="shared" si="2060"/>
        <v/>
      </c>
      <c r="EV164" s="30" t="str">
        <f t="shared" si="2061"/>
        <v/>
      </c>
      <c r="EW164" s="30" t="str">
        <f t="shared" si="2062"/>
        <v/>
      </c>
      <c r="EX164" s="30" t="str">
        <f t="shared" si="2063"/>
        <v/>
      </c>
      <c r="EY164" s="30" t="str">
        <f t="shared" si="2064"/>
        <v/>
      </c>
      <c r="EZ164" s="30" t="str">
        <f t="shared" si="2065"/>
        <v/>
      </c>
      <c r="FA164" s="30" t="str">
        <f t="shared" si="2066"/>
        <v/>
      </c>
      <c r="FB164" s="30" t="str">
        <f t="shared" si="2067"/>
        <v/>
      </c>
      <c r="FC164" s="30" t="str">
        <f t="shared" si="2068"/>
        <v/>
      </c>
      <c r="FD164" s="30" t="str">
        <f t="shared" si="2069"/>
        <v/>
      </c>
      <c r="FE164" s="30" t="str">
        <f t="shared" si="2070"/>
        <v/>
      </c>
      <c r="FF164" s="30" t="str">
        <f t="shared" si="2071"/>
        <v/>
      </c>
      <c r="FG164" s="30" t="str">
        <f t="shared" si="2072"/>
        <v/>
      </c>
      <c r="FH164" s="30" t="str">
        <f t="shared" si="2073"/>
        <v/>
      </c>
      <c r="FI164" s="30" t="str">
        <f t="shared" si="2074"/>
        <v/>
      </c>
      <c r="FJ164" s="30" t="str">
        <f t="shared" si="2075"/>
        <v/>
      </c>
      <c r="FK164" s="30" t="str">
        <f t="shared" si="2076"/>
        <v/>
      </c>
      <c r="FL164" s="30" t="str">
        <f t="shared" si="2077"/>
        <v/>
      </c>
      <c r="FM164" s="30" t="str">
        <f t="shared" si="2078"/>
        <v/>
      </c>
      <c r="FN164" s="30" t="str">
        <f t="shared" si="2079"/>
        <v/>
      </c>
      <c r="FO164" s="30" t="str">
        <f t="shared" si="2080"/>
        <v/>
      </c>
      <c r="FP164" s="30" t="str">
        <f t="shared" si="2081"/>
        <v/>
      </c>
      <c r="FQ164" s="30" t="str">
        <f t="shared" si="2082"/>
        <v/>
      </c>
      <c r="FR164" s="30" t="str">
        <f t="shared" si="2083"/>
        <v/>
      </c>
      <c r="FS164" s="30" t="str">
        <f t="shared" si="2084"/>
        <v/>
      </c>
    </row>
    <row r="165" spans="1:175" ht="16.5">
      <c r="A165" s="5"/>
      <c r="B165" s="36"/>
      <c r="C165" s="5"/>
      <c r="E165" s="54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51"/>
      <c r="Q165" s="51"/>
      <c r="R165" s="51"/>
      <c r="S165" s="51"/>
      <c r="T165" s="104"/>
      <c r="U165" s="32"/>
      <c r="CU165" s="45" t="str">
        <f t="shared" si="2014"/>
        <v>|n</v>
      </c>
      <c r="CW165" s="24"/>
      <c r="CX165" s="24"/>
      <c r="CY165" s="24"/>
      <c r="CZ165" s="24"/>
      <c r="DA165" s="24"/>
      <c r="DB165" s="30" t="str">
        <f t="shared" si="2015"/>
        <v/>
      </c>
      <c r="DC165" s="30" t="str">
        <f t="shared" si="2016"/>
        <v/>
      </c>
      <c r="DD165" s="30" t="str">
        <f t="shared" si="2017"/>
        <v/>
      </c>
      <c r="DE165" s="30" t="str">
        <f t="shared" si="2018"/>
        <v/>
      </c>
      <c r="DF165" s="30" t="str">
        <f t="shared" si="2019"/>
        <v/>
      </c>
      <c r="DG165" s="30" t="str">
        <f t="shared" si="2020"/>
        <v/>
      </c>
      <c r="DH165" s="30" t="str">
        <f t="shared" si="2021"/>
        <v/>
      </c>
      <c r="DI165" s="30" t="str">
        <f t="shared" si="2022"/>
        <v/>
      </c>
      <c r="DJ165" s="30" t="str">
        <f t="shared" si="2023"/>
        <v/>
      </c>
      <c r="DK165" s="30" t="str">
        <f t="shared" si="2024"/>
        <v/>
      </c>
      <c r="DL165" s="30" t="str">
        <f t="shared" si="2025"/>
        <v/>
      </c>
      <c r="DM165" s="30" t="str">
        <f t="shared" si="2026"/>
        <v/>
      </c>
      <c r="DN165" s="30" t="str">
        <f t="shared" si="2027"/>
        <v/>
      </c>
      <c r="DO165" s="30" t="str">
        <f t="shared" si="2028"/>
        <v/>
      </c>
      <c r="DP165" s="30" t="str">
        <f t="shared" si="2029"/>
        <v/>
      </c>
      <c r="DQ165" s="30" t="str">
        <f t="shared" si="2030"/>
        <v/>
      </c>
      <c r="DR165" s="30" t="str">
        <f t="shared" si="2031"/>
        <v/>
      </c>
      <c r="DS165" s="30" t="str">
        <f t="shared" si="2032"/>
        <v/>
      </c>
      <c r="DT165" s="30" t="str">
        <f t="shared" si="2033"/>
        <v/>
      </c>
      <c r="DU165" s="30" t="str">
        <f t="shared" si="2034"/>
        <v/>
      </c>
      <c r="DV165" s="30" t="str">
        <f t="shared" si="2035"/>
        <v/>
      </c>
      <c r="DW165" s="30" t="str">
        <f t="shared" si="2036"/>
        <v/>
      </c>
      <c r="DX165" s="30" t="str">
        <f t="shared" si="2037"/>
        <v/>
      </c>
      <c r="DY165" s="30" t="str">
        <f t="shared" si="2038"/>
        <v/>
      </c>
      <c r="DZ165" s="30" t="str">
        <f t="shared" si="2039"/>
        <v/>
      </c>
      <c r="EA165" s="30" t="str">
        <f t="shared" si="2040"/>
        <v/>
      </c>
      <c r="EB165" s="30" t="str">
        <f t="shared" si="2041"/>
        <v/>
      </c>
      <c r="EC165" s="30" t="str">
        <f t="shared" si="2042"/>
        <v/>
      </c>
      <c r="ED165" s="30" t="str">
        <f t="shared" si="2043"/>
        <v/>
      </c>
      <c r="EE165" s="30" t="str">
        <f t="shared" si="2044"/>
        <v/>
      </c>
      <c r="EF165" s="30" t="str">
        <f t="shared" si="2045"/>
        <v/>
      </c>
      <c r="EG165" s="30" t="str">
        <f t="shared" si="2046"/>
        <v/>
      </c>
      <c r="EH165" s="30" t="str">
        <f t="shared" si="2047"/>
        <v/>
      </c>
      <c r="EI165" s="30" t="str">
        <f t="shared" si="2048"/>
        <v/>
      </c>
      <c r="EJ165" s="30" t="str">
        <f t="shared" si="2049"/>
        <v/>
      </c>
      <c r="EK165" s="30" t="str">
        <f t="shared" si="2050"/>
        <v/>
      </c>
      <c r="EL165" s="30" t="str">
        <f t="shared" si="2051"/>
        <v/>
      </c>
      <c r="EM165" s="30" t="str">
        <f t="shared" si="2052"/>
        <v/>
      </c>
      <c r="EN165" s="30" t="str">
        <f t="shared" si="2053"/>
        <v/>
      </c>
      <c r="EO165" s="30" t="str">
        <f t="shared" si="2054"/>
        <v/>
      </c>
      <c r="EP165" s="30" t="str">
        <f t="shared" si="2055"/>
        <v/>
      </c>
      <c r="EQ165" s="30" t="str">
        <f t="shared" si="2056"/>
        <v/>
      </c>
      <c r="ER165" s="30" t="str">
        <f t="shared" si="2057"/>
        <v/>
      </c>
      <c r="ES165" s="30" t="str">
        <f t="shared" si="2058"/>
        <v/>
      </c>
      <c r="ET165" s="30" t="str">
        <f t="shared" si="2059"/>
        <v/>
      </c>
      <c r="EU165" s="30" t="str">
        <f t="shared" si="2060"/>
        <v/>
      </c>
      <c r="EV165" s="30" t="str">
        <f t="shared" si="2061"/>
        <v/>
      </c>
      <c r="EW165" s="30" t="str">
        <f t="shared" si="2062"/>
        <v/>
      </c>
      <c r="EX165" s="30" t="str">
        <f t="shared" si="2063"/>
        <v/>
      </c>
      <c r="EY165" s="30" t="str">
        <f t="shared" si="2064"/>
        <v/>
      </c>
      <c r="EZ165" s="30" t="str">
        <f t="shared" si="2065"/>
        <v/>
      </c>
      <c r="FA165" s="30" t="str">
        <f t="shared" si="2066"/>
        <v/>
      </c>
      <c r="FB165" s="30" t="str">
        <f t="shared" si="2067"/>
        <v/>
      </c>
      <c r="FC165" s="30" t="str">
        <f t="shared" si="2068"/>
        <v/>
      </c>
      <c r="FD165" s="30" t="str">
        <f t="shared" si="2069"/>
        <v/>
      </c>
      <c r="FE165" s="30" t="str">
        <f t="shared" si="2070"/>
        <v/>
      </c>
      <c r="FF165" s="30" t="str">
        <f t="shared" si="2071"/>
        <v/>
      </c>
      <c r="FG165" s="30" t="str">
        <f t="shared" si="2072"/>
        <v/>
      </c>
      <c r="FH165" s="30" t="str">
        <f t="shared" si="2073"/>
        <v/>
      </c>
      <c r="FI165" s="30" t="str">
        <f t="shared" si="2074"/>
        <v/>
      </c>
      <c r="FJ165" s="30" t="str">
        <f t="shared" si="2075"/>
        <v/>
      </c>
      <c r="FK165" s="30" t="str">
        <f t="shared" si="2076"/>
        <v/>
      </c>
      <c r="FL165" s="30" t="str">
        <f t="shared" si="2077"/>
        <v/>
      </c>
      <c r="FM165" s="30" t="str">
        <f t="shared" si="2078"/>
        <v/>
      </c>
      <c r="FN165" s="30" t="str">
        <f t="shared" si="2079"/>
        <v/>
      </c>
      <c r="FO165" s="30" t="str">
        <f t="shared" si="2080"/>
        <v/>
      </c>
      <c r="FP165" s="30" t="str">
        <f t="shared" si="2081"/>
        <v/>
      </c>
      <c r="FQ165" s="30" t="str">
        <f t="shared" si="2082"/>
        <v/>
      </c>
      <c r="FR165" s="30" t="str">
        <f t="shared" si="2083"/>
        <v/>
      </c>
      <c r="FS165" s="30" t="str">
        <f t="shared" si="2084"/>
        <v/>
      </c>
    </row>
    <row r="166" spans="1:175" ht="16.5">
      <c r="A166" s="5"/>
      <c r="B166" s="36"/>
      <c r="C166" s="5"/>
      <c r="E166" s="54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51"/>
      <c r="Q166" s="51"/>
      <c r="R166" s="51"/>
      <c r="S166" s="51"/>
      <c r="T166" s="104"/>
      <c r="U166" s="32"/>
      <c r="CU166" s="45" t="str">
        <f t="shared" si="2014"/>
        <v>|n</v>
      </c>
      <c r="CW166" s="24"/>
      <c r="CX166" s="24"/>
      <c r="CY166" s="24"/>
      <c r="CZ166" s="24"/>
      <c r="DA166" s="24"/>
      <c r="DB166" s="30" t="str">
        <f t="shared" si="2015"/>
        <v/>
      </c>
      <c r="DC166" s="30" t="str">
        <f t="shared" si="2016"/>
        <v/>
      </c>
      <c r="DD166" s="30" t="str">
        <f t="shared" si="2017"/>
        <v/>
      </c>
      <c r="DE166" s="30" t="str">
        <f t="shared" si="2018"/>
        <v/>
      </c>
      <c r="DF166" s="30" t="str">
        <f t="shared" si="2019"/>
        <v/>
      </c>
      <c r="DG166" s="30" t="str">
        <f t="shared" si="2020"/>
        <v/>
      </c>
      <c r="DH166" s="30" t="str">
        <f t="shared" si="2021"/>
        <v/>
      </c>
      <c r="DI166" s="30" t="str">
        <f t="shared" si="2022"/>
        <v/>
      </c>
      <c r="DJ166" s="30" t="str">
        <f t="shared" si="2023"/>
        <v/>
      </c>
      <c r="DK166" s="30" t="str">
        <f t="shared" si="2024"/>
        <v/>
      </c>
      <c r="DL166" s="30" t="str">
        <f t="shared" si="2025"/>
        <v/>
      </c>
      <c r="DM166" s="30" t="str">
        <f t="shared" si="2026"/>
        <v/>
      </c>
      <c r="DN166" s="30" t="str">
        <f t="shared" si="2027"/>
        <v/>
      </c>
      <c r="DO166" s="30" t="str">
        <f t="shared" si="2028"/>
        <v/>
      </c>
      <c r="DP166" s="30" t="str">
        <f t="shared" si="2029"/>
        <v/>
      </c>
      <c r="DQ166" s="30" t="str">
        <f t="shared" si="2030"/>
        <v/>
      </c>
      <c r="DR166" s="30" t="str">
        <f t="shared" si="2031"/>
        <v/>
      </c>
      <c r="DS166" s="30" t="str">
        <f t="shared" si="2032"/>
        <v/>
      </c>
      <c r="DT166" s="30" t="str">
        <f t="shared" si="2033"/>
        <v/>
      </c>
      <c r="DU166" s="30" t="str">
        <f t="shared" si="2034"/>
        <v/>
      </c>
      <c r="DV166" s="30" t="str">
        <f t="shared" si="2035"/>
        <v/>
      </c>
      <c r="DW166" s="30" t="str">
        <f t="shared" si="2036"/>
        <v/>
      </c>
      <c r="DX166" s="30" t="str">
        <f t="shared" si="2037"/>
        <v/>
      </c>
      <c r="DY166" s="30" t="str">
        <f t="shared" si="2038"/>
        <v/>
      </c>
      <c r="DZ166" s="30" t="str">
        <f t="shared" si="2039"/>
        <v/>
      </c>
      <c r="EA166" s="30" t="str">
        <f t="shared" si="2040"/>
        <v/>
      </c>
      <c r="EB166" s="30" t="str">
        <f t="shared" si="2041"/>
        <v/>
      </c>
      <c r="EC166" s="30" t="str">
        <f t="shared" si="2042"/>
        <v/>
      </c>
      <c r="ED166" s="30" t="str">
        <f t="shared" si="2043"/>
        <v/>
      </c>
      <c r="EE166" s="30" t="str">
        <f t="shared" si="2044"/>
        <v/>
      </c>
      <c r="EF166" s="30" t="str">
        <f t="shared" si="2045"/>
        <v/>
      </c>
      <c r="EG166" s="30" t="str">
        <f t="shared" si="2046"/>
        <v/>
      </c>
      <c r="EH166" s="30" t="str">
        <f t="shared" si="2047"/>
        <v/>
      </c>
      <c r="EI166" s="30" t="str">
        <f t="shared" si="2048"/>
        <v/>
      </c>
      <c r="EJ166" s="30" t="str">
        <f t="shared" si="2049"/>
        <v/>
      </c>
      <c r="EK166" s="30" t="str">
        <f t="shared" si="2050"/>
        <v/>
      </c>
      <c r="EL166" s="30" t="str">
        <f t="shared" si="2051"/>
        <v/>
      </c>
      <c r="EM166" s="30" t="str">
        <f t="shared" si="2052"/>
        <v/>
      </c>
      <c r="EN166" s="30" t="str">
        <f t="shared" si="2053"/>
        <v/>
      </c>
      <c r="EO166" s="30" t="str">
        <f t="shared" si="2054"/>
        <v/>
      </c>
      <c r="EP166" s="30" t="str">
        <f t="shared" si="2055"/>
        <v/>
      </c>
      <c r="EQ166" s="30" t="str">
        <f t="shared" si="2056"/>
        <v/>
      </c>
      <c r="ER166" s="30" t="str">
        <f t="shared" si="2057"/>
        <v/>
      </c>
      <c r="ES166" s="30" t="str">
        <f t="shared" si="2058"/>
        <v/>
      </c>
      <c r="ET166" s="30" t="str">
        <f t="shared" si="2059"/>
        <v/>
      </c>
      <c r="EU166" s="30" t="str">
        <f t="shared" si="2060"/>
        <v/>
      </c>
      <c r="EV166" s="30" t="str">
        <f t="shared" si="2061"/>
        <v/>
      </c>
      <c r="EW166" s="30" t="str">
        <f t="shared" si="2062"/>
        <v/>
      </c>
      <c r="EX166" s="30" t="str">
        <f t="shared" si="2063"/>
        <v/>
      </c>
      <c r="EY166" s="30" t="str">
        <f t="shared" si="2064"/>
        <v/>
      </c>
      <c r="EZ166" s="30" t="str">
        <f t="shared" si="2065"/>
        <v/>
      </c>
      <c r="FA166" s="30" t="str">
        <f t="shared" si="2066"/>
        <v/>
      </c>
      <c r="FB166" s="30" t="str">
        <f t="shared" si="2067"/>
        <v/>
      </c>
      <c r="FC166" s="30" t="str">
        <f t="shared" si="2068"/>
        <v/>
      </c>
      <c r="FD166" s="30" t="str">
        <f t="shared" si="2069"/>
        <v/>
      </c>
      <c r="FE166" s="30" t="str">
        <f t="shared" si="2070"/>
        <v/>
      </c>
      <c r="FF166" s="30" t="str">
        <f t="shared" si="2071"/>
        <v/>
      </c>
      <c r="FG166" s="30" t="str">
        <f t="shared" si="2072"/>
        <v/>
      </c>
      <c r="FH166" s="30" t="str">
        <f t="shared" si="2073"/>
        <v/>
      </c>
      <c r="FI166" s="30" t="str">
        <f t="shared" si="2074"/>
        <v/>
      </c>
      <c r="FJ166" s="30" t="str">
        <f t="shared" si="2075"/>
        <v/>
      </c>
      <c r="FK166" s="30" t="str">
        <f t="shared" si="2076"/>
        <v/>
      </c>
      <c r="FL166" s="30" t="str">
        <f t="shared" si="2077"/>
        <v/>
      </c>
      <c r="FM166" s="30" t="str">
        <f t="shared" si="2078"/>
        <v/>
      </c>
      <c r="FN166" s="30" t="str">
        <f t="shared" si="2079"/>
        <v/>
      </c>
      <c r="FO166" s="30" t="str">
        <f t="shared" si="2080"/>
        <v/>
      </c>
      <c r="FP166" s="30" t="str">
        <f t="shared" si="2081"/>
        <v/>
      </c>
      <c r="FQ166" s="30" t="str">
        <f t="shared" si="2082"/>
        <v/>
      </c>
      <c r="FR166" s="30" t="str">
        <f t="shared" si="2083"/>
        <v/>
      </c>
      <c r="FS166" s="30" t="str">
        <f t="shared" si="2084"/>
        <v/>
      </c>
    </row>
    <row r="167" spans="1:175" ht="16.5">
      <c r="A167" s="5"/>
      <c r="B167" s="36"/>
      <c r="C167" s="5"/>
      <c r="E167" s="54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51"/>
      <c r="Q167" s="51"/>
      <c r="R167" s="51"/>
      <c r="S167" s="51"/>
      <c r="T167" s="104"/>
      <c r="U167" s="32"/>
      <c r="CU167" s="45" t="str">
        <f t="shared" si="2014"/>
        <v>|n</v>
      </c>
      <c r="CW167" s="24"/>
      <c r="CX167" s="24"/>
      <c r="CY167" s="24"/>
      <c r="CZ167" s="24"/>
      <c r="DA167" s="24"/>
      <c r="DB167" s="30" t="str">
        <f t="shared" si="2015"/>
        <v/>
      </c>
      <c r="DC167" s="30" t="str">
        <f t="shared" si="2016"/>
        <v/>
      </c>
      <c r="DD167" s="30" t="str">
        <f t="shared" si="2017"/>
        <v/>
      </c>
      <c r="DE167" s="30" t="str">
        <f t="shared" si="2018"/>
        <v/>
      </c>
      <c r="DF167" s="30" t="str">
        <f t="shared" si="2019"/>
        <v/>
      </c>
      <c r="DG167" s="30" t="str">
        <f t="shared" si="2020"/>
        <v/>
      </c>
      <c r="DH167" s="30" t="str">
        <f t="shared" si="2021"/>
        <v/>
      </c>
      <c r="DI167" s="30" t="str">
        <f t="shared" si="2022"/>
        <v/>
      </c>
      <c r="DJ167" s="30" t="str">
        <f t="shared" si="2023"/>
        <v/>
      </c>
      <c r="DK167" s="30" t="str">
        <f t="shared" si="2024"/>
        <v/>
      </c>
      <c r="DL167" s="30" t="str">
        <f t="shared" si="2025"/>
        <v/>
      </c>
      <c r="DM167" s="30" t="str">
        <f t="shared" si="2026"/>
        <v/>
      </c>
      <c r="DN167" s="30" t="str">
        <f t="shared" si="2027"/>
        <v/>
      </c>
      <c r="DO167" s="30" t="str">
        <f t="shared" si="2028"/>
        <v/>
      </c>
      <c r="DP167" s="30" t="str">
        <f t="shared" si="2029"/>
        <v/>
      </c>
      <c r="DQ167" s="30" t="str">
        <f t="shared" si="2030"/>
        <v/>
      </c>
      <c r="DR167" s="30" t="str">
        <f t="shared" si="2031"/>
        <v/>
      </c>
      <c r="DS167" s="30" t="str">
        <f t="shared" si="2032"/>
        <v/>
      </c>
      <c r="DT167" s="30" t="str">
        <f t="shared" si="2033"/>
        <v/>
      </c>
      <c r="DU167" s="30" t="str">
        <f t="shared" si="2034"/>
        <v/>
      </c>
      <c r="DV167" s="30" t="str">
        <f t="shared" si="2035"/>
        <v/>
      </c>
      <c r="DW167" s="30" t="str">
        <f t="shared" si="2036"/>
        <v/>
      </c>
      <c r="DX167" s="30" t="str">
        <f t="shared" si="2037"/>
        <v/>
      </c>
      <c r="DY167" s="30" t="str">
        <f t="shared" si="2038"/>
        <v/>
      </c>
      <c r="DZ167" s="30" t="str">
        <f t="shared" si="2039"/>
        <v/>
      </c>
      <c r="EA167" s="30" t="str">
        <f t="shared" si="2040"/>
        <v/>
      </c>
      <c r="EB167" s="30" t="str">
        <f t="shared" si="2041"/>
        <v/>
      </c>
      <c r="EC167" s="30" t="str">
        <f t="shared" si="2042"/>
        <v/>
      </c>
      <c r="ED167" s="30" t="str">
        <f t="shared" si="2043"/>
        <v/>
      </c>
      <c r="EE167" s="30" t="str">
        <f t="shared" si="2044"/>
        <v/>
      </c>
      <c r="EF167" s="30" t="str">
        <f t="shared" si="2045"/>
        <v/>
      </c>
      <c r="EG167" s="30" t="str">
        <f t="shared" si="2046"/>
        <v/>
      </c>
      <c r="EH167" s="30" t="str">
        <f t="shared" si="2047"/>
        <v/>
      </c>
      <c r="EI167" s="30" t="str">
        <f t="shared" si="2048"/>
        <v/>
      </c>
      <c r="EJ167" s="30" t="str">
        <f t="shared" si="2049"/>
        <v/>
      </c>
      <c r="EK167" s="30" t="str">
        <f t="shared" si="2050"/>
        <v/>
      </c>
      <c r="EL167" s="30" t="str">
        <f t="shared" si="2051"/>
        <v/>
      </c>
      <c r="EM167" s="30" t="str">
        <f t="shared" si="2052"/>
        <v/>
      </c>
      <c r="EN167" s="30" t="str">
        <f t="shared" si="2053"/>
        <v/>
      </c>
      <c r="EO167" s="30" t="str">
        <f t="shared" si="2054"/>
        <v/>
      </c>
      <c r="EP167" s="30" t="str">
        <f t="shared" si="2055"/>
        <v/>
      </c>
      <c r="EQ167" s="30" t="str">
        <f t="shared" si="2056"/>
        <v/>
      </c>
      <c r="ER167" s="30" t="str">
        <f t="shared" si="2057"/>
        <v/>
      </c>
      <c r="ES167" s="30" t="str">
        <f t="shared" si="2058"/>
        <v/>
      </c>
      <c r="ET167" s="30" t="str">
        <f t="shared" si="2059"/>
        <v/>
      </c>
      <c r="EU167" s="30" t="str">
        <f t="shared" si="2060"/>
        <v/>
      </c>
      <c r="EV167" s="30" t="str">
        <f t="shared" si="2061"/>
        <v/>
      </c>
      <c r="EW167" s="30" t="str">
        <f t="shared" si="2062"/>
        <v/>
      </c>
      <c r="EX167" s="30" t="str">
        <f t="shared" si="2063"/>
        <v/>
      </c>
      <c r="EY167" s="30" t="str">
        <f t="shared" si="2064"/>
        <v/>
      </c>
      <c r="EZ167" s="30" t="str">
        <f t="shared" si="2065"/>
        <v/>
      </c>
      <c r="FA167" s="30" t="str">
        <f t="shared" si="2066"/>
        <v/>
      </c>
      <c r="FB167" s="30" t="str">
        <f t="shared" si="2067"/>
        <v/>
      </c>
      <c r="FC167" s="30" t="str">
        <f t="shared" si="2068"/>
        <v/>
      </c>
      <c r="FD167" s="30" t="str">
        <f t="shared" si="2069"/>
        <v/>
      </c>
      <c r="FE167" s="30" t="str">
        <f t="shared" si="2070"/>
        <v/>
      </c>
      <c r="FF167" s="30" t="str">
        <f t="shared" si="2071"/>
        <v/>
      </c>
      <c r="FG167" s="30" t="str">
        <f t="shared" si="2072"/>
        <v/>
      </c>
      <c r="FH167" s="30" t="str">
        <f t="shared" si="2073"/>
        <v/>
      </c>
      <c r="FI167" s="30" t="str">
        <f t="shared" si="2074"/>
        <v/>
      </c>
      <c r="FJ167" s="30" t="str">
        <f t="shared" si="2075"/>
        <v/>
      </c>
      <c r="FK167" s="30" t="str">
        <f t="shared" si="2076"/>
        <v/>
      </c>
      <c r="FL167" s="30" t="str">
        <f t="shared" si="2077"/>
        <v/>
      </c>
      <c r="FM167" s="30" t="str">
        <f t="shared" si="2078"/>
        <v/>
      </c>
      <c r="FN167" s="30" t="str">
        <f t="shared" si="2079"/>
        <v/>
      </c>
      <c r="FO167" s="30" t="str">
        <f t="shared" si="2080"/>
        <v/>
      </c>
      <c r="FP167" s="30" t="str">
        <f t="shared" si="2081"/>
        <v/>
      </c>
      <c r="FQ167" s="30" t="str">
        <f t="shared" si="2082"/>
        <v/>
      </c>
      <c r="FR167" s="30" t="str">
        <f t="shared" si="2083"/>
        <v/>
      </c>
      <c r="FS167" s="30" t="str">
        <f t="shared" si="2084"/>
        <v/>
      </c>
    </row>
    <row r="168" spans="1:175" ht="16.5">
      <c r="A168" s="5"/>
      <c r="B168" s="36"/>
      <c r="C168" s="5"/>
      <c r="E168" s="54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51"/>
      <c r="Q168" s="51"/>
      <c r="R168" s="51"/>
      <c r="S168" s="51"/>
      <c r="T168" s="104"/>
      <c r="U168" s="32"/>
      <c r="CU168" s="45" t="str">
        <f t="shared" si="2014"/>
        <v>|n</v>
      </c>
      <c r="CW168" s="24"/>
      <c r="CX168" s="24"/>
      <c r="CY168" s="24"/>
      <c r="CZ168" s="24"/>
      <c r="DA168" s="24"/>
      <c r="DB168" s="30" t="str">
        <f t="shared" si="2015"/>
        <v/>
      </c>
      <c r="DC168" s="30" t="str">
        <f t="shared" si="2016"/>
        <v/>
      </c>
      <c r="DD168" s="30" t="str">
        <f t="shared" si="2017"/>
        <v/>
      </c>
      <c r="DE168" s="30" t="str">
        <f t="shared" si="2018"/>
        <v/>
      </c>
      <c r="DF168" s="30" t="str">
        <f t="shared" si="2019"/>
        <v/>
      </c>
      <c r="DG168" s="30" t="str">
        <f t="shared" si="2020"/>
        <v/>
      </c>
      <c r="DH168" s="30" t="str">
        <f t="shared" si="2021"/>
        <v/>
      </c>
      <c r="DI168" s="30" t="str">
        <f t="shared" si="2022"/>
        <v/>
      </c>
      <c r="DJ168" s="30" t="str">
        <f t="shared" si="2023"/>
        <v/>
      </c>
      <c r="DK168" s="30" t="str">
        <f t="shared" si="2024"/>
        <v/>
      </c>
      <c r="DL168" s="30" t="str">
        <f t="shared" si="2025"/>
        <v/>
      </c>
      <c r="DM168" s="30" t="str">
        <f t="shared" si="2026"/>
        <v/>
      </c>
      <c r="DN168" s="30" t="str">
        <f t="shared" si="2027"/>
        <v/>
      </c>
      <c r="DO168" s="30" t="str">
        <f t="shared" si="2028"/>
        <v/>
      </c>
      <c r="DP168" s="30" t="str">
        <f t="shared" si="2029"/>
        <v/>
      </c>
      <c r="DQ168" s="30" t="str">
        <f t="shared" si="2030"/>
        <v/>
      </c>
      <c r="DR168" s="30" t="str">
        <f t="shared" si="2031"/>
        <v/>
      </c>
      <c r="DS168" s="30" t="str">
        <f t="shared" si="2032"/>
        <v/>
      </c>
      <c r="DT168" s="30" t="str">
        <f t="shared" si="2033"/>
        <v/>
      </c>
      <c r="DU168" s="30" t="str">
        <f t="shared" si="2034"/>
        <v/>
      </c>
      <c r="DV168" s="30" t="str">
        <f t="shared" si="2035"/>
        <v/>
      </c>
      <c r="DW168" s="30" t="str">
        <f t="shared" si="2036"/>
        <v/>
      </c>
      <c r="DX168" s="30" t="str">
        <f t="shared" si="2037"/>
        <v/>
      </c>
      <c r="DY168" s="30" t="str">
        <f t="shared" si="2038"/>
        <v/>
      </c>
      <c r="DZ168" s="30" t="str">
        <f t="shared" si="2039"/>
        <v/>
      </c>
      <c r="EA168" s="30" t="str">
        <f t="shared" si="2040"/>
        <v/>
      </c>
      <c r="EB168" s="30" t="str">
        <f t="shared" si="2041"/>
        <v/>
      </c>
      <c r="EC168" s="30" t="str">
        <f t="shared" si="2042"/>
        <v/>
      </c>
      <c r="ED168" s="30" t="str">
        <f t="shared" si="2043"/>
        <v/>
      </c>
      <c r="EE168" s="30" t="str">
        <f t="shared" si="2044"/>
        <v/>
      </c>
      <c r="EF168" s="30" t="str">
        <f t="shared" si="2045"/>
        <v/>
      </c>
      <c r="EG168" s="30" t="str">
        <f t="shared" si="2046"/>
        <v/>
      </c>
      <c r="EH168" s="30" t="str">
        <f t="shared" si="2047"/>
        <v/>
      </c>
      <c r="EI168" s="30" t="str">
        <f t="shared" si="2048"/>
        <v/>
      </c>
      <c r="EJ168" s="30" t="str">
        <f t="shared" si="2049"/>
        <v/>
      </c>
      <c r="EK168" s="30" t="str">
        <f t="shared" si="2050"/>
        <v/>
      </c>
      <c r="EL168" s="30" t="str">
        <f t="shared" si="2051"/>
        <v/>
      </c>
      <c r="EM168" s="30" t="str">
        <f t="shared" si="2052"/>
        <v/>
      </c>
      <c r="EN168" s="30" t="str">
        <f t="shared" si="2053"/>
        <v/>
      </c>
      <c r="EO168" s="30" t="str">
        <f t="shared" si="2054"/>
        <v/>
      </c>
      <c r="EP168" s="30" t="str">
        <f t="shared" si="2055"/>
        <v/>
      </c>
      <c r="EQ168" s="30" t="str">
        <f t="shared" si="2056"/>
        <v/>
      </c>
      <c r="ER168" s="30" t="str">
        <f t="shared" si="2057"/>
        <v/>
      </c>
      <c r="ES168" s="30" t="str">
        <f t="shared" si="2058"/>
        <v/>
      </c>
      <c r="ET168" s="30" t="str">
        <f t="shared" si="2059"/>
        <v/>
      </c>
      <c r="EU168" s="30" t="str">
        <f t="shared" si="2060"/>
        <v/>
      </c>
      <c r="EV168" s="30" t="str">
        <f t="shared" si="2061"/>
        <v/>
      </c>
      <c r="EW168" s="30" t="str">
        <f t="shared" si="2062"/>
        <v/>
      </c>
      <c r="EX168" s="30" t="str">
        <f t="shared" si="2063"/>
        <v/>
      </c>
      <c r="EY168" s="30" t="str">
        <f t="shared" si="2064"/>
        <v/>
      </c>
      <c r="EZ168" s="30" t="str">
        <f t="shared" si="2065"/>
        <v/>
      </c>
      <c r="FA168" s="30" t="str">
        <f t="shared" si="2066"/>
        <v/>
      </c>
      <c r="FB168" s="30" t="str">
        <f t="shared" si="2067"/>
        <v/>
      </c>
      <c r="FC168" s="30" t="str">
        <f t="shared" si="2068"/>
        <v/>
      </c>
      <c r="FD168" s="30" t="str">
        <f t="shared" si="2069"/>
        <v/>
      </c>
      <c r="FE168" s="30" t="str">
        <f t="shared" si="2070"/>
        <v/>
      </c>
      <c r="FF168" s="30" t="str">
        <f t="shared" si="2071"/>
        <v/>
      </c>
      <c r="FG168" s="30" t="str">
        <f t="shared" si="2072"/>
        <v/>
      </c>
      <c r="FH168" s="30" t="str">
        <f t="shared" si="2073"/>
        <v/>
      </c>
      <c r="FI168" s="30" t="str">
        <f t="shared" si="2074"/>
        <v/>
      </c>
      <c r="FJ168" s="30" t="str">
        <f t="shared" si="2075"/>
        <v/>
      </c>
      <c r="FK168" s="30" t="str">
        <f t="shared" si="2076"/>
        <v/>
      </c>
      <c r="FL168" s="30" t="str">
        <f t="shared" si="2077"/>
        <v/>
      </c>
      <c r="FM168" s="30" t="str">
        <f t="shared" si="2078"/>
        <v/>
      </c>
      <c r="FN168" s="30" t="str">
        <f t="shared" si="2079"/>
        <v/>
      </c>
      <c r="FO168" s="30" t="str">
        <f t="shared" si="2080"/>
        <v/>
      </c>
      <c r="FP168" s="30" t="str">
        <f t="shared" si="2081"/>
        <v/>
      </c>
      <c r="FQ168" s="30" t="str">
        <f t="shared" si="2082"/>
        <v/>
      </c>
      <c r="FR168" s="30" t="str">
        <f t="shared" si="2083"/>
        <v/>
      </c>
      <c r="FS168" s="30" t="str">
        <f t="shared" si="2084"/>
        <v/>
      </c>
    </row>
    <row r="169" spans="1:175" ht="16.5">
      <c r="A169" s="5"/>
      <c r="B169" s="36"/>
      <c r="C169" s="5"/>
      <c r="E169" s="54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51"/>
      <c r="Q169" s="51"/>
      <c r="R169" s="51"/>
      <c r="S169" s="51"/>
      <c r="T169" s="104"/>
      <c r="U169" s="32"/>
      <c r="CU169" s="45" t="str">
        <f t="shared" si="2014"/>
        <v>|n</v>
      </c>
      <c r="CW169" s="24"/>
      <c r="CX169" s="24"/>
      <c r="CY169" s="24"/>
      <c r="CZ169" s="24"/>
      <c r="DA169" s="24"/>
      <c r="DB169" s="30" t="str">
        <f t="shared" si="2015"/>
        <v/>
      </c>
      <c r="DC169" s="30" t="str">
        <f t="shared" si="2016"/>
        <v/>
      </c>
      <c r="DD169" s="30" t="str">
        <f t="shared" si="2017"/>
        <v/>
      </c>
      <c r="DE169" s="30" t="str">
        <f t="shared" si="2018"/>
        <v/>
      </c>
      <c r="DF169" s="30" t="str">
        <f t="shared" si="2019"/>
        <v/>
      </c>
      <c r="DG169" s="30" t="str">
        <f t="shared" si="2020"/>
        <v/>
      </c>
      <c r="DH169" s="30" t="str">
        <f t="shared" si="2021"/>
        <v/>
      </c>
      <c r="DI169" s="30" t="str">
        <f t="shared" si="2022"/>
        <v/>
      </c>
      <c r="DJ169" s="30" t="str">
        <f t="shared" si="2023"/>
        <v/>
      </c>
      <c r="DK169" s="30" t="str">
        <f t="shared" si="2024"/>
        <v/>
      </c>
      <c r="DL169" s="30" t="str">
        <f t="shared" si="2025"/>
        <v/>
      </c>
      <c r="DM169" s="30" t="str">
        <f t="shared" si="2026"/>
        <v/>
      </c>
      <c r="DN169" s="30" t="str">
        <f t="shared" si="2027"/>
        <v/>
      </c>
      <c r="DO169" s="30" t="str">
        <f t="shared" si="2028"/>
        <v/>
      </c>
      <c r="DP169" s="30" t="str">
        <f t="shared" si="2029"/>
        <v/>
      </c>
      <c r="DQ169" s="30" t="str">
        <f t="shared" si="2030"/>
        <v/>
      </c>
      <c r="DR169" s="30" t="str">
        <f t="shared" si="2031"/>
        <v/>
      </c>
      <c r="DS169" s="30" t="str">
        <f t="shared" si="2032"/>
        <v/>
      </c>
      <c r="DT169" s="30" t="str">
        <f t="shared" si="2033"/>
        <v/>
      </c>
      <c r="DU169" s="30" t="str">
        <f t="shared" si="2034"/>
        <v/>
      </c>
      <c r="DV169" s="30" t="str">
        <f t="shared" si="2035"/>
        <v/>
      </c>
      <c r="DW169" s="30" t="str">
        <f t="shared" si="2036"/>
        <v/>
      </c>
      <c r="DX169" s="30" t="str">
        <f t="shared" si="2037"/>
        <v/>
      </c>
      <c r="DY169" s="30" t="str">
        <f t="shared" si="2038"/>
        <v/>
      </c>
      <c r="DZ169" s="30" t="str">
        <f t="shared" si="2039"/>
        <v/>
      </c>
      <c r="EA169" s="30" t="str">
        <f t="shared" si="2040"/>
        <v/>
      </c>
      <c r="EB169" s="30" t="str">
        <f t="shared" si="2041"/>
        <v/>
      </c>
      <c r="EC169" s="30" t="str">
        <f t="shared" si="2042"/>
        <v/>
      </c>
      <c r="ED169" s="30" t="str">
        <f t="shared" si="2043"/>
        <v/>
      </c>
      <c r="EE169" s="30" t="str">
        <f t="shared" si="2044"/>
        <v/>
      </c>
      <c r="EF169" s="30" t="str">
        <f t="shared" si="2045"/>
        <v/>
      </c>
      <c r="EG169" s="30" t="str">
        <f t="shared" si="2046"/>
        <v/>
      </c>
      <c r="EH169" s="30" t="str">
        <f t="shared" si="2047"/>
        <v/>
      </c>
      <c r="EI169" s="30" t="str">
        <f t="shared" si="2048"/>
        <v/>
      </c>
      <c r="EJ169" s="30" t="str">
        <f t="shared" si="2049"/>
        <v/>
      </c>
      <c r="EK169" s="30" t="str">
        <f t="shared" si="2050"/>
        <v/>
      </c>
      <c r="EL169" s="30" t="str">
        <f t="shared" si="2051"/>
        <v/>
      </c>
      <c r="EM169" s="30" t="str">
        <f t="shared" si="2052"/>
        <v/>
      </c>
      <c r="EN169" s="30" t="str">
        <f t="shared" si="2053"/>
        <v/>
      </c>
      <c r="EO169" s="30" t="str">
        <f t="shared" si="2054"/>
        <v/>
      </c>
      <c r="EP169" s="30" t="str">
        <f t="shared" si="2055"/>
        <v/>
      </c>
      <c r="EQ169" s="30" t="str">
        <f t="shared" si="2056"/>
        <v/>
      </c>
      <c r="ER169" s="30" t="str">
        <f t="shared" si="2057"/>
        <v/>
      </c>
      <c r="ES169" s="30" t="str">
        <f t="shared" si="2058"/>
        <v/>
      </c>
      <c r="ET169" s="30" t="str">
        <f t="shared" si="2059"/>
        <v/>
      </c>
      <c r="EU169" s="30" t="str">
        <f t="shared" si="2060"/>
        <v/>
      </c>
      <c r="EV169" s="30" t="str">
        <f t="shared" si="2061"/>
        <v/>
      </c>
      <c r="EW169" s="30" t="str">
        <f t="shared" si="2062"/>
        <v/>
      </c>
      <c r="EX169" s="30" t="str">
        <f t="shared" si="2063"/>
        <v/>
      </c>
      <c r="EY169" s="30" t="str">
        <f t="shared" si="2064"/>
        <v/>
      </c>
      <c r="EZ169" s="30" t="str">
        <f t="shared" si="2065"/>
        <v/>
      </c>
      <c r="FA169" s="30" t="str">
        <f t="shared" si="2066"/>
        <v/>
      </c>
      <c r="FB169" s="30" t="str">
        <f t="shared" si="2067"/>
        <v/>
      </c>
      <c r="FC169" s="30" t="str">
        <f t="shared" si="2068"/>
        <v/>
      </c>
      <c r="FD169" s="30" t="str">
        <f t="shared" si="2069"/>
        <v/>
      </c>
      <c r="FE169" s="30" t="str">
        <f t="shared" si="2070"/>
        <v/>
      </c>
      <c r="FF169" s="30" t="str">
        <f t="shared" si="2071"/>
        <v/>
      </c>
      <c r="FG169" s="30" t="str">
        <f t="shared" si="2072"/>
        <v/>
      </c>
      <c r="FH169" s="30" t="str">
        <f t="shared" si="2073"/>
        <v/>
      </c>
      <c r="FI169" s="30" t="str">
        <f t="shared" si="2074"/>
        <v/>
      </c>
      <c r="FJ169" s="30" t="str">
        <f t="shared" si="2075"/>
        <v/>
      </c>
      <c r="FK169" s="30" t="str">
        <f t="shared" si="2076"/>
        <v/>
      </c>
      <c r="FL169" s="30" t="str">
        <f t="shared" si="2077"/>
        <v/>
      </c>
      <c r="FM169" s="30" t="str">
        <f t="shared" si="2078"/>
        <v/>
      </c>
      <c r="FN169" s="30" t="str">
        <f t="shared" si="2079"/>
        <v/>
      </c>
      <c r="FO169" s="30" t="str">
        <f t="shared" si="2080"/>
        <v/>
      </c>
      <c r="FP169" s="30" t="str">
        <f t="shared" si="2081"/>
        <v/>
      </c>
      <c r="FQ169" s="30" t="str">
        <f t="shared" si="2082"/>
        <v/>
      </c>
      <c r="FR169" s="30" t="str">
        <f t="shared" si="2083"/>
        <v/>
      </c>
      <c r="FS169" s="30" t="str">
        <f t="shared" si="2084"/>
        <v/>
      </c>
    </row>
    <row r="170" spans="1:175" ht="16.5">
      <c r="A170" s="5"/>
      <c r="B170" s="36"/>
      <c r="C170" s="5"/>
      <c r="E170" s="54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51"/>
      <c r="Q170" s="51"/>
      <c r="R170" s="51"/>
      <c r="S170" s="51"/>
      <c r="T170" s="104"/>
      <c r="U170" s="32"/>
      <c r="CU170" s="45" t="str">
        <f t="shared" si="2014"/>
        <v>|n</v>
      </c>
      <c r="CW170" s="24"/>
      <c r="CX170" s="24"/>
      <c r="CY170" s="24"/>
      <c r="CZ170" s="24"/>
      <c r="DA170" s="24"/>
      <c r="DB170" s="30" t="str">
        <f t="shared" si="2015"/>
        <v/>
      </c>
      <c r="DC170" s="30" t="str">
        <f t="shared" si="2016"/>
        <v/>
      </c>
      <c r="DD170" s="30" t="str">
        <f t="shared" si="2017"/>
        <v/>
      </c>
      <c r="DE170" s="30" t="str">
        <f t="shared" si="2018"/>
        <v/>
      </c>
      <c r="DF170" s="30" t="str">
        <f t="shared" si="2019"/>
        <v/>
      </c>
      <c r="DG170" s="30" t="str">
        <f t="shared" si="2020"/>
        <v/>
      </c>
      <c r="DH170" s="30" t="str">
        <f t="shared" si="2021"/>
        <v/>
      </c>
      <c r="DI170" s="30" t="str">
        <f t="shared" si="2022"/>
        <v/>
      </c>
      <c r="DJ170" s="30" t="str">
        <f t="shared" si="2023"/>
        <v/>
      </c>
      <c r="DK170" s="30" t="str">
        <f t="shared" si="2024"/>
        <v/>
      </c>
      <c r="DL170" s="30" t="str">
        <f t="shared" si="2025"/>
        <v/>
      </c>
      <c r="DM170" s="30" t="str">
        <f t="shared" si="2026"/>
        <v/>
      </c>
      <c r="DN170" s="30" t="str">
        <f t="shared" si="2027"/>
        <v/>
      </c>
      <c r="DO170" s="30" t="str">
        <f t="shared" si="2028"/>
        <v/>
      </c>
      <c r="DP170" s="30" t="str">
        <f t="shared" si="2029"/>
        <v/>
      </c>
      <c r="DQ170" s="30" t="str">
        <f t="shared" si="2030"/>
        <v/>
      </c>
      <c r="DR170" s="30" t="str">
        <f t="shared" si="2031"/>
        <v/>
      </c>
      <c r="DS170" s="30" t="str">
        <f t="shared" si="2032"/>
        <v/>
      </c>
      <c r="DT170" s="30" t="str">
        <f t="shared" si="2033"/>
        <v/>
      </c>
      <c r="DU170" s="30" t="str">
        <f t="shared" si="2034"/>
        <v/>
      </c>
      <c r="DV170" s="30" t="str">
        <f t="shared" si="2035"/>
        <v/>
      </c>
      <c r="DW170" s="30" t="str">
        <f t="shared" si="2036"/>
        <v/>
      </c>
      <c r="DX170" s="30" t="str">
        <f t="shared" si="2037"/>
        <v/>
      </c>
      <c r="DY170" s="30" t="str">
        <f t="shared" si="2038"/>
        <v/>
      </c>
      <c r="DZ170" s="30" t="str">
        <f t="shared" si="2039"/>
        <v/>
      </c>
      <c r="EA170" s="30" t="str">
        <f t="shared" si="2040"/>
        <v/>
      </c>
      <c r="EB170" s="30" t="str">
        <f t="shared" si="2041"/>
        <v/>
      </c>
      <c r="EC170" s="30" t="str">
        <f t="shared" si="2042"/>
        <v/>
      </c>
      <c r="ED170" s="30" t="str">
        <f t="shared" si="2043"/>
        <v/>
      </c>
      <c r="EE170" s="30" t="str">
        <f t="shared" si="2044"/>
        <v/>
      </c>
      <c r="EF170" s="30" t="str">
        <f t="shared" si="2045"/>
        <v/>
      </c>
      <c r="EG170" s="30" t="str">
        <f t="shared" si="2046"/>
        <v/>
      </c>
      <c r="EH170" s="30" t="str">
        <f t="shared" si="2047"/>
        <v/>
      </c>
      <c r="EI170" s="30" t="str">
        <f t="shared" si="2048"/>
        <v/>
      </c>
      <c r="EJ170" s="30" t="str">
        <f t="shared" si="2049"/>
        <v/>
      </c>
      <c r="EK170" s="30" t="str">
        <f t="shared" si="2050"/>
        <v/>
      </c>
      <c r="EL170" s="30" t="str">
        <f t="shared" si="2051"/>
        <v/>
      </c>
      <c r="EM170" s="30" t="str">
        <f t="shared" si="2052"/>
        <v/>
      </c>
      <c r="EN170" s="30" t="str">
        <f t="shared" si="2053"/>
        <v/>
      </c>
      <c r="EO170" s="30" t="str">
        <f t="shared" si="2054"/>
        <v/>
      </c>
      <c r="EP170" s="30" t="str">
        <f t="shared" si="2055"/>
        <v/>
      </c>
      <c r="EQ170" s="30" t="str">
        <f t="shared" si="2056"/>
        <v/>
      </c>
      <c r="ER170" s="30" t="str">
        <f t="shared" si="2057"/>
        <v/>
      </c>
      <c r="ES170" s="30" t="str">
        <f t="shared" si="2058"/>
        <v/>
      </c>
      <c r="ET170" s="30" t="str">
        <f t="shared" si="2059"/>
        <v/>
      </c>
      <c r="EU170" s="30" t="str">
        <f t="shared" si="2060"/>
        <v/>
      </c>
      <c r="EV170" s="30" t="str">
        <f t="shared" si="2061"/>
        <v/>
      </c>
      <c r="EW170" s="30" t="str">
        <f t="shared" si="2062"/>
        <v/>
      </c>
      <c r="EX170" s="30" t="str">
        <f t="shared" si="2063"/>
        <v/>
      </c>
      <c r="EY170" s="30" t="str">
        <f t="shared" si="2064"/>
        <v/>
      </c>
      <c r="EZ170" s="30" t="str">
        <f t="shared" si="2065"/>
        <v/>
      </c>
      <c r="FA170" s="30" t="str">
        <f t="shared" si="2066"/>
        <v/>
      </c>
      <c r="FB170" s="30" t="str">
        <f t="shared" si="2067"/>
        <v/>
      </c>
      <c r="FC170" s="30" t="str">
        <f t="shared" si="2068"/>
        <v/>
      </c>
      <c r="FD170" s="30" t="str">
        <f t="shared" si="2069"/>
        <v/>
      </c>
      <c r="FE170" s="30" t="str">
        <f t="shared" si="2070"/>
        <v/>
      </c>
      <c r="FF170" s="30" t="str">
        <f t="shared" si="2071"/>
        <v/>
      </c>
      <c r="FG170" s="30" t="str">
        <f t="shared" si="2072"/>
        <v/>
      </c>
      <c r="FH170" s="30" t="str">
        <f t="shared" si="2073"/>
        <v/>
      </c>
      <c r="FI170" s="30" t="str">
        <f t="shared" si="2074"/>
        <v/>
      </c>
      <c r="FJ170" s="30" t="str">
        <f t="shared" si="2075"/>
        <v/>
      </c>
      <c r="FK170" s="30" t="str">
        <f t="shared" si="2076"/>
        <v/>
      </c>
      <c r="FL170" s="30" t="str">
        <f t="shared" si="2077"/>
        <v/>
      </c>
      <c r="FM170" s="30" t="str">
        <f t="shared" si="2078"/>
        <v/>
      </c>
      <c r="FN170" s="30" t="str">
        <f t="shared" si="2079"/>
        <v/>
      </c>
      <c r="FO170" s="30" t="str">
        <f t="shared" si="2080"/>
        <v/>
      </c>
      <c r="FP170" s="30" t="str">
        <f t="shared" si="2081"/>
        <v/>
      </c>
      <c r="FQ170" s="30" t="str">
        <f t="shared" si="2082"/>
        <v/>
      </c>
      <c r="FR170" s="30" t="str">
        <f t="shared" si="2083"/>
        <v/>
      </c>
      <c r="FS170" s="30" t="str">
        <f t="shared" si="2084"/>
        <v/>
      </c>
    </row>
    <row r="171" spans="1:175" ht="16.5">
      <c r="A171" s="5"/>
      <c r="B171" s="36"/>
      <c r="C171" s="5"/>
      <c r="E171" s="54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51"/>
      <c r="Q171" s="51"/>
      <c r="R171" s="51"/>
      <c r="S171" s="51"/>
      <c r="T171" s="103"/>
      <c r="U171" s="32"/>
      <c r="CU171" s="45" t="str">
        <f t="shared" si="2014"/>
        <v>|n</v>
      </c>
      <c r="CW171" s="24"/>
      <c r="CX171" s="24"/>
      <c r="CY171" s="24"/>
      <c r="CZ171" s="24"/>
      <c r="DA171" s="24"/>
      <c r="DB171" s="30" t="str">
        <f t="shared" si="2015"/>
        <v/>
      </c>
      <c r="DC171" s="30" t="str">
        <f t="shared" si="2016"/>
        <v/>
      </c>
      <c r="DD171" s="30" t="str">
        <f t="shared" si="2017"/>
        <v/>
      </c>
      <c r="DE171" s="30" t="str">
        <f t="shared" si="2018"/>
        <v/>
      </c>
      <c r="DF171" s="30" t="str">
        <f t="shared" si="2019"/>
        <v/>
      </c>
      <c r="DG171" s="30" t="str">
        <f t="shared" si="2020"/>
        <v/>
      </c>
      <c r="DH171" s="30" t="str">
        <f t="shared" si="2021"/>
        <v/>
      </c>
      <c r="DI171" s="30" t="str">
        <f t="shared" si="2022"/>
        <v/>
      </c>
      <c r="DJ171" s="30" t="str">
        <f t="shared" si="2023"/>
        <v/>
      </c>
      <c r="DK171" s="30" t="str">
        <f t="shared" si="2024"/>
        <v/>
      </c>
      <c r="DL171" s="30" t="str">
        <f t="shared" si="2025"/>
        <v/>
      </c>
      <c r="DM171" s="30" t="str">
        <f t="shared" si="2026"/>
        <v/>
      </c>
      <c r="DN171" s="30" t="str">
        <f t="shared" si="2027"/>
        <v/>
      </c>
      <c r="DO171" s="30" t="str">
        <f t="shared" si="2028"/>
        <v/>
      </c>
      <c r="DP171" s="30" t="str">
        <f t="shared" si="2029"/>
        <v/>
      </c>
      <c r="DQ171" s="30" t="str">
        <f t="shared" si="2030"/>
        <v/>
      </c>
      <c r="DR171" s="30" t="str">
        <f t="shared" si="2031"/>
        <v/>
      </c>
      <c r="DS171" s="30" t="str">
        <f t="shared" si="2032"/>
        <v/>
      </c>
      <c r="DT171" s="30" t="str">
        <f t="shared" si="2033"/>
        <v/>
      </c>
      <c r="DU171" s="30" t="str">
        <f t="shared" si="2034"/>
        <v/>
      </c>
      <c r="DV171" s="30" t="str">
        <f t="shared" si="2035"/>
        <v/>
      </c>
      <c r="DW171" s="30" t="str">
        <f t="shared" si="2036"/>
        <v/>
      </c>
      <c r="DX171" s="30" t="str">
        <f t="shared" si="2037"/>
        <v/>
      </c>
      <c r="DY171" s="30" t="str">
        <f t="shared" si="2038"/>
        <v/>
      </c>
      <c r="DZ171" s="30" t="str">
        <f t="shared" si="2039"/>
        <v/>
      </c>
      <c r="EA171" s="30" t="str">
        <f t="shared" si="2040"/>
        <v/>
      </c>
      <c r="EB171" s="30" t="str">
        <f t="shared" si="2041"/>
        <v/>
      </c>
      <c r="EC171" s="30" t="str">
        <f t="shared" si="2042"/>
        <v/>
      </c>
      <c r="ED171" s="30" t="str">
        <f t="shared" si="2043"/>
        <v/>
      </c>
      <c r="EE171" s="30" t="str">
        <f t="shared" si="2044"/>
        <v/>
      </c>
      <c r="EF171" s="30" t="str">
        <f t="shared" si="2045"/>
        <v/>
      </c>
      <c r="EG171" s="30" t="str">
        <f t="shared" si="2046"/>
        <v/>
      </c>
      <c r="EH171" s="30" t="str">
        <f t="shared" si="2047"/>
        <v/>
      </c>
      <c r="EI171" s="30" t="str">
        <f t="shared" si="2048"/>
        <v/>
      </c>
      <c r="EJ171" s="30" t="str">
        <f t="shared" si="2049"/>
        <v/>
      </c>
      <c r="EK171" s="30" t="str">
        <f t="shared" si="2050"/>
        <v/>
      </c>
      <c r="EL171" s="30" t="str">
        <f t="shared" si="2051"/>
        <v/>
      </c>
      <c r="EM171" s="30" t="str">
        <f t="shared" si="2052"/>
        <v/>
      </c>
      <c r="EN171" s="30" t="str">
        <f t="shared" si="2053"/>
        <v/>
      </c>
      <c r="EO171" s="30" t="str">
        <f t="shared" si="2054"/>
        <v/>
      </c>
      <c r="EP171" s="30" t="str">
        <f t="shared" si="2055"/>
        <v/>
      </c>
      <c r="EQ171" s="30" t="str">
        <f t="shared" si="2056"/>
        <v/>
      </c>
      <c r="ER171" s="30" t="str">
        <f t="shared" si="2057"/>
        <v/>
      </c>
      <c r="ES171" s="30" t="str">
        <f t="shared" si="2058"/>
        <v/>
      </c>
      <c r="ET171" s="30" t="str">
        <f t="shared" si="2059"/>
        <v/>
      </c>
      <c r="EU171" s="30" t="str">
        <f t="shared" si="2060"/>
        <v/>
      </c>
      <c r="EV171" s="30" t="str">
        <f t="shared" si="2061"/>
        <v/>
      </c>
      <c r="EW171" s="30" t="str">
        <f t="shared" si="2062"/>
        <v/>
      </c>
      <c r="EX171" s="30" t="str">
        <f t="shared" si="2063"/>
        <v/>
      </c>
      <c r="EY171" s="30" t="str">
        <f t="shared" si="2064"/>
        <v/>
      </c>
      <c r="EZ171" s="30" t="str">
        <f t="shared" si="2065"/>
        <v/>
      </c>
      <c r="FA171" s="30" t="str">
        <f t="shared" si="2066"/>
        <v/>
      </c>
      <c r="FB171" s="30" t="str">
        <f t="shared" si="2067"/>
        <v/>
      </c>
      <c r="FC171" s="30" t="str">
        <f t="shared" si="2068"/>
        <v/>
      </c>
      <c r="FD171" s="30" t="str">
        <f t="shared" si="2069"/>
        <v/>
      </c>
      <c r="FE171" s="30" t="str">
        <f t="shared" si="2070"/>
        <v/>
      </c>
      <c r="FF171" s="30" t="str">
        <f t="shared" si="2071"/>
        <v/>
      </c>
      <c r="FG171" s="30" t="str">
        <f t="shared" si="2072"/>
        <v/>
      </c>
      <c r="FH171" s="30" t="str">
        <f t="shared" si="2073"/>
        <v/>
      </c>
      <c r="FI171" s="30" t="str">
        <f t="shared" si="2074"/>
        <v/>
      </c>
      <c r="FJ171" s="30" t="str">
        <f t="shared" si="2075"/>
        <v/>
      </c>
      <c r="FK171" s="30" t="str">
        <f t="shared" si="2076"/>
        <v/>
      </c>
      <c r="FL171" s="30" t="str">
        <f t="shared" si="2077"/>
        <v/>
      </c>
      <c r="FM171" s="30" t="str">
        <f t="shared" si="2078"/>
        <v/>
      </c>
      <c r="FN171" s="30" t="str">
        <f t="shared" si="2079"/>
        <v/>
      </c>
      <c r="FO171" s="30" t="str">
        <f t="shared" si="2080"/>
        <v/>
      </c>
      <c r="FP171" s="30" t="str">
        <f t="shared" si="2081"/>
        <v/>
      </c>
      <c r="FQ171" s="30" t="str">
        <f t="shared" si="2082"/>
        <v/>
      </c>
      <c r="FR171" s="30" t="str">
        <f t="shared" si="2083"/>
        <v/>
      </c>
      <c r="FS171" s="30" t="str">
        <f t="shared" si="2084"/>
        <v/>
      </c>
    </row>
    <row r="172" spans="1:175" ht="16.5">
      <c r="A172" s="5"/>
      <c r="B172" s="36"/>
      <c r="C172" s="5"/>
      <c r="E172" s="54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51"/>
      <c r="Q172" s="51"/>
      <c r="R172" s="51"/>
      <c r="S172" s="51"/>
      <c r="T172" s="103"/>
      <c r="U172" s="32"/>
      <c r="CU172" s="45" t="str">
        <f t="shared" si="2014"/>
        <v>|n</v>
      </c>
      <c r="CW172" s="24"/>
      <c r="CX172" s="24"/>
      <c r="CY172" s="24"/>
      <c r="CZ172" s="24"/>
      <c r="DA172" s="24"/>
      <c r="DB172" s="30" t="str">
        <f t="shared" si="2015"/>
        <v/>
      </c>
      <c r="DC172" s="30" t="str">
        <f t="shared" si="2016"/>
        <v/>
      </c>
      <c r="DD172" s="30" t="str">
        <f t="shared" si="2017"/>
        <v/>
      </c>
      <c r="DE172" s="30" t="str">
        <f t="shared" si="2018"/>
        <v/>
      </c>
      <c r="DF172" s="30" t="str">
        <f t="shared" si="2019"/>
        <v/>
      </c>
      <c r="DG172" s="30" t="str">
        <f t="shared" si="2020"/>
        <v/>
      </c>
      <c r="DH172" s="30" t="str">
        <f t="shared" si="2021"/>
        <v/>
      </c>
      <c r="DI172" s="30" t="str">
        <f t="shared" si="2022"/>
        <v/>
      </c>
      <c r="DJ172" s="30" t="str">
        <f t="shared" si="2023"/>
        <v/>
      </c>
      <c r="DK172" s="30" t="str">
        <f t="shared" si="2024"/>
        <v/>
      </c>
      <c r="DL172" s="30" t="str">
        <f t="shared" si="2025"/>
        <v/>
      </c>
      <c r="DM172" s="30" t="str">
        <f t="shared" si="2026"/>
        <v/>
      </c>
      <c r="DN172" s="30" t="str">
        <f t="shared" si="2027"/>
        <v/>
      </c>
      <c r="DO172" s="30" t="str">
        <f t="shared" si="2028"/>
        <v/>
      </c>
      <c r="DP172" s="30" t="str">
        <f t="shared" si="2029"/>
        <v/>
      </c>
      <c r="DQ172" s="30" t="str">
        <f t="shared" si="2030"/>
        <v/>
      </c>
      <c r="DR172" s="30" t="str">
        <f t="shared" si="2031"/>
        <v/>
      </c>
      <c r="DS172" s="30" t="str">
        <f t="shared" si="2032"/>
        <v/>
      </c>
      <c r="DT172" s="30" t="str">
        <f t="shared" si="2033"/>
        <v/>
      </c>
      <c r="DU172" s="30" t="str">
        <f t="shared" si="2034"/>
        <v/>
      </c>
      <c r="DV172" s="30" t="str">
        <f t="shared" si="2035"/>
        <v/>
      </c>
      <c r="DW172" s="30" t="str">
        <f t="shared" si="2036"/>
        <v/>
      </c>
      <c r="DX172" s="30" t="str">
        <f t="shared" si="2037"/>
        <v/>
      </c>
      <c r="DY172" s="30" t="str">
        <f t="shared" si="2038"/>
        <v/>
      </c>
      <c r="DZ172" s="30" t="str">
        <f t="shared" si="2039"/>
        <v/>
      </c>
      <c r="EA172" s="30" t="str">
        <f t="shared" si="2040"/>
        <v/>
      </c>
      <c r="EB172" s="30" t="str">
        <f t="shared" si="2041"/>
        <v/>
      </c>
      <c r="EC172" s="30" t="str">
        <f t="shared" si="2042"/>
        <v/>
      </c>
      <c r="ED172" s="30" t="str">
        <f t="shared" si="2043"/>
        <v/>
      </c>
      <c r="EE172" s="30" t="str">
        <f t="shared" si="2044"/>
        <v/>
      </c>
      <c r="EF172" s="30" t="str">
        <f t="shared" si="2045"/>
        <v/>
      </c>
      <c r="EG172" s="30" t="str">
        <f t="shared" si="2046"/>
        <v/>
      </c>
      <c r="EH172" s="30" t="str">
        <f t="shared" si="2047"/>
        <v/>
      </c>
      <c r="EI172" s="30" t="str">
        <f t="shared" si="2048"/>
        <v/>
      </c>
      <c r="EJ172" s="30" t="str">
        <f t="shared" si="2049"/>
        <v/>
      </c>
      <c r="EK172" s="30" t="str">
        <f t="shared" si="2050"/>
        <v/>
      </c>
      <c r="EL172" s="30" t="str">
        <f t="shared" si="2051"/>
        <v/>
      </c>
      <c r="EM172" s="30" t="str">
        <f t="shared" si="2052"/>
        <v/>
      </c>
      <c r="EN172" s="30" t="str">
        <f t="shared" si="2053"/>
        <v/>
      </c>
      <c r="EO172" s="30" t="str">
        <f t="shared" si="2054"/>
        <v/>
      </c>
      <c r="EP172" s="30" t="str">
        <f t="shared" si="2055"/>
        <v/>
      </c>
      <c r="EQ172" s="30" t="str">
        <f t="shared" si="2056"/>
        <v/>
      </c>
      <c r="ER172" s="30" t="str">
        <f t="shared" si="2057"/>
        <v/>
      </c>
      <c r="ES172" s="30" t="str">
        <f t="shared" si="2058"/>
        <v/>
      </c>
      <c r="ET172" s="30" t="str">
        <f t="shared" si="2059"/>
        <v/>
      </c>
      <c r="EU172" s="30" t="str">
        <f t="shared" si="2060"/>
        <v/>
      </c>
      <c r="EV172" s="30" t="str">
        <f t="shared" si="2061"/>
        <v/>
      </c>
      <c r="EW172" s="30" t="str">
        <f t="shared" si="2062"/>
        <v/>
      </c>
      <c r="EX172" s="30" t="str">
        <f t="shared" si="2063"/>
        <v/>
      </c>
      <c r="EY172" s="30" t="str">
        <f t="shared" si="2064"/>
        <v/>
      </c>
      <c r="EZ172" s="30" t="str">
        <f t="shared" si="2065"/>
        <v/>
      </c>
      <c r="FA172" s="30" t="str">
        <f t="shared" si="2066"/>
        <v/>
      </c>
      <c r="FB172" s="30" t="str">
        <f t="shared" si="2067"/>
        <v/>
      </c>
      <c r="FC172" s="30" t="str">
        <f t="shared" si="2068"/>
        <v/>
      </c>
      <c r="FD172" s="30" t="str">
        <f t="shared" si="2069"/>
        <v/>
      </c>
      <c r="FE172" s="30" t="str">
        <f t="shared" si="2070"/>
        <v/>
      </c>
      <c r="FF172" s="30" t="str">
        <f t="shared" si="2071"/>
        <v/>
      </c>
      <c r="FG172" s="30" t="str">
        <f t="shared" si="2072"/>
        <v/>
      </c>
      <c r="FH172" s="30" t="str">
        <f t="shared" si="2073"/>
        <v/>
      </c>
      <c r="FI172" s="30" t="str">
        <f t="shared" si="2074"/>
        <v/>
      </c>
      <c r="FJ172" s="30" t="str">
        <f t="shared" si="2075"/>
        <v/>
      </c>
      <c r="FK172" s="30" t="str">
        <f t="shared" si="2076"/>
        <v/>
      </c>
      <c r="FL172" s="30" t="str">
        <f t="shared" si="2077"/>
        <v/>
      </c>
      <c r="FM172" s="30" t="str">
        <f t="shared" si="2078"/>
        <v/>
      </c>
      <c r="FN172" s="30" t="str">
        <f t="shared" si="2079"/>
        <v/>
      </c>
      <c r="FO172" s="30" t="str">
        <f t="shared" si="2080"/>
        <v/>
      </c>
      <c r="FP172" s="30" t="str">
        <f t="shared" si="2081"/>
        <v/>
      </c>
      <c r="FQ172" s="30" t="str">
        <f t="shared" si="2082"/>
        <v/>
      </c>
      <c r="FR172" s="30" t="str">
        <f t="shared" si="2083"/>
        <v/>
      </c>
      <c r="FS172" s="30" t="str">
        <f t="shared" si="2084"/>
        <v/>
      </c>
    </row>
    <row r="173" spans="1:175">
      <c r="A173" s="66"/>
      <c r="B173" s="66"/>
      <c r="C173" s="66"/>
      <c r="E173" s="35"/>
      <c r="T173" s="100"/>
      <c r="U173" s="32"/>
      <c r="CU173" s="45" t="str">
        <f t="shared" si="2014"/>
        <v>|n</v>
      </c>
      <c r="CW173" s="24"/>
      <c r="CX173" s="24"/>
      <c r="CY173" s="24"/>
      <c r="CZ173" s="24"/>
      <c r="DA173" s="24"/>
      <c r="DB173" s="30" t="str">
        <f t="shared" si="2015"/>
        <v/>
      </c>
      <c r="DC173" s="30" t="str">
        <f t="shared" si="2016"/>
        <v/>
      </c>
      <c r="DD173" s="30" t="str">
        <f t="shared" si="2017"/>
        <v/>
      </c>
      <c r="DE173" s="30" t="str">
        <f t="shared" si="2018"/>
        <v/>
      </c>
      <c r="DF173" s="30" t="str">
        <f t="shared" si="2019"/>
        <v/>
      </c>
      <c r="DG173" s="30" t="str">
        <f t="shared" si="2020"/>
        <v/>
      </c>
      <c r="DH173" s="30" t="str">
        <f t="shared" si="2021"/>
        <v/>
      </c>
      <c r="DI173" s="30" t="str">
        <f t="shared" si="2022"/>
        <v/>
      </c>
      <c r="DJ173" s="30" t="str">
        <f t="shared" si="2023"/>
        <v/>
      </c>
      <c r="DK173" s="30" t="str">
        <f t="shared" si="2024"/>
        <v/>
      </c>
      <c r="DL173" s="30" t="str">
        <f t="shared" si="2025"/>
        <v/>
      </c>
      <c r="DM173" s="30" t="str">
        <f t="shared" si="2026"/>
        <v/>
      </c>
      <c r="DN173" s="30" t="str">
        <f t="shared" si="2027"/>
        <v/>
      </c>
      <c r="DO173" s="30" t="str">
        <f t="shared" si="2028"/>
        <v/>
      </c>
      <c r="DP173" s="30" t="str">
        <f t="shared" si="2029"/>
        <v/>
      </c>
      <c r="DQ173" s="30" t="str">
        <f t="shared" si="2030"/>
        <v/>
      </c>
      <c r="DR173" s="30" t="str">
        <f t="shared" si="2031"/>
        <v/>
      </c>
      <c r="DS173" s="30" t="str">
        <f t="shared" si="2032"/>
        <v/>
      </c>
      <c r="DT173" s="30" t="str">
        <f t="shared" si="2033"/>
        <v/>
      </c>
      <c r="DU173" s="30" t="str">
        <f t="shared" si="2034"/>
        <v/>
      </c>
      <c r="DV173" s="30" t="str">
        <f t="shared" si="2035"/>
        <v/>
      </c>
      <c r="DW173" s="30" t="str">
        <f t="shared" si="2036"/>
        <v/>
      </c>
      <c r="DX173" s="30" t="str">
        <f t="shared" si="2037"/>
        <v/>
      </c>
      <c r="DY173" s="30" t="str">
        <f t="shared" si="2038"/>
        <v/>
      </c>
      <c r="DZ173" s="30" t="str">
        <f t="shared" si="2039"/>
        <v/>
      </c>
      <c r="EA173" s="30" t="str">
        <f t="shared" si="2040"/>
        <v/>
      </c>
      <c r="EB173" s="30" t="str">
        <f t="shared" si="2041"/>
        <v/>
      </c>
      <c r="EC173" s="30" t="str">
        <f t="shared" si="2042"/>
        <v/>
      </c>
      <c r="ED173" s="30" t="str">
        <f t="shared" si="2043"/>
        <v/>
      </c>
      <c r="EE173" s="30" t="str">
        <f t="shared" si="2044"/>
        <v/>
      </c>
      <c r="EF173" s="30" t="str">
        <f t="shared" si="2045"/>
        <v/>
      </c>
      <c r="EG173" s="30" t="str">
        <f t="shared" si="2046"/>
        <v/>
      </c>
      <c r="EH173" s="30" t="str">
        <f t="shared" si="2047"/>
        <v/>
      </c>
      <c r="EI173" s="30" t="str">
        <f t="shared" si="2048"/>
        <v/>
      </c>
      <c r="EJ173" s="30" t="str">
        <f t="shared" si="2049"/>
        <v/>
      </c>
      <c r="EK173" s="30" t="str">
        <f t="shared" si="2050"/>
        <v/>
      </c>
      <c r="EL173" s="30" t="str">
        <f t="shared" si="2051"/>
        <v/>
      </c>
      <c r="EM173" s="30" t="str">
        <f t="shared" si="2052"/>
        <v/>
      </c>
      <c r="EN173" s="30" t="str">
        <f t="shared" si="2053"/>
        <v/>
      </c>
      <c r="EO173" s="30" t="str">
        <f t="shared" si="2054"/>
        <v/>
      </c>
      <c r="EP173" s="30" t="str">
        <f t="shared" si="2055"/>
        <v/>
      </c>
      <c r="EQ173" s="30" t="str">
        <f t="shared" si="2056"/>
        <v/>
      </c>
      <c r="ER173" s="30" t="str">
        <f t="shared" si="2057"/>
        <v/>
      </c>
      <c r="ES173" s="30" t="str">
        <f t="shared" si="2058"/>
        <v/>
      </c>
      <c r="ET173" s="30" t="str">
        <f t="shared" si="2059"/>
        <v/>
      </c>
      <c r="EU173" s="30" t="str">
        <f t="shared" si="2060"/>
        <v/>
      </c>
      <c r="EV173" s="30" t="str">
        <f t="shared" si="2061"/>
        <v/>
      </c>
      <c r="EW173" s="30" t="str">
        <f t="shared" si="2062"/>
        <v/>
      </c>
      <c r="EX173" s="30" t="str">
        <f t="shared" si="2063"/>
        <v/>
      </c>
      <c r="EY173" s="30" t="str">
        <f t="shared" si="2064"/>
        <v/>
      </c>
      <c r="EZ173" s="30" t="str">
        <f t="shared" si="2065"/>
        <v/>
      </c>
      <c r="FA173" s="30" t="str">
        <f t="shared" si="2066"/>
        <v/>
      </c>
      <c r="FB173" s="30" t="str">
        <f t="shared" si="2067"/>
        <v/>
      </c>
      <c r="FC173" s="30" t="str">
        <f t="shared" si="2068"/>
        <v/>
      </c>
      <c r="FD173" s="30" t="str">
        <f t="shared" si="2069"/>
        <v/>
      </c>
      <c r="FE173" s="30" t="str">
        <f t="shared" si="2070"/>
        <v/>
      </c>
      <c r="FF173" s="30" t="str">
        <f t="shared" si="2071"/>
        <v/>
      </c>
      <c r="FG173" s="30" t="str">
        <f t="shared" si="2072"/>
        <v/>
      </c>
      <c r="FH173" s="30" t="str">
        <f t="shared" si="2073"/>
        <v/>
      </c>
      <c r="FI173" s="30" t="str">
        <f t="shared" si="2074"/>
        <v/>
      </c>
      <c r="FJ173" s="30" t="str">
        <f t="shared" si="2075"/>
        <v/>
      </c>
      <c r="FK173" s="30" t="str">
        <f t="shared" si="2076"/>
        <v/>
      </c>
      <c r="FL173" s="30" t="str">
        <f t="shared" si="2077"/>
        <v/>
      </c>
      <c r="FM173" s="30" t="str">
        <f t="shared" si="2078"/>
        <v/>
      </c>
      <c r="FN173" s="30" t="str">
        <f t="shared" si="2079"/>
        <v/>
      </c>
      <c r="FO173" s="30" t="str">
        <f t="shared" si="2080"/>
        <v/>
      </c>
      <c r="FP173" s="30" t="str">
        <f t="shared" si="2081"/>
        <v/>
      </c>
      <c r="FQ173" s="30" t="str">
        <f t="shared" si="2082"/>
        <v/>
      </c>
      <c r="FR173" s="30" t="str">
        <f t="shared" si="2083"/>
        <v/>
      </c>
      <c r="FS173" s="30" t="str">
        <f t="shared" si="2084"/>
        <v/>
      </c>
    </row>
    <row r="174" spans="1:175">
      <c r="A174" s="66"/>
      <c r="B174" s="66"/>
      <c r="C174" s="66"/>
      <c r="E174" s="35"/>
      <c r="T174" s="100"/>
      <c r="U174" s="32"/>
      <c r="CU174" s="45" t="str">
        <f t="shared" si="2014"/>
        <v>|n</v>
      </c>
      <c r="CW174" s="24"/>
      <c r="CX174" s="24"/>
      <c r="CY174" s="24"/>
      <c r="CZ174" s="24"/>
      <c r="DA174" s="24"/>
      <c r="DB174" s="30" t="str">
        <f t="shared" si="2015"/>
        <v/>
      </c>
      <c r="DC174" s="30" t="str">
        <f t="shared" si="2016"/>
        <v/>
      </c>
      <c r="DD174" s="30" t="str">
        <f t="shared" si="2017"/>
        <v/>
      </c>
      <c r="DE174" s="30" t="str">
        <f t="shared" si="2018"/>
        <v/>
      </c>
      <c r="DF174" s="30" t="str">
        <f t="shared" si="2019"/>
        <v/>
      </c>
      <c r="DG174" s="30" t="str">
        <f t="shared" si="2020"/>
        <v/>
      </c>
      <c r="DH174" s="30" t="str">
        <f t="shared" si="2021"/>
        <v/>
      </c>
      <c r="DI174" s="30" t="str">
        <f t="shared" si="2022"/>
        <v/>
      </c>
      <c r="DJ174" s="30" t="str">
        <f t="shared" si="2023"/>
        <v/>
      </c>
      <c r="DK174" s="30" t="str">
        <f t="shared" si="2024"/>
        <v/>
      </c>
      <c r="DL174" s="30" t="str">
        <f t="shared" si="2025"/>
        <v/>
      </c>
      <c r="DM174" s="30" t="str">
        <f t="shared" si="2026"/>
        <v/>
      </c>
      <c r="DN174" s="30" t="str">
        <f t="shared" si="2027"/>
        <v/>
      </c>
      <c r="DO174" s="30" t="str">
        <f t="shared" si="2028"/>
        <v/>
      </c>
      <c r="DP174" s="30" t="str">
        <f t="shared" si="2029"/>
        <v/>
      </c>
      <c r="DQ174" s="30" t="str">
        <f t="shared" si="2030"/>
        <v/>
      </c>
      <c r="DR174" s="30" t="str">
        <f t="shared" si="2031"/>
        <v/>
      </c>
      <c r="DS174" s="30" t="str">
        <f t="shared" si="2032"/>
        <v/>
      </c>
      <c r="DT174" s="30" t="str">
        <f t="shared" si="2033"/>
        <v/>
      </c>
      <c r="DU174" s="30" t="str">
        <f t="shared" si="2034"/>
        <v/>
      </c>
      <c r="DV174" s="30" t="str">
        <f t="shared" si="2035"/>
        <v/>
      </c>
      <c r="DW174" s="30" t="str">
        <f t="shared" si="2036"/>
        <v/>
      </c>
      <c r="DX174" s="30" t="str">
        <f t="shared" si="2037"/>
        <v/>
      </c>
      <c r="DY174" s="30" t="str">
        <f t="shared" si="2038"/>
        <v/>
      </c>
      <c r="DZ174" s="30" t="str">
        <f t="shared" si="2039"/>
        <v/>
      </c>
      <c r="EA174" s="30" t="str">
        <f t="shared" si="2040"/>
        <v/>
      </c>
      <c r="EB174" s="30" t="str">
        <f t="shared" si="2041"/>
        <v/>
      </c>
      <c r="EC174" s="30" t="str">
        <f t="shared" si="2042"/>
        <v/>
      </c>
      <c r="ED174" s="30" t="str">
        <f t="shared" si="2043"/>
        <v/>
      </c>
      <c r="EE174" s="30" t="str">
        <f t="shared" si="2044"/>
        <v/>
      </c>
      <c r="EF174" s="30" t="str">
        <f t="shared" si="2045"/>
        <v/>
      </c>
      <c r="EG174" s="30" t="str">
        <f t="shared" si="2046"/>
        <v/>
      </c>
      <c r="EH174" s="30" t="str">
        <f t="shared" si="2047"/>
        <v/>
      </c>
      <c r="EI174" s="30" t="str">
        <f t="shared" si="2048"/>
        <v/>
      </c>
      <c r="EJ174" s="30" t="str">
        <f t="shared" si="2049"/>
        <v/>
      </c>
      <c r="EK174" s="30" t="str">
        <f t="shared" si="2050"/>
        <v/>
      </c>
      <c r="EL174" s="30" t="str">
        <f t="shared" si="2051"/>
        <v/>
      </c>
      <c r="EM174" s="30" t="str">
        <f t="shared" si="2052"/>
        <v/>
      </c>
      <c r="EN174" s="30" t="str">
        <f t="shared" si="2053"/>
        <v/>
      </c>
      <c r="EO174" s="30" t="str">
        <f t="shared" si="2054"/>
        <v/>
      </c>
      <c r="EP174" s="30" t="str">
        <f t="shared" si="2055"/>
        <v/>
      </c>
      <c r="EQ174" s="30" t="str">
        <f t="shared" si="2056"/>
        <v/>
      </c>
      <c r="ER174" s="30" t="str">
        <f t="shared" si="2057"/>
        <v/>
      </c>
      <c r="ES174" s="30" t="str">
        <f t="shared" si="2058"/>
        <v/>
      </c>
      <c r="ET174" s="30" t="str">
        <f t="shared" si="2059"/>
        <v/>
      </c>
      <c r="EU174" s="30" t="str">
        <f t="shared" si="2060"/>
        <v/>
      </c>
      <c r="EV174" s="30" t="str">
        <f t="shared" si="2061"/>
        <v/>
      </c>
      <c r="EW174" s="30" t="str">
        <f t="shared" si="2062"/>
        <v/>
      </c>
      <c r="EX174" s="30" t="str">
        <f t="shared" si="2063"/>
        <v/>
      </c>
      <c r="EY174" s="30" t="str">
        <f t="shared" si="2064"/>
        <v/>
      </c>
      <c r="EZ174" s="30" t="str">
        <f t="shared" si="2065"/>
        <v/>
      </c>
      <c r="FA174" s="30" t="str">
        <f t="shared" si="2066"/>
        <v/>
      </c>
      <c r="FB174" s="30" t="str">
        <f t="shared" si="2067"/>
        <v/>
      </c>
      <c r="FC174" s="30" t="str">
        <f t="shared" si="2068"/>
        <v/>
      </c>
      <c r="FD174" s="30" t="str">
        <f t="shared" si="2069"/>
        <v/>
      </c>
      <c r="FE174" s="30" t="str">
        <f t="shared" si="2070"/>
        <v/>
      </c>
      <c r="FF174" s="30" t="str">
        <f t="shared" si="2071"/>
        <v/>
      </c>
      <c r="FG174" s="30" t="str">
        <f t="shared" si="2072"/>
        <v/>
      </c>
      <c r="FH174" s="30" t="str">
        <f t="shared" si="2073"/>
        <v/>
      </c>
      <c r="FI174" s="30" t="str">
        <f t="shared" si="2074"/>
        <v/>
      </c>
      <c r="FJ174" s="30" t="str">
        <f t="shared" si="2075"/>
        <v/>
      </c>
      <c r="FK174" s="30" t="str">
        <f t="shared" si="2076"/>
        <v/>
      </c>
      <c r="FL174" s="30" t="str">
        <f t="shared" si="2077"/>
        <v/>
      </c>
      <c r="FM174" s="30" t="str">
        <f t="shared" si="2078"/>
        <v/>
      </c>
      <c r="FN174" s="30" t="str">
        <f t="shared" si="2079"/>
        <v/>
      </c>
      <c r="FO174" s="30" t="str">
        <f t="shared" si="2080"/>
        <v/>
      </c>
      <c r="FP174" s="30" t="str">
        <f t="shared" si="2081"/>
        <v/>
      </c>
      <c r="FQ174" s="30" t="str">
        <f t="shared" si="2082"/>
        <v/>
      </c>
      <c r="FR174" s="30" t="str">
        <f t="shared" si="2083"/>
        <v/>
      </c>
      <c r="FS174" s="30" t="str">
        <f t="shared" si="2084"/>
        <v/>
      </c>
    </row>
    <row r="175" spans="1:175" s="24" customFormat="1" ht="16.5">
      <c r="A175" s="46"/>
      <c r="B175" s="36"/>
      <c r="C175" s="46"/>
      <c r="D175" s="31"/>
      <c r="E175" s="39"/>
      <c r="F175" s="41"/>
      <c r="G175" s="47"/>
      <c r="H175" s="47"/>
      <c r="I175" s="47"/>
      <c r="J175" s="47"/>
      <c r="K175" s="47"/>
      <c r="L175" s="47"/>
      <c r="M175" s="47"/>
      <c r="N175" s="47"/>
      <c r="O175" s="47"/>
      <c r="P175" s="42"/>
      <c r="Q175" s="42"/>
      <c r="R175" s="42"/>
      <c r="S175" s="42"/>
      <c r="T175" s="102"/>
      <c r="U175" s="32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43"/>
      <c r="CB175" s="43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4" t="str">
        <f>"InitUnitState('"&amp;B175&amp;"',"&amp;V175&amp;","&amp;W175&amp;","&amp;X175&amp;","&amp;Y175&amp;","&amp;Z175&amp;","&amp;AA175&amp;","&amp;AB175&amp;","&amp;AC175&amp;","&amp;AD175&amp;","&amp;AE175&amp;")"</f>
        <v>InitUnitState('',,,,,,,,,,)</v>
      </c>
      <c r="CO175" s="44" t="str">
        <f>"InitUnitNormal('"&amp;B175&amp;"',"&amp;AF175&amp;","&amp;AG175&amp;","&amp;AH175&amp;","&amp;AI175&amp;","&amp;AJ175&amp;","&amp;AK175&amp;","&amp;AL175&amp;","&amp;AM175&amp;","&amp;AN175&amp;","&amp;AO175&amp;")"</f>
        <v>InitUnitNormal('',,,,,,,,,,)</v>
      </c>
      <c r="CP175" s="44" t="str">
        <f>"InitUnitMagic('"&amp;B175&amp;"',"&amp;AP175&amp;","&amp;AQ175&amp;","&amp;AR175&amp;","&amp;AS175&amp;","&amp;AT175&amp;","&amp;AU175&amp;","&amp;AV175&amp;","&amp;AW175&amp;","&amp;BI175&amp;","&amp;BJ175&amp;")"</f>
        <v>InitUnitMagic('',,,,,,,,,,)</v>
      </c>
      <c r="CQ175" s="44" t="str">
        <f>"InitUnitAdd('"&amp;B175&amp;"',"&amp;BK175&amp;","&amp;BL175&amp;","&amp;BM175&amp;","&amp;BN175&amp;","&amp;BO175&amp;","&amp;BP175&amp;","&amp;BQ175&amp;","&amp;BR175&amp;","&amp;BS175&amp;","&amp;BT175&amp;")"</f>
        <v>InitUnitAdd('',,,,,,,,,,)</v>
      </c>
      <c r="CR175" s="44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InitEquipData('',,"",,,,,'','','','','','',"")</v>
      </c>
      <c r="CS175" s="44"/>
      <c r="CT175" s="44"/>
      <c r="CU175" s="45" t="str">
        <f t="shared" si="2014"/>
        <v>|n</v>
      </c>
      <c r="CV175" s="29"/>
      <c r="DB175" s="30" t="str">
        <f t="shared" si="2015"/>
        <v/>
      </c>
      <c r="DC175" s="30" t="str">
        <f t="shared" si="2016"/>
        <v/>
      </c>
      <c r="DD175" s="30" t="str">
        <f t="shared" si="2017"/>
        <v/>
      </c>
      <c r="DE175" s="30" t="str">
        <f t="shared" si="2018"/>
        <v/>
      </c>
      <c r="DF175" s="30" t="str">
        <f t="shared" si="2019"/>
        <v/>
      </c>
      <c r="DG175" s="30" t="str">
        <f t="shared" si="2020"/>
        <v/>
      </c>
      <c r="DH175" s="30" t="str">
        <f t="shared" si="2021"/>
        <v/>
      </c>
      <c r="DI175" s="30" t="str">
        <f t="shared" si="2022"/>
        <v/>
      </c>
      <c r="DJ175" s="30" t="str">
        <f t="shared" si="2023"/>
        <v/>
      </c>
      <c r="DK175" s="30" t="str">
        <f t="shared" si="2024"/>
        <v/>
      </c>
      <c r="DL175" s="30" t="str">
        <f t="shared" si="2025"/>
        <v/>
      </c>
      <c r="DM175" s="30" t="str">
        <f t="shared" si="2026"/>
        <v/>
      </c>
      <c r="DN175" s="30" t="str">
        <f t="shared" si="2027"/>
        <v/>
      </c>
      <c r="DO175" s="30" t="str">
        <f t="shared" si="2028"/>
        <v/>
      </c>
      <c r="DP175" s="30" t="str">
        <f t="shared" si="2029"/>
        <v/>
      </c>
      <c r="DQ175" s="30" t="str">
        <f t="shared" si="2030"/>
        <v/>
      </c>
      <c r="DR175" s="30" t="str">
        <f t="shared" si="2031"/>
        <v/>
      </c>
      <c r="DS175" s="30" t="str">
        <f t="shared" si="2032"/>
        <v/>
      </c>
      <c r="DT175" s="30" t="str">
        <f t="shared" si="2033"/>
        <v/>
      </c>
      <c r="DU175" s="30" t="str">
        <f t="shared" si="2034"/>
        <v/>
      </c>
      <c r="DV175" s="30" t="str">
        <f t="shared" si="2035"/>
        <v/>
      </c>
      <c r="DW175" s="30" t="str">
        <f t="shared" si="2036"/>
        <v/>
      </c>
      <c r="DX175" s="30" t="str">
        <f t="shared" si="2037"/>
        <v/>
      </c>
      <c r="DY175" s="30" t="str">
        <f t="shared" si="2038"/>
        <v/>
      </c>
      <c r="DZ175" s="30" t="str">
        <f t="shared" si="2039"/>
        <v/>
      </c>
      <c r="EA175" s="30" t="str">
        <f t="shared" si="2040"/>
        <v/>
      </c>
      <c r="EB175" s="30" t="str">
        <f t="shared" si="2041"/>
        <v/>
      </c>
      <c r="EC175" s="30" t="str">
        <f t="shared" si="2042"/>
        <v/>
      </c>
      <c r="ED175" s="30" t="str">
        <f t="shared" si="2043"/>
        <v/>
      </c>
      <c r="EE175" s="30" t="str">
        <f t="shared" si="2044"/>
        <v/>
      </c>
      <c r="EF175" s="30" t="str">
        <f t="shared" si="2045"/>
        <v/>
      </c>
      <c r="EG175" s="30" t="str">
        <f t="shared" si="2046"/>
        <v/>
      </c>
      <c r="EH175" s="30" t="str">
        <f t="shared" si="2047"/>
        <v/>
      </c>
      <c r="EI175" s="30" t="str">
        <f t="shared" si="2048"/>
        <v/>
      </c>
      <c r="EJ175" s="30" t="str">
        <f t="shared" si="2049"/>
        <v/>
      </c>
      <c r="EK175" s="30" t="str">
        <f t="shared" si="2050"/>
        <v/>
      </c>
      <c r="EL175" s="30" t="str">
        <f t="shared" si="2051"/>
        <v/>
      </c>
      <c r="EM175" s="30" t="str">
        <f t="shared" si="2052"/>
        <v/>
      </c>
      <c r="EN175" s="30" t="str">
        <f t="shared" si="2053"/>
        <v/>
      </c>
      <c r="EO175" s="30" t="str">
        <f t="shared" si="2054"/>
        <v/>
      </c>
      <c r="EP175" s="30" t="str">
        <f t="shared" si="2055"/>
        <v/>
      </c>
      <c r="EQ175" s="30" t="str">
        <f t="shared" si="2056"/>
        <v/>
      </c>
      <c r="ER175" s="30" t="str">
        <f t="shared" si="2057"/>
        <v/>
      </c>
      <c r="ES175" s="30" t="str">
        <f t="shared" si="2058"/>
        <v/>
      </c>
      <c r="ET175" s="30" t="str">
        <f t="shared" si="2059"/>
        <v/>
      </c>
      <c r="EU175" s="30" t="str">
        <f t="shared" si="2060"/>
        <v/>
      </c>
      <c r="EV175" s="30" t="str">
        <f t="shared" si="2061"/>
        <v/>
      </c>
      <c r="EW175" s="30" t="str">
        <f t="shared" si="2062"/>
        <v/>
      </c>
      <c r="EX175" s="30" t="str">
        <f t="shared" si="2063"/>
        <v/>
      </c>
      <c r="EY175" s="30" t="str">
        <f t="shared" si="2064"/>
        <v/>
      </c>
      <c r="EZ175" s="30" t="str">
        <f t="shared" si="2065"/>
        <v/>
      </c>
      <c r="FA175" s="30" t="str">
        <f t="shared" si="2066"/>
        <v/>
      </c>
      <c r="FB175" s="30" t="str">
        <f t="shared" si="2067"/>
        <v/>
      </c>
      <c r="FC175" s="30" t="str">
        <f t="shared" si="2068"/>
        <v/>
      </c>
      <c r="FD175" s="30" t="str">
        <f t="shared" si="2069"/>
        <v/>
      </c>
      <c r="FE175" s="30" t="str">
        <f t="shared" si="2070"/>
        <v/>
      </c>
      <c r="FF175" s="30" t="str">
        <f t="shared" si="2071"/>
        <v/>
      </c>
      <c r="FG175" s="30" t="str">
        <f t="shared" si="2072"/>
        <v/>
      </c>
      <c r="FH175" s="30" t="str">
        <f t="shared" si="2073"/>
        <v/>
      </c>
      <c r="FI175" s="30" t="str">
        <f t="shared" si="2074"/>
        <v/>
      </c>
      <c r="FJ175" s="30" t="str">
        <f t="shared" si="2075"/>
        <v/>
      </c>
      <c r="FK175" s="30" t="str">
        <f t="shared" si="2076"/>
        <v/>
      </c>
      <c r="FL175" s="30" t="str">
        <f t="shared" si="2077"/>
        <v/>
      </c>
      <c r="FM175" s="30" t="str">
        <f t="shared" si="2078"/>
        <v/>
      </c>
      <c r="FN175" s="30" t="str">
        <f t="shared" si="2079"/>
        <v/>
      </c>
      <c r="FO175" s="30" t="str">
        <f t="shared" si="2080"/>
        <v/>
      </c>
      <c r="FP175" s="30" t="str">
        <f t="shared" si="2081"/>
        <v/>
      </c>
      <c r="FQ175" s="30" t="str">
        <f t="shared" si="2082"/>
        <v/>
      </c>
      <c r="FR175" s="30" t="str">
        <f t="shared" si="2083"/>
        <v/>
      </c>
      <c r="FS175" s="30" t="str">
        <f t="shared" si="2084"/>
        <v/>
      </c>
    </row>
    <row r="176" spans="1:175" s="24" customFormat="1" ht="16.5">
      <c r="A176" s="46"/>
      <c r="B176" s="36"/>
      <c r="C176" s="46"/>
      <c r="D176" s="31"/>
      <c r="E176" s="39"/>
      <c r="F176" s="41"/>
      <c r="G176" s="47"/>
      <c r="H176" s="47"/>
      <c r="I176" s="47"/>
      <c r="J176" s="47"/>
      <c r="K176" s="47"/>
      <c r="L176" s="47"/>
      <c r="M176" s="47"/>
      <c r="N176" s="47"/>
      <c r="O176" s="47"/>
      <c r="P176" s="42"/>
      <c r="Q176" s="42"/>
      <c r="R176" s="42"/>
      <c r="S176" s="42"/>
      <c r="T176" s="102"/>
      <c r="U176" s="32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43"/>
      <c r="CB176" s="43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4" t="str">
        <f>"InitUnitState('"&amp;B176&amp;"',"&amp;V176&amp;","&amp;W176&amp;","&amp;X176&amp;","&amp;Y176&amp;","&amp;Z176&amp;","&amp;AA176&amp;","&amp;AB176&amp;","&amp;AC176&amp;","&amp;AD176&amp;","&amp;AE176&amp;")"</f>
        <v>InitUnitState('',,,,,,,,,,)</v>
      </c>
      <c r="CO176" s="44" t="str">
        <f>"InitUnitNormal('"&amp;B176&amp;"',"&amp;AF176&amp;","&amp;AG176&amp;","&amp;AH176&amp;","&amp;AI176&amp;","&amp;AJ176&amp;","&amp;AK176&amp;","&amp;AL176&amp;","&amp;AM176&amp;","&amp;AN176&amp;","&amp;AO176&amp;")"</f>
        <v>InitUnitNormal('',,,,,,,,,,)</v>
      </c>
      <c r="CP176" s="44" t="str">
        <f>"InitUnitMagic('"&amp;B176&amp;"',"&amp;AP176&amp;","&amp;AQ176&amp;","&amp;AR176&amp;","&amp;AS176&amp;","&amp;AT176&amp;","&amp;AU176&amp;","&amp;AV176&amp;","&amp;AW176&amp;","&amp;BI176&amp;","&amp;BJ176&amp;")"</f>
        <v>InitUnitMagic('',,,,,,,,,,)</v>
      </c>
      <c r="CQ176" s="44" t="str">
        <f>"InitUnitAdd('"&amp;B176&amp;"',"&amp;BK176&amp;","&amp;BL176&amp;","&amp;BM176&amp;","&amp;BN176&amp;","&amp;BO176&amp;","&amp;BP176&amp;","&amp;BQ176&amp;","&amp;BR176&amp;","&amp;BS176&amp;","&amp;BT176&amp;")"</f>
        <v>InitUnitAdd('',,,,,,,,,,)</v>
      </c>
      <c r="CR176" s="44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InitEquipData('',,"",,,,,'','','','','','',"")</v>
      </c>
      <c r="CS176" s="44"/>
      <c r="CT176" s="44"/>
      <c r="CU176" s="45" t="str">
        <f t="shared" si="2014"/>
        <v>|n</v>
      </c>
      <c r="CV176" s="29"/>
      <c r="DB176" s="30" t="str">
        <f t="shared" si="2015"/>
        <v/>
      </c>
      <c r="DC176" s="30" t="str">
        <f t="shared" si="2016"/>
        <v/>
      </c>
      <c r="DD176" s="30" t="str">
        <f t="shared" si="2017"/>
        <v/>
      </c>
      <c r="DE176" s="30" t="str">
        <f t="shared" si="2018"/>
        <v/>
      </c>
      <c r="DF176" s="30" t="str">
        <f t="shared" si="2019"/>
        <v/>
      </c>
      <c r="DG176" s="30" t="str">
        <f t="shared" si="2020"/>
        <v/>
      </c>
      <c r="DH176" s="30" t="str">
        <f t="shared" si="2021"/>
        <v/>
      </c>
      <c r="DI176" s="30" t="str">
        <f t="shared" si="2022"/>
        <v/>
      </c>
      <c r="DJ176" s="30" t="str">
        <f t="shared" si="2023"/>
        <v/>
      </c>
      <c r="DK176" s="30" t="str">
        <f t="shared" si="2024"/>
        <v/>
      </c>
      <c r="DL176" s="30" t="str">
        <f t="shared" si="2025"/>
        <v/>
      </c>
      <c r="DM176" s="30" t="str">
        <f t="shared" si="2026"/>
        <v/>
      </c>
      <c r="DN176" s="30" t="str">
        <f t="shared" si="2027"/>
        <v/>
      </c>
      <c r="DO176" s="30" t="str">
        <f t="shared" si="2028"/>
        <v/>
      </c>
      <c r="DP176" s="30" t="str">
        <f t="shared" si="2029"/>
        <v/>
      </c>
      <c r="DQ176" s="30" t="str">
        <f t="shared" si="2030"/>
        <v/>
      </c>
      <c r="DR176" s="30" t="str">
        <f t="shared" si="2031"/>
        <v/>
      </c>
      <c r="DS176" s="30" t="str">
        <f t="shared" si="2032"/>
        <v/>
      </c>
      <c r="DT176" s="30" t="str">
        <f t="shared" si="2033"/>
        <v/>
      </c>
      <c r="DU176" s="30" t="str">
        <f t="shared" si="2034"/>
        <v/>
      </c>
      <c r="DV176" s="30" t="str">
        <f t="shared" si="2035"/>
        <v/>
      </c>
      <c r="DW176" s="30" t="str">
        <f t="shared" si="2036"/>
        <v/>
      </c>
      <c r="DX176" s="30" t="str">
        <f t="shared" si="2037"/>
        <v/>
      </c>
      <c r="DY176" s="30" t="str">
        <f t="shared" si="2038"/>
        <v/>
      </c>
      <c r="DZ176" s="30" t="str">
        <f t="shared" si="2039"/>
        <v/>
      </c>
      <c r="EA176" s="30" t="str">
        <f t="shared" si="2040"/>
        <v/>
      </c>
      <c r="EB176" s="30" t="str">
        <f t="shared" si="2041"/>
        <v/>
      </c>
      <c r="EC176" s="30" t="str">
        <f t="shared" si="2042"/>
        <v/>
      </c>
      <c r="ED176" s="30" t="str">
        <f t="shared" si="2043"/>
        <v/>
      </c>
      <c r="EE176" s="30" t="str">
        <f t="shared" si="2044"/>
        <v/>
      </c>
      <c r="EF176" s="30" t="str">
        <f t="shared" si="2045"/>
        <v/>
      </c>
      <c r="EG176" s="30" t="str">
        <f t="shared" si="2046"/>
        <v/>
      </c>
      <c r="EH176" s="30" t="str">
        <f t="shared" si="2047"/>
        <v/>
      </c>
      <c r="EI176" s="30" t="str">
        <f t="shared" si="2048"/>
        <v/>
      </c>
      <c r="EJ176" s="30" t="str">
        <f t="shared" si="2049"/>
        <v/>
      </c>
      <c r="EK176" s="30" t="str">
        <f t="shared" si="2050"/>
        <v/>
      </c>
      <c r="EL176" s="30" t="str">
        <f t="shared" si="2051"/>
        <v/>
      </c>
      <c r="EM176" s="30" t="str">
        <f t="shared" si="2052"/>
        <v/>
      </c>
      <c r="EN176" s="30" t="str">
        <f t="shared" si="2053"/>
        <v/>
      </c>
      <c r="EO176" s="30" t="str">
        <f t="shared" si="2054"/>
        <v/>
      </c>
      <c r="EP176" s="30" t="str">
        <f t="shared" si="2055"/>
        <v/>
      </c>
      <c r="EQ176" s="30" t="str">
        <f t="shared" si="2056"/>
        <v/>
      </c>
      <c r="ER176" s="30" t="str">
        <f t="shared" si="2057"/>
        <v/>
      </c>
      <c r="ES176" s="30" t="str">
        <f t="shared" si="2058"/>
        <v/>
      </c>
      <c r="ET176" s="30" t="str">
        <f t="shared" si="2059"/>
        <v/>
      </c>
      <c r="EU176" s="30" t="str">
        <f t="shared" si="2060"/>
        <v/>
      </c>
      <c r="EV176" s="30" t="str">
        <f t="shared" si="2061"/>
        <v/>
      </c>
      <c r="EW176" s="30" t="str">
        <f t="shared" si="2062"/>
        <v/>
      </c>
      <c r="EX176" s="30" t="str">
        <f t="shared" si="2063"/>
        <v/>
      </c>
      <c r="EY176" s="30" t="str">
        <f t="shared" si="2064"/>
        <v/>
      </c>
      <c r="EZ176" s="30" t="str">
        <f t="shared" si="2065"/>
        <v/>
      </c>
      <c r="FA176" s="30" t="str">
        <f t="shared" si="2066"/>
        <v/>
      </c>
      <c r="FB176" s="30" t="str">
        <f t="shared" si="2067"/>
        <v/>
      </c>
      <c r="FC176" s="30" t="str">
        <f t="shared" si="2068"/>
        <v/>
      </c>
      <c r="FD176" s="30" t="str">
        <f t="shared" si="2069"/>
        <v/>
      </c>
      <c r="FE176" s="30" t="str">
        <f t="shared" si="2070"/>
        <v/>
      </c>
      <c r="FF176" s="30" t="str">
        <f t="shared" si="2071"/>
        <v/>
      </c>
      <c r="FG176" s="30" t="str">
        <f t="shared" si="2072"/>
        <v/>
      </c>
      <c r="FH176" s="30" t="str">
        <f t="shared" si="2073"/>
        <v/>
      </c>
      <c r="FI176" s="30" t="str">
        <f t="shared" si="2074"/>
        <v/>
      </c>
      <c r="FJ176" s="30" t="str">
        <f t="shared" si="2075"/>
        <v/>
      </c>
      <c r="FK176" s="30" t="str">
        <f t="shared" si="2076"/>
        <v/>
      </c>
      <c r="FL176" s="30" t="str">
        <f t="shared" si="2077"/>
        <v/>
      </c>
      <c r="FM176" s="30" t="str">
        <f t="shared" si="2078"/>
        <v/>
      </c>
      <c r="FN176" s="30" t="str">
        <f t="shared" si="2079"/>
        <v/>
      </c>
      <c r="FO176" s="30" t="str">
        <f t="shared" si="2080"/>
        <v/>
      </c>
      <c r="FP176" s="30" t="str">
        <f t="shared" si="2081"/>
        <v/>
      </c>
      <c r="FQ176" s="30" t="str">
        <f t="shared" si="2082"/>
        <v/>
      </c>
      <c r="FR176" s="30" t="str">
        <f t="shared" si="2083"/>
        <v/>
      </c>
      <c r="FS176" s="30" t="str">
        <f t="shared" si="2084"/>
        <v/>
      </c>
    </row>
    <row r="177" spans="1:175" s="24" customFormat="1" ht="16.5">
      <c r="A177" s="46"/>
      <c r="B177" s="36"/>
      <c r="C177" s="46"/>
      <c r="D177" s="31"/>
      <c r="E177" s="39"/>
      <c r="F177" s="41"/>
      <c r="G177" s="47"/>
      <c r="H177" s="47"/>
      <c r="I177" s="47"/>
      <c r="J177" s="47"/>
      <c r="K177" s="47"/>
      <c r="L177" s="47"/>
      <c r="M177" s="47"/>
      <c r="N177" s="47"/>
      <c r="O177" s="47"/>
      <c r="P177" s="42"/>
      <c r="Q177" s="42"/>
      <c r="R177" s="42"/>
      <c r="S177" s="42"/>
      <c r="T177" s="102"/>
      <c r="U177" s="32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43"/>
      <c r="CB177" s="43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4" t="str">
        <f>"InitUnitState('"&amp;B177&amp;"',"&amp;V177&amp;","&amp;W177&amp;","&amp;X177&amp;","&amp;Y177&amp;","&amp;Z177&amp;","&amp;AA177&amp;","&amp;AB177&amp;","&amp;AC177&amp;","&amp;AD177&amp;","&amp;AE177&amp;")"</f>
        <v>InitUnitState('',,,,,,,,,,)</v>
      </c>
      <c r="CO177" s="44" t="str">
        <f>"InitUnitNormal('"&amp;B177&amp;"',"&amp;AF177&amp;","&amp;AG177&amp;","&amp;AH177&amp;","&amp;AI177&amp;","&amp;AJ177&amp;","&amp;AK177&amp;","&amp;AL177&amp;","&amp;AM177&amp;","&amp;AN177&amp;","&amp;AO177&amp;")"</f>
        <v>InitUnitNormal('',,,,,,,,,,)</v>
      </c>
      <c r="CP177" s="44" t="str">
        <f>"InitUnitMagic('"&amp;B177&amp;"',"&amp;AP177&amp;","&amp;AQ177&amp;","&amp;AR177&amp;","&amp;AS177&amp;","&amp;AT177&amp;","&amp;AU177&amp;","&amp;AV177&amp;","&amp;AW177&amp;","&amp;BI177&amp;","&amp;BJ177&amp;")"</f>
        <v>InitUnitMagic('',,,,,,,,,,)</v>
      </c>
      <c r="CQ177" s="44" t="str">
        <f>"InitUnitAdd('"&amp;B177&amp;"',"&amp;BK177&amp;","&amp;BL177&amp;","&amp;BM177&amp;","&amp;BN177&amp;","&amp;BO177&amp;","&amp;BP177&amp;","&amp;BQ177&amp;","&amp;BR177&amp;","&amp;BS177&amp;","&amp;BT177&amp;")"</f>
        <v>InitUnitAdd('',,,,,,,,,,)</v>
      </c>
      <c r="CR177" s="44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179&amp;CR$1&amp;")"</f>
        <v>InitEquipData('',,"",,,,,'','','','','','',"")</v>
      </c>
      <c r="CS177" s="44"/>
      <c r="CT177" s="44"/>
      <c r="CU177" s="45" t="str">
        <f t="shared" si="2014"/>
        <v>|n</v>
      </c>
      <c r="CV177" s="29"/>
      <c r="DB177" s="30" t="str">
        <f t="shared" si="2015"/>
        <v/>
      </c>
      <c r="DC177" s="30" t="str">
        <f t="shared" si="2016"/>
        <v/>
      </c>
      <c r="DD177" s="30" t="str">
        <f t="shared" si="2017"/>
        <v/>
      </c>
      <c r="DE177" s="30" t="str">
        <f t="shared" si="2018"/>
        <v/>
      </c>
      <c r="DF177" s="30" t="str">
        <f t="shared" si="2019"/>
        <v/>
      </c>
      <c r="DG177" s="30" t="str">
        <f t="shared" si="2020"/>
        <v/>
      </c>
      <c r="DH177" s="30" t="str">
        <f t="shared" si="2021"/>
        <v/>
      </c>
      <c r="DI177" s="30" t="str">
        <f t="shared" si="2022"/>
        <v/>
      </c>
      <c r="DJ177" s="30" t="str">
        <f t="shared" si="2023"/>
        <v/>
      </c>
      <c r="DK177" s="30" t="str">
        <f t="shared" si="2024"/>
        <v/>
      </c>
      <c r="DL177" s="30" t="str">
        <f t="shared" si="2025"/>
        <v/>
      </c>
      <c r="DM177" s="30" t="str">
        <f t="shared" si="2026"/>
        <v/>
      </c>
      <c r="DN177" s="30" t="str">
        <f t="shared" si="2027"/>
        <v/>
      </c>
      <c r="DO177" s="30" t="str">
        <f t="shared" si="2028"/>
        <v/>
      </c>
      <c r="DP177" s="30" t="str">
        <f t="shared" si="2029"/>
        <v/>
      </c>
      <c r="DQ177" s="30" t="str">
        <f t="shared" si="2030"/>
        <v/>
      </c>
      <c r="DR177" s="30" t="str">
        <f t="shared" si="2031"/>
        <v/>
      </c>
      <c r="DS177" s="30" t="str">
        <f t="shared" si="2032"/>
        <v/>
      </c>
      <c r="DT177" s="30" t="str">
        <f t="shared" si="2033"/>
        <v/>
      </c>
      <c r="DU177" s="30" t="str">
        <f t="shared" si="2034"/>
        <v/>
      </c>
      <c r="DV177" s="30" t="str">
        <f t="shared" si="2035"/>
        <v/>
      </c>
      <c r="DW177" s="30" t="str">
        <f t="shared" si="2036"/>
        <v/>
      </c>
      <c r="DX177" s="30" t="str">
        <f t="shared" si="2037"/>
        <v/>
      </c>
      <c r="DY177" s="30" t="str">
        <f t="shared" si="2038"/>
        <v/>
      </c>
      <c r="DZ177" s="30" t="str">
        <f t="shared" si="2039"/>
        <v/>
      </c>
      <c r="EA177" s="30" t="str">
        <f t="shared" si="2040"/>
        <v/>
      </c>
      <c r="EB177" s="30" t="str">
        <f t="shared" si="2041"/>
        <v/>
      </c>
      <c r="EC177" s="30" t="str">
        <f t="shared" si="2042"/>
        <v/>
      </c>
      <c r="ED177" s="30" t="str">
        <f t="shared" si="2043"/>
        <v/>
      </c>
      <c r="EE177" s="30" t="str">
        <f t="shared" si="2044"/>
        <v/>
      </c>
      <c r="EF177" s="30" t="str">
        <f t="shared" si="2045"/>
        <v/>
      </c>
      <c r="EG177" s="30" t="str">
        <f t="shared" si="2046"/>
        <v/>
      </c>
      <c r="EH177" s="30" t="str">
        <f t="shared" si="2047"/>
        <v/>
      </c>
      <c r="EI177" s="30" t="str">
        <f t="shared" si="2048"/>
        <v/>
      </c>
      <c r="EJ177" s="30" t="str">
        <f t="shared" si="2049"/>
        <v/>
      </c>
      <c r="EK177" s="30" t="str">
        <f t="shared" si="2050"/>
        <v/>
      </c>
      <c r="EL177" s="30" t="str">
        <f t="shared" si="2051"/>
        <v/>
      </c>
      <c r="EM177" s="30" t="str">
        <f t="shared" si="2052"/>
        <v/>
      </c>
      <c r="EN177" s="30" t="str">
        <f t="shared" si="2053"/>
        <v/>
      </c>
      <c r="EO177" s="30" t="str">
        <f t="shared" si="2054"/>
        <v/>
      </c>
      <c r="EP177" s="30" t="str">
        <f t="shared" si="2055"/>
        <v/>
      </c>
      <c r="EQ177" s="30" t="str">
        <f t="shared" si="2056"/>
        <v/>
      </c>
      <c r="ER177" s="30" t="str">
        <f t="shared" si="2057"/>
        <v/>
      </c>
      <c r="ES177" s="30" t="str">
        <f t="shared" si="2058"/>
        <v/>
      </c>
      <c r="ET177" s="30" t="str">
        <f t="shared" si="2059"/>
        <v/>
      </c>
      <c r="EU177" s="30" t="str">
        <f t="shared" si="2060"/>
        <v/>
      </c>
      <c r="EV177" s="30" t="str">
        <f t="shared" si="2061"/>
        <v/>
      </c>
      <c r="EW177" s="30" t="str">
        <f t="shared" si="2062"/>
        <v/>
      </c>
      <c r="EX177" s="30" t="str">
        <f t="shared" si="2063"/>
        <v/>
      </c>
      <c r="EY177" s="30" t="str">
        <f t="shared" si="2064"/>
        <v/>
      </c>
      <c r="EZ177" s="30" t="str">
        <f t="shared" si="2065"/>
        <v/>
      </c>
      <c r="FA177" s="30" t="str">
        <f t="shared" si="2066"/>
        <v/>
      </c>
      <c r="FB177" s="30" t="str">
        <f t="shared" si="2067"/>
        <v/>
      </c>
      <c r="FC177" s="30" t="str">
        <f t="shared" si="2068"/>
        <v/>
      </c>
      <c r="FD177" s="30" t="str">
        <f t="shared" si="2069"/>
        <v/>
      </c>
      <c r="FE177" s="30" t="str">
        <f t="shared" si="2070"/>
        <v/>
      </c>
      <c r="FF177" s="30" t="str">
        <f t="shared" si="2071"/>
        <v/>
      </c>
      <c r="FG177" s="30" t="str">
        <f t="shared" si="2072"/>
        <v/>
      </c>
      <c r="FH177" s="30" t="str">
        <f t="shared" si="2073"/>
        <v/>
      </c>
      <c r="FI177" s="30" t="str">
        <f t="shared" si="2074"/>
        <v/>
      </c>
      <c r="FJ177" s="30" t="str">
        <f t="shared" si="2075"/>
        <v/>
      </c>
      <c r="FK177" s="30" t="str">
        <f t="shared" si="2076"/>
        <v/>
      </c>
      <c r="FL177" s="30" t="str">
        <f t="shared" si="2077"/>
        <v/>
      </c>
      <c r="FM177" s="30" t="str">
        <f t="shared" si="2078"/>
        <v/>
      </c>
      <c r="FN177" s="30" t="str">
        <f t="shared" si="2079"/>
        <v/>
      </c>
      <c r="FO177" s="30" t="str">
        <f t="shared" si="2080"/>
        <v/>
      </c>
      <c r="FP177" s="30" t="str">
        <f t="shared" si="2081"/>
        <v/>
      </c>
      <c r="FQ177" s="30" t="str">
        <f t="shared" si="2082"/>
        <v/>
      </c>
      <c r="FR177" s="30" t="str">
        <f t="shared" si="2083"/>
        <v/>
      </c>
      <c r="FS177" s="30" t="str">
        <f t="shared" si="2084"/>
        <v/>
      </c>
    </row>
    <row r="178" spans="1:175" s="24" customFormat="1" ht="16.5">
      <c r="A178" s="46"/>
      <c r="B178" s="36"/>
      <c r="C178" s="46"/>
      <c r="D178" s="31"/>
      <c r="E178" s="39"/>
      <c r="F178" s="41"/>
      <c r="G178" s="47"/>
      <c r="H178" s="47"/>
      <c r="I178" s="47"/>
      <c r="J178" s="47"/>
      <c r="K178" s="47"/>
      <c r="L178" s="47"/>
      <c r="M178" s="47"/>
      <c r="N178" s="47"/>
      <c r="O178" s="47"/>
      <c r="P178" s="42"/>
      <c r="Q178" s="42"/>
      <c r="R178" s="42"/>
      <c r="S178" s="42"/>
      <c r="T178" s="102"/>
      <c r="U178" s="32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43"/>
      <c r="CB178" s="43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4" t="str">
        <f>"InitUnitState('"&amp;B178&amp;"',"&amp;V178&amp;","&amp;W178&amp;","&amp;X178&amp;","&amp;Y178&amp;","&amp;Z178&amp;","&amp;AA178&amp;","&amp;AB178&amp;","&amp;AC178&amp;","&amp;AD178&amp;","&amp;AE178&amp;")"</f>
        <v>InitUnitState('',,,,,,,,,,)</v>
      </c>
      <c r="CO178" s="44" t="str">
        <f>"InitUnitNormal('"&amp;B178&amp;"',"&amp;AF178&amp;","&amp;AG178&amp;","&amp;AH178&amp;","&amp;AI178&amp;","&amp;AJ178&amp;","&amp;AK178&amp;","&amp;AL178&amp;","&amp;AM178&amp;","&amp;AN178&amp;","&amp;AO178&amp;")"</f>
        <v>InitUnitNormal('',,,,,,,,,,)</v>
      </c>
      <c r="CP178" s="44" t="str">
        <f>"InitUnitMagic('"&amp;B178&amp;"',"&amp;AP178&amp;","&amp;AQ178&amp;","&amp;AR178&amp;","&amp;AS178&amp;","&amp;AT178&amp;","&amp;AU178&amp;","&amp;AV178&amp;","&amp;AW178&amp;","&amp;BI178&amp;","&amp;BJ178&amp;")"</f>
        <v>InitUnitMagic('',,,,,,,,,,)</v>
      </c>
      <c r="CQ178" s="44" t="str">
        <f>"InitUnitAdd('"&amp;B178&amp;"',"&amp;BK178&amp;","&amp;BL178&amp;","&amp;BM178&amp;","&amp;BN178&amp;","&amp;BO178&amp;","&amp;BP178&amp;","&amp;BQ178&amp;","&amp;BR178&amp;","&amp;BS178&amp;","&amp;BT178&amp;")"</f>
        <v>InitUnitAdd('',,,,,,,,,,)</v>
      </c>
      <c r="CR178" s="44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180&amp;CR$1&amp;")"</f>
        <v>InitEquipData('',,"",,,,,'','','','','','',"")</v>
      </c>
      <c r="CS178" s="44"/>
      <c r="CT178" s="44"/>
      <c r="CU178" s="45" t="str">
        <f t="shared" si="2014"/>
        <v>|n</v>
      </c>
      <c r="CV178" s="29"/>
      <c r="DB178" s="30" t="str">
        <f t="shared" si="2015"/>
        <v/>
      </c>
      <c r="DC178" s="30" t="str">
        <f t="shared" si="2016"/>
        <v/>
      </c>
      <c r="DD178" s="30" t="str">
        <f t="shared" si="2017"/>
        <v/>
      </c>
      <c r="DE178" s="30" t="str">
        <f t="shared" si="2018"/>
        <v/>
      </c>
      <c r="DF178" s="30" t="str">
        <f t="shared" si="2019"/>
        <v/>
      </c>
      <c r="DG178" s="30" t="str">
        <f t="shared" si="2020"/>
        <v/>
      </c>
      <c r="DH178" s="30" t="str">
        <f t="shared" si="2021"/>
        <v/>
      </c>
      <c r="DI178" s="30" t="str">
        <f t="shared" si="2022"/>
        <v/>
      </c>
      <c r="DJ178" s="30" t="str">
        <f t="shared" si="2023"/>
        <v/>
      </c>
      <c r="DK178" s="30" t="str">
        <f t="shared" si="2024"/>
        <v/>
      </c>
      <c r="DL178" s="30" t="str">
        <f t="shared" si="2025"/>
        <v/>
      </c>
      <c r="DM178" s="30" t="str">
        <f t="shared" si="2026"/>
        <v/>
      </c>
      <c r="DN178" s="30" t="str">
        <f t="shared" si="2027"/>
        <v/>
      </c>
      <c r="DO178" s="30" t="str">
        <f t="shared" si="2028"/>
        <v/>
      </c>
      <c r="DP178" s="30" t="str">
        <f t="shared" si="2029"/>
        <v/>
      </c>
      <c r="DQ178" s="30" t="str">
        <f t="shared" si="2030"/>
        <v/>
      </c>
      <c r="DR178" s="30" t="str">
        <f t="shared" si="2031"/>
        <v/>
      </c>
      <c r="DS178" s="30" t="str">
        <f t="shared" si="2032"/>
        <v/>
      </c>
      <c r="DT178" s="30" t="str">
        <f t="shared" si="2033"/>
        <v/>
      </c>
      <c r="DU178" s="30" t="str">
        <f t="shared" si="2034"/>
        <v/>
      </c>
      <c r="DV178" s="30" t="str">
        <f t="shared" si="2035"/>
        <v/>
      </c>
      <c r="DW178" s="30" t="str">
        <f t="shared" si="2036"/>
        <v/>
      </c>
      <c r="DX178" s="30" t="str">
        <f t="shared" si="2037"/>
        <v/>
      </c>
      <c r="DY178" s="30" t="str">
        <f t="shared" si="2038"/>
        <v/>
      </c>
      <c r="DZ178" s="30" t="str">
        <f t="shared" si="2039"/>
        <v/>
      </c>
      <c r="EA178" s="30" t="str">
        <f t="shared" si="2040"/>
        <v/>
      </c>
      <c r="EB178" s="30" t="str">
        <f t="shared" si="2041"/>
        <v/>
      </c>
      <c r="EC178" s="30" t="str">
        <f t="shared" si="2042"/>
        <v/>
      </c>
      <c r="ED178" s="30" t="str">
        <f t="shared" si="2043"/>
        <v/>
      </c>
      <c r="EE178" s="30" t="str">
        <f t="shared" si="2044"/>
        <v/>
      </c>
      <c r="EF178" s="30" t="str">
        <f t="shared" si="2045"/>
        <v/>
      </c>
      <c r="EG178" s="30" t="str">
        <f t="shared" si="2046"/>
        <v/>
      </c>
      <c r="EH178" s="30" t="str">
        <f t="shared" si="2047"/>
        <v/>
      </c>
      <c r="EI178" s="30" t="str">
        <f t="shared" si="2048"/>
        <v/>
      </c>
      <c r="EJ178" s="30" t="str">
        <f t="shared" si="2049"/>
        <v/>
      </c>
      <c r="EK178" s="30" t="str">
        <f t="shared" si="2050"/>
        <v/>
      </c>
      <c r="EL178" s="30" t="str">
        <f t="shared" si="2051"/>
        <v/>
      </c>
      <c r="EM178" s="30" t="str">
        <f t="shared" si="2052"/>
        <v/>
      </c>
      <c r="EN178" s="30" t="str">
        <f t="shared" si="2053"/>
        <v/>
      </c>
      <c r="EO178" s="30" t="str">
        <f t="shared" si="2054"/>
        <v/>
      </c>
      <c r="EP178" s="30" t="str">
        <f t="shared" si="2055"/>
        <v/>
      </c>
      <c r="EQ178" s="30" t="str">
        <f t="shared" si="2056"/>
        <v/>
      </c>
      <c r="ER178" s="30" t="str">
        <f t="shared" si="2057"/>
        <v/>
      </c>
      <c r="ES178" s="30" t="str">
        <f t="shared" si="2058"/>
        <v/>
      </c>
      <c r="ET178" s="30" t="str">
        <f t="shared" si="2059"/>
        <v/>
      </c>
      <c r="EU178" s="30" t="str">
        <f t="shared" si="2060"/>
        <v/>
      </c>
      <c r="EV178" s="30" t="str">
        <f t="shared" si="2061"/>
        <v/>
      </c>
      <c r="EW178" s="30" t="str">
        <f t="shared" si="2062"/>
        <v/>
      </c>
      <c r="EX178" s="30" t="str">
        <f t="shared" si="2063"/>
        <v/>
      </c>
      <c r="EY178" s="30" t="str">
        <f t="shared" si="2064"/>
        <v/>
      </c>
      <c r="EZ178" s="30" t="str">
        <f t="shared" si="2065"/>
        <v/>
      </c>
      <c r="FA178" s="30" t="str">
        <f t="shared" si="2066"/>
        <v/>
      </c>
      <c r="FB178" s="30" t="str">
        <f t="shared" si="2067"/>
        <v/>
      </c>
      <c r="FC178" s="30" t="str">
        <f t="shared" si="2068"/>
        <v/>
      </c>
      <c r="FD178" s="30" t="str">
        <f t="shared" si="2069"/>
        <v/>
      </c>
      <c r="FE178" s="30" t="str">
        <f t="shared" si="2070"/>
        <v/>
      </c>
      <c r="FF178" s="30" t="str">
        <f t="shared" si="2071"/>
        <v/>
      </c>
      <c r="FG178" s="30" t="str">
        <f t="shared" si="2072"/>
        <v/>
      </c>
      <c r="FH178" s="30" t="str">
        <f t="shared" si="2073"/>
        <v/>
      </c>
      <c r="FI178" s="30" t="str">
        <f t="shared" si="2074"/>
        <v/>
      </c>
      <c r="FJ178" s="30" t="str">
        <f t="shared" si="2075"/>
        <v/>
      </c>
      <c r="FK178" s="30" t="str">
        <f t="shared" si="2076"/>
        <v/>
      </c>
      <c r="FL178" s="30" t="str">
        <f t="shared" si="2077"/>
        <v/>
      </c>
      <c r="FM178" s="30" t="str">
        <f t="shared" si="2078"/>
        <v/>
      </c>
      <c r="FN178" s="30" t="str">
        <f t="shared" si="2079"/>
        <v/>
      </c>
      <c r="FO178" s="30" t="str">
        <f t="shared" si="2080"/>
        <v/>
      </c>
      <c r="FP178" s="30" t="str">
        <f t="shared" si="2081"/>
        <v/>
      </c>
      <c r="FQ178" s="30" t="str">
        <f t="shared" si="2082"/>
        <v/>
      </c>
      <c r="FR178" s="30" t="str">
        <f t="shared" si="2083"/>
        <v/>
      </c>
      <c r="FS178" s="30" t="str">
        <f t="shared" si="2084"/>
        <v/>
      </c>
    </row>
    <row r="179" spans="1:175" ht="16.5">
      <c r="A179" s="5"/>
      <c r="B179" s="6"/>
      <c r="C179" s="5"/>
      <c r="E179" s="35"/>
      <c r="T179" s="105"/>
      <c r="U179" s="32"/>
      <c r="CU179" s="45" t="str">
        <f t="shared" si="2014"/>
        <v>|n</v>
      </c>
      <c r="CW179" s="24"/>
      <c r="CX179" s="24"/>
      <c r="CY179" s="24"/>
      <c r="CZ179" s="24"/>
      <c r="DA179" s="24"/>
      <c r="DB179" s="30" t="str">
        <f t="shared" si="2015"/>
        <v/>
      </c>
      <c r="DC179" s="30" t="str">
        <f t="shared" si="2016"/>
        <v/>
      </c>
      <c r="DD179" s="30" t="str">
        <f t="shared" si="2017"/>
        <v/>
      </c>
      <c r="DE179" s="30" t="str">
        <f t="shared" si="2018"/>
        <v/>
      </c>
      <c r="DF179" s="30" t="str">
        <f t="shared" si="2019"/>
        <v/>
      </c>
      <c r="DG179" s="30" t="str">
        <f t="shared" si="2020"/>
        <v/>
      </c>
      <c r="DH179" s="30" t="str">
        <f t="shared" si="2021"/>
        <v/>
      </c>
      <c r="DI179" s="30" t="str">
        <f t="shared" si="2022"/>
        <v/>
      </c>
      <c r="DJ179" s="30" t="str">
        <f t="shared" si="2023"/>
        <v/>
      </c>
      <c r="DK179" s="30" t="str">
        <f t="shared" si="2024"/>
        <v/>
      </c>
      <c r="DL179" s="30" t="str">
        <f t="shared" si="2025"/>
        <v/>
      </c>
      <c r="DM179" s="30" t="str">
        <f t="shared" si="2026"/>
        <v/>
      </c>
      <c r="DN179" s="30" t="str">
        <f t="shared" si="2027"/>
        <v/>
      </c>
      <c r="DO179" s="30" t="str">
        <f t="shared" si="2028"/>
        <v/>
      </c>
      <c r="DP179" s="30" t="str">
        <f t="shared" si="2029"/>
        <v/>
      </c>
      <c r="DQ179" s="30" t="str">
        <f t="shared" si="2030"/>
        <v/>
      </c>
      <c r="DR179" s="30" t="str">
        <f t="shared" si="2031"/>
        <v/>
      </c>
      <c r="DS179" s="30" t="str">
        <f t="shared" si="2032"/>
        <v/>
      </c>
      <c r="DT179" s="30" t="str">
        <f t="shared" si="2033"/>
        <v/>
      </c>
      <c r="DU179" s="30" t="str">
        <f t="shared" si="2034"/>
        <v/>
      </c>
      <c r="DV179" s="30" t="str">
        <f t="shared" si="2035"/>
        <v/>
      </c>
      <c r="DW179" s="30" t="str">
        <f t="shared" si="2036"/>
        <v/>
      </c>
      <c r="DX179" s="30" t="str">
        <f t="shared" si="2037"/>
        <v/>
      </c>
      <c r="DY179" s="30" t="str">
        <f t="shared" si="2038"/>
        <v/>
      </c>
      <c r="DZ179" s="30" t="str">
        <f t="shared" si="2039"/>
        <v/>
      </c>
      <c r="EA179" s="30" t="str">
        <f t="shared" si="2040"/>
        <v/>
      </c>
      <c r="EB179" s="30" t="str">
        <f t="shared" si="2041"/>
        <v/>
      </c>
      <c r="EC179" s="30" t="str">
        <f t="shared" si="2042"/>
        <v/>
      </c>
      <c r="ED179" s="30" t="str">
        <f t="shared" si="2043"/>
        <v/>
      </c>
      <c r="EE179" s="30" t="str">
        <f t="shared" si="2044"/>
        <v/>
      </c>
      <c r="EF179" s="30" t="str">
        <f t="shared" si="2045"/>
        <v/>
      </c>
      <c r="EG179" s="30" t="str">
        <f t="shared" si="2046"/>
        <v/>
      </c>
      <c r="EH179" s="30" t="str">
        <f t="shared" si="2047"/>
        <v/>
      </c>
      <c r="EI179" s="30" t="str">
        <f t="shared" si="2048"/>
        <v/>
      </c>
      <c r="EJ179" s="30" t="str">
        <f t="shared" si="2049"/>
        <v/>
      </c>
      <c r="EK179" s="30" t="str">
        <f t="shared" si="2050"/>
        <v/>
      </c>
      <c r="EL179" s="30" t="str">
        <f t="shared" si="2051"/>
        <v/>
      </c>
      <c r="EM179" s="30" t="str">
        <f t="shared" si="2052"/>
        <v/>
      </c>
      <c r="EN179" s="30" t="str">
        <f t="shared" si="2053"/>
        <v/>
      </c>
      <c r="EO179" s="30" t="str">
        <f t="shared" si="2054"/>
        <v/>
      </c>
      <c r="EP179" s="30" t="str">
        <f t="shared" si="2055"/>
        <v/>
      </c>
      <c r="EQ179" s="30" t="str">
        <f t="shared" si="2056"/>
        <v/>
      </c>
      <c r="ER179" s="30" t="str">
        <f t="shared" si="2057"/>
        <v/>
      </c>
      <c r="ES179" s="30" t="str">
        <f t="shared" si="2058"/>
        <v/>
      </c>
      <c r="ET179" s="30" t="str">
        <f t="shared" si="2059"/>
        <v/>
      </c>
      <c r="EU179" s="30" t="str">
        <f t="shared" si="2060"/>
        <v/>
      </c>
      <c r="EV179" s="30" t="str">
        <f t="shared" si="2061"/>
        <v/>
      </c>
      <c r="EW179" s="30" t="str">
        <f t="shared" si="2062"/>
        <v/>
      </c>
      <c r="EX179" s="30" t="str">
        <f t="shared" si="2063"/>
        <v/>
      </c>
      <c r="EY179" s="30" t="str">
        <f t="shared" si="2064"/>
        <v/>
      </c>
      <c r="EZ179" s="30" t="str">
        <f t="shared" si="2065"/>
        <v/>
      </c>
      <c r="FA179" s="30" t="str">
        <f t="shared" si="2066"/>
        <v/>
      </c>
      <c r="FB179" s="30" t="str">
        <f t="shared" si="2067"/>
        <v/>
      </c>
      <c r="FC179" s="30" t="str">
        <f t="shared" si="2068"/>
        <v/>
      </c>
      <c r="FD179" s="30" t="str">
        <f t="shared" si="2069"/>
        <v/>
      </c>
      <c r="FE179" s="30" t="str">
        <f t="shared" si="2070"/>
        <v/>
      </c>
      <c r="FF179" s="30" t="str">
        <f t="shared" si="2071"/>
        <v/>
      </c>
      <c r="FG179" s="30" t="str">
        <f t="shared" si="2072"/>
        <v/>
      </c>
      <c r="FH179" s="30" t="str">
        <f t="shared" si="2073"/>
        <v/>
      </c>
      <c r="FI179" s="30" t="str">
        <f t="shared" si="2074"/>
        <v/>
      </c>
      <c r="FJ179" s="30" t="str">
        <f t="shared" si="2075"/>
        <v/>
      </c>
      <c r="FK179" s="30" t="str">
        <f t="shared" si="2076"/>
        <v/>
      </c>
      <c r="FL179" s="30" t="str">
        <f t="shared" si="2077"/>
        <v/>
      </c>
      <c r="FM179" s="30" t="str">
        <f t="shared" si="2078"/>
        <v/>
      </c>
      <c r="FN179" s="30" t="str">
        <f t="shared" si="2079"/>
        <v/>
      </c>
      <c r="FO179" s="30" t="str">
        <f t="shared" si="2080"/>
        <v/>
      </c>
      <c r="FP179" s="30" t="str">
        <f t="shared" si="2081"/>
        <v/>
      </c>
      <c r="FQ179" s="30" t="str">
        <f t="shared" si="2082"/>
        <v/>
      </c>
      <c r="FR179" s="30" t="str">
        <f t="shared" si="2083"/>
        <v/>
      </c>
      <c r="FS179" s="30" t="str">
        <f t="shared" si="2084"/>
        <v/>
      </c>
    </row>
    <row r="180" spans="1:175" ht="16.5">
      <c r="A180" s="5"/>
      <c r="B180" s="6"/>
      <c r="C180" s="5"/>
      <c r="E180" s="35"/>
      <c r="T180" s="105"/>
      <c r="U180" s="32"/>
      <c r="CU180" s="45" t="str">
        <f t="shared" si="2014"/>
        <v>|n</v>
      </c>
      <c r="CW180" s="24"/>
      <c r="CX180" s="24"/>
      <c r="CY180" s="24"/>
      <c r="CZ180" s="24"/>
      <c r="DA180" s="24"/>
      <c r="DB180" s="30" t="str">
        <f t="shared" si="2015"/>
        <v/>
      </c>
      <c r="DC180" s="30" t="str">
        <f t="shared" si="2016"/>
        <v/>
      </c>
      <c r="DD180" s="30" t="str">
        <f t="shared" si="2017"/>
        <v/>
      </c>
      <c r="DE180" s="30" t="str">
        <f t="shared" si="2018"/>
        <v/>
      </c>
      <c r="DF180" s="30" t="str">
        <f t="shared" si="2019"/>
        <v/>
      </c>
      <c r="DG180" s="30" t="str">
        <f t="shared" si="2020"/>
        <v/>
      </c>
      <c r="DH180" s="30" t="str">
        <f t="shared" si="2021"/>
        <v/>
      </c>
      <c r="DI180" s="30" t="str">
        <f t="shared" si="2022"/>
        <v/>
      </c>
      <c r="DJ180" s="30" t="str">
        <f t="shared" si="2023"/>
        <v/>
      </c>
      <c r="DK180" s="30" t="str">
        <f t="shared" si="2024"/>
        <v/>
      </c>
      <c r="DL180" s="30" t="str">
        <f t="shared" si="2025"/>
        <v/>
      </c>
      <c r="DM180" s="30" t="str">
        <f t="shared" si="2026"/>
        <v/>
      </c>
      <c r="DN180" s="30" t="str">
        <f t="shared" si="2027"/>
        <v/>
      </c>
      <c r="DO180" s="30" t="str">
        <f t="shared" si="2028"/>
        <v/>
      </c>
      <c r="DP180" s="30" t="str">
        <f t="shared" si="2029"/>
        <v/>
      </c>
      <c r="DQ180" s="30" t="str">
        <f t="shared" si="2030"/>
        <v/>
      </c>
      <c r="DR180" s="30" t="str">
        <f t="shared" si="2031"/>
        <v/>
      </c>
      <c r="DS180" s="30" t="str">
        <f t="shared" si="2032"/>
        <v/>
      </c>
      <c r="DT180" s="30" t="str">
        <f t="shared" si="2033"/>
        <v/>
      </c>
      <c r="DU180" s="30" t="str">
        <f t="shared" si="2034"/>
        <v/>
      </c>
      <c r="DV180" s="30" t="str">
        <f t="shared" si="2035"/>
        <v/>
      </c>
      <c r="DW180" s="30" t="str">
        <f t="shared" si="2036"/>
        <v/>
      </c>
      <c r="DX180" s="30" t="str">
        <f t="shared" si="2037"/>
        <v/>
      </c>
      <c r="DY180" s="30" t="str">
        <f t="shared" si="2038"/>
        <v/>
      </c>
      <c r="DZ180" s="30" t="str">
        <f t="shared" si="2039"/>
        <v/>
      </c>
      <c r="EA180" s="30" t="str">
        <f t="shared" si="2040"/>
        <v/>
      </c>
      <c r="EB180" s="30" t="str">
        <f t="shared" si="2041"/>
        <v/>
      </c>
      <c r="EC180" s="30" t="str">
        <f t="shared" si="2042"/>
        <v/>
      </c>
      <c r="ED180" s="30" t="str">
        <f t="shared" si="2043"/>
        <v/>
      </c>
      <c r="EE180" s="30" t="str">
        <f t="shared" si="2044"/>
        <v/>
      </c>
      <c r="EF180" s="30" t="str">
        <f t="shared" si="2045"/>
        <v/>
      </c>
      <c r="EG180" s="30" t="str">
        <f t="shared" si="2046"/>
        <v/>
      </c>
      <c r="EH180" s="30" t="str">
        <f t="shared" si="2047"/>
        <v/>
      </c>
      <c r="EI180" s="30" t="str">
        <f t="shared" si="2048"/>
        <v/>
      </c>
      <c r="EJ180" s="30" t="str">
        <f t="shared" si="2049"/>
        <v/>
      </c>
      <c r="EK180" s="30" t="str">
        <f t="shared" si="2050"/>
        <v/>
      </c>
      <c r="EL180" s="30" t="str">
        <f t="shared" si="2051"/>
        <v/>
      </c>
      <c r="EM180" s="30" t="str">
        <f t="shared" si="2052"/>
        <v/>
      </c>
      <c r="EN180" s="30" t="str">
        <f t="shared" si="2053"/>
        <v/>
      </c>
      <c r="EO180" s="30" t="str">
        <f t="shared" si="2054"/>
        <v/>
      </c>
      <c r="EP180" s="30" t="str">
        <f t="shared" si="2055"/>
        <v/>
      </c>
      <c r="EQ180" s="30" t="str">
        <f t="shared" si="2056"/>
        <v/>
      </c>
      <c r="ER180" s="30" t="str">
        <f t="shared" si="2057"/>
        <v/>
      </c>
      <c r="ES180" s="30" t="str">
        <f t="shared" si="2058"/>
        <v/>
      </c>
      <c r="ET180" s="30" t="str">
        <f t="shared" si="2059"/>
        <v/>
      </c>
      <c r="EU180" s="30" t="str">
        <f t="shared" si="2060"/>
        <v/>
      </c>
      <c r="EV180" s="30" t="str">
        <f t="shared" si="2061"/>
        <v/>
      </c>
      <c r="EW180" s="30" t="str">
        <f t="shared" si="2062"/>
        <v/>
      </c>
      <c r="EX180" s="30" t="str">
        <f t="shared" si="2063"/>
        <v/>
      </c>
      <c r="EY180" s="30" t="str">
        <f t="shared" si="2064"/>
        <v/>
      </c>
      <c r="EZ180" s="30" t="str">
        <f t="shared" si="2065"/>
        <v/>
      </c>
      <c r="FA180" s="30" t="str">
        <f t="shared" si="2066"/>
        <v/>
      </c>
      <c r="FB180" s="30" t="str">
        <f t="shared" si="2067"/>
        <v/>
      </c>
      <c r="FC180" s="30" t="str">
        <f t="shared" si="2068"/>
        <v/>
      </c>
      <c r="FD180" s="30" t="str">
        <f t="shared" si="2069"/>
        <v/>
      </c>
      <c r="FE180" s="30" t="str">
        <f t="shared" si="2070"/>
        <v/>
      </c>
      <c r="FF180" s="30" t="str">
        <f t="shared" si="2071"/>
        <v/>
      </c>
      <c r="FG180" s="30" t="str">
        <f t="shared" si="2072"/>
        <v/>
      </c>
      <c r="FH180" s="30" t="str">
        <f t="shared" si="2073"/>
        <v/>
      </c>
      <c r="FI180" s="30" t="str">
        <f t="shared" si="2074"/>
        <v/>
      </c>
      <c r="FJ180" s="30" t="str">
        <f t="shared" si="2075"/>
        <v/>
      </c>
      <c r="FK180" s="30" t="str">
        <f t="shared" si="2076"/>
        <v/>
      </c>
      <c r="FL180" s="30" t="str">
        <f t="shared" si="2077"/>
        <v/>
      </c>
      <c r="FM180" s="30" t="str">
        <f t="shared" si="2078"/>
        <v/>
      </c>
      <c r="FN180" s="30" t="str">
        <f t="shared" si="2079"/>
        <v/>
      </c>
      <c r="FO180" s="30" t="str">
        <f t="shared" si="2080"/>
        <v/>
      </c>
      <c r="FP180" s="30" t="str">
        <f t="shared" si="2081"/>
        <v/>
      </c>
      <c r="FQ180" s="30" t="str">
        <f t="shared" si="2082"/>
        <v/>
      </c>
      <c r="FR180" s="30" t="str">
        <f t="shared" si="2083"/>
        <v/>
      </c>
      <c r="FS180" s="30" t="str">
        <f t="shared" si="2084"/>
        <v/>
      </c>
    </row>
    <row r="181" spans="1:175" ht="16.5">
      <c r="A181" s="5"/>
      <c r="B181" s="6"/>
      <c r="C181" s="5"/>
      <c r="E181" s="35"/>
      <c r="T181" s="105"/>
      <c r="U181" s="32"/>
      <c r="CU181" s="45" t="str">
        <f t="shared" si="2014"/>
        <v>|n</v>
      </c>
      <c r="CW181" s="24"/>
      <c r="CX181" s="24"/>
      <c r="CY181" s="24"/>
      <c r="CZ181" s="24"/>
      <c r="DA181" s="24"/>
      <c r="DB181" s="30" t="str">
        <f t="shared" si="2015"/>
        <v/>
      </c>
      <c r="DC181" s="30" t="str">
        <f t="shared" si="2016"/>
        <v/>
      </c>
      <c r="DD181" s="30" t="str">
        <f t="shared" si="2017"/>
        <v/>
      </c>
      <c r="DE181" s="30" t="str">
        <f t="shared" si="2018"/>
        <v/>
      </c>
      <c r="DF181" s="30" t="str">
        <f t="shared" si="2019"/>
        <v/>
      </c>
      <c r="DG181" s="30" t="str">
        <f t="shared" si="2020"/>
        <v/>
      </c>
      <c r="DH181" s="30" t="str">
        <f t="shared" si="2021"/>
        <v/>
      </c>
      <c r="DI181" s="30" t="str">
        <f t="shared" si="2022"/>
        <v/>
      </c>
      <c r="DJ181" s="30" t="str">
        <f t="shared" si="2023"/>
        <v/>
      </c>
      <c r="DK181" s="30" t="str">
        <f t="shared" si="2024"/>
        <v/>
      </c>
      <c r="DL181" s="30" t="str">
        <f t="shared" si="2025"/>
        <v/>
      </c>
      <c r="DM181" s="30" t="str">
        <f t="shared" si="2026"/>
        <v/>
      </c>
      <c r="DN181" s="30" t="str">
        <f t="shared" si="2027"/>
        <v/>
      </c>
      <c r="DO181" s="30" t="str">
        <f t="shared" si="2028"/>
        <v/>
      </c>
      <c r="DP181" s="30" t="str">
        <f t="shared" si="2029"/>
        <v/>
      </c>
      <c r="DQ181" s="30" t="str">
        <f t="shared" si="2030"/>
        <v/>
      </c>
      <c r="DR181" s="30" t="str">
        <f t="shared" si="2031"/>
        <v/>
      </c>
      <c r="DS181" s="30" t="str">
        <f t="shared" si="2032"/>
        <v/>
      </c>
      <c r="DT181" s="30" t="str">
        <f t="shared" si="2033"/>
        <v/>
      </c>
      <c r="DU181" s="30" t="str">
        <f t="shared" si="2034"/>
        <v/>
      </c>
      <c r="DV181" s="30" t="str">
        <f t="shared" si="2035"/>
        <v/>
      </c>
      <c r="DW181" s="30" t="str">
        <f t="shared" si="2036"/>
        <v/>
      </c>
      <c r="DX181" s="30" t="str">
        <f t="shared" si="2037"/>
        <v/>
      </c>
      <c r="DY181" s="30" t="str">
        <f t="shared" si="2038"/>
        <v/>
      </c>
      <c r="DZ181" s="30" t="str">
        <f t="shared" si="2039"/>
        <v/>
      </c>
      <c r="EA181" s="30" t="str">
        <f t="shared" si="2040"/>
        <v/>
      </c>
      <c r="EB181" s="30" t="str">
        <f t="shared" si="2041"/>
        <v/>
      </c>
      <c r="EC181" s="30" t="str">
        <f t="shared" si="2042"/>
        <v/>
      </c>
      <c r="ED181" s="30" t="str">
        <f t="shared" si="2043"/>
        <v/>
      </c>
      <c r="EE181" s="30" t="str">
        <f t="shared" si="2044"/>
        <v/>
      </c>
      <c r="EF181" s="30" t="str">
        <f t="shared" si="2045"/>
        <v/>
      </c>
      <c r="EG181" s="30" t="str">
        <f t="shared" si="2046"/>
        <v/>
      </c>
      <c r="EH181" s="30" t="str">
        <f t="shared" si="2047"/>
        <v/>
      </c>
      <c r="EI181" s="30" t="str">
        <f t="shared" si="2048"/>
        <v/>
      </c>
      <c r="EJ181" s="30" t="str">
        <f t="shared" si="2049"/>
        <v/>
      </c>
      <c r="EK181" s="30" t="str">
        <f t="shared" si="2050"/>
        <v/>
      </c>
      <c r="EL181" s="30" t="str">
        <f t="shared" si="2051"/>
        <v/>
      </c>
      <c r="EM181" s="30" t="str">
        <f t="shared" si="2052"/>
        <v/>
      </c>
      <c r="EN181" s="30" t="str">
        <f t="shared" si="2053"/>
        <v/>
      </c>
      <c r="EO181" s="30" t="str">
        <f t="shared" si="2054"/>
        <v/>
      </c>
      <c r="EP181" s="30" t="str">
        <f t="shared" si="2055"/>
        <v/>
      </c>
      <c r="EQ181" s="30" t="str">
        <f t="shared" si="2056"/>
        <v/>
      </c>
      <c r="ER181" s="30" t="str">
        <f t="shared" si="2057"/>
        <v/>
      </c>
      <c r="ES181" s="30" t="str">
        <f t="shared" si="2058"/>
        <v/>
      </c>
      <c r="ET181" s="30" t="str">
        <f t="shared" si="2059"/>
        <v/>
      </c>
      <c r="EU181" s="30" t="str">
        <f t="shared" si="2060"/>
        <v/>
      </c>
      <c r="EV181" s="30" t="str">
        <f t="shared" si="2061"/>
        <v/>
      </c>
      <c r="EW181" s="30" t="str">
        <f t="shared" si="2062"/>
        <v/>
      </c>
      <c r="EX181" s="30" t="str">
        <f t="shared" si="2063"/>
        <v/>
      </c>
      <c r="EY181" s="30" t="str">
        <f t="shared" si="2064"/>
        <v/>
      </c>
      <c r="EZ181" s="30" t="str">
        <f t="shared" si="2065"/>
        <v/>
      </c>
      <c r="FA181" s="30" t="str">
        <f t="shared" si="2066"/>
        <v/>
      </c>
      <c r="FB181" s="30" t="str">
        <f t="shared" si="2067"/>
        <v/>
      </c>
      <c r="FC181" s="30" t="str">
        <f t="shared" si="2068"/>
        <v/>
      </c>
      <c r="FD181" s="30" t="str">
        <f t="shared" si="2069"/>
        <v/>
      </c>
      <c r="FE181" s="30" t="str">
        <f t="shared" si="2070"/>
        <v/>
      </c>
      <c r="FF181" s="30" t="str">
        <f t="shared" si="2071"/>
        <v/>
      </c>
      <c r="FG181" s="30" t="str">
        <f t="shared" si="2072"/>
        <v/>
      </c>
      <c r="FH181" s="30" t="str">
        <f t="shared" si="2073"/>
        <v/>
      </c>
      <c r="FI181" s="30" t="str">
        <f t="shared" si="2074"/>
        <v/>
      </c>
      <c r="FJ181" s="30" t="str">
        <f t="shared" si="2075"/>
        <v/>
      </c>
      <c r="FK181" s="30" t="str">
        <f t="shared" si="2076"/>
        <v/>
      </c>
      <c r="FL181" s="30" t="str">
        <f t="shared" si="2077"/>
        <v/>
      </c>
      <c r="FM181" s="30" t="str">
        <f t="shared" si="2078"/>
        <v/>
      </c>
      <c r="FN181" s="30" t="str">
        <f t="shared" si="2079"/>
        <v/>
      </c>
      <c r="FO181" s="30" t="str">
        <f t="shared" si="2080"/>
        <v/>
      </c>
      <c r="FP181" s="30" t="str">
        <f t="shared" si="2081"/>
        <v/>
      </c>
      <c r="FQ181" s="30" t="str">
        <f t="shared" si="2082"/>
        <v/>
      </c>
      <c r="FR181" s="30" t="str">
        <f t="shared" si="2083"/>
        <v/>
      </c>
      <c r="FS181" s="30" t="str">
        <f t="shared" si="2084"/>
        <v/>
      </c>
    </row>
    <row r="182" spans="1:175" ht="16.5">
      <c r="A182" s="5"/>
      <c r="B182" s="6"/>
      <c r="C182" s="5"/>
      <c r="E182" s="35"/>
      <c r="T182" s="105"/>
      <c r="U182" s="32"/>
      <c r="CU182" s="45" t="str">
        <f t="shared" si="2014"/>
        <v>|n</v>
      </c>
      <c r="CW182" s="24"/>
      <c r="CX182" s="24"/>
      <c r="CY182" s="24"/>
      <c r="CZ182" s="24"/>
      <c r="DA182" s="24"/>
      <c r="DB182" s="30" t="str">
        <f t="shared" si="2015"/>
        <v/>
      </c>
      <c r="DC182" s="30" t="str">
        <f t="shared" si="2016"/>
        <v/>
      </c>
      <c r="DD182" s="30" t="str">
        <f t="shared" si="2017"/>
        <v/>
      </c>
      <c r="DE182" s="30" t="str">
        <f t="shared" si="2018"/>
        <v/>
      </c>
      <c r="DF182" s="30" t="str">
        <f t="shared" si="2019"/>
        <v/>
      </c>
      <c r="DG182" s="30" t="str">
        <f t="shared" si="2020"/>
        <v/>
      </c>
      <c r="DH182" s="30" t="str">
        <f t="shared" si="2021"/>
        <v/>
      </c>
      <c r="DI182" s="30" t="str">
        <f t="shared" si="2022"/>
        <v/>
      </c>
      <c r="DJ182" s="30" t="str">
        <f t="shared" si="2023"/>
        <v/>
      </c>
      <c r="DK182" s="30" t="str">
        <f t="shared" si="2024"/>
        <v/>
      </c>
      <c r="DL182" s="30" t="str">
        <f t="shared" si="2025"/>
        <v/>
      </c>
      <c r="DM182" s="30" t="str">
        <f t="shared" si="2026"/>
        <v/>
      </c>
      <c r="DN182" s="30" t="str">
        <f t="shared" si="2027"/>
        <v/>
      </c>
      <c r="DO182" s="30" t="str">
        <f t="shared" si="2028"/>
        <v/>
      </c>
      <c r="DP182" s="30" t="str">
        <f t="shared" si="2029"/>
        <v/>
      </c>
      <c r="DQ182" s="30" t="str">
        <f t="shared" si="2030"/>
        <v/>
      </c>
      <c r="DR182" s="30" t="str">
        <f t="shared" si="2031"/>
        <v/>
      </c>
      <c r="DS182" s="30" t="str">
        <f t="shared" si="2032"/>
        <v/>
      </c>
      <c r="DT182" s="30" t="str">
        <f t="shared" si="2033"/>
        <v/>
      </c>
      <c r="DU182" s="30" t="str">
        <f t="shared" si="2034"/>
        <v/>
      </c>
      <c r="DV182" s="30" t="str">
        <f t="shared" si="2035"/>
        <v/>
      </c>
      <c r="DW182" s="30" t="str">
        <f t="shared" si="2036"/>
        <v/>
      </c>
      <c r="DX182" s="30" t="str">
        <f t="shared" si="2037"/>
        <v/>
      </c>
      <c r="DY182" s="30" t="str">
        <f t="shared" si="2038"/>
        <v/>
      </c>
      <c r="DZ182" s="30" t="str">
        <f t="shared" si="2039"/>
        <v/>
      </c>
      <c r="EA182" s="30" t="str">
        <f t="shared" si="2040"/>
        <v/>
      </c>
      <c r="EB182" s="30" t="str">
        <f t="shared" si="2041"/>
        <v/>
      </c>
      <c r="EC182" s="30" t="str">
        <f t="shared" si="2042"/>
        <v/>
      </c>
      <c r="ED182" s="30" t="str">
        <f t="shared" si="2043"/>
        <v/>
      </c>
      <c r="EE182" s="30" t="str">
        <f t="shared" si="2044"/>
        <v/>
      </c>
      <c r="EF182" s="30" t="str">
        <f t="shared" si="2045"/>
        <v/>
      </c>
      <c r="EG182" s="30" t="str">
        <f t="shared" si="2046"/>
        <v/>
      </c>
      <c r="EH182" s="30" t="str">
        <f t="shared" si="2047"/>
        <v/>
      </c>
      <c r="EI182" s="30" t="str">
        <f t="shared" si="2048"/>
        <v/>
      </c>
      <c r="EJ182" s="30" t="str">
        <f t="shared" si="2049"/>
        <v/>
      </c>
      <c r="EK182" s="30" t="str">
        <f t="shared" si="2050"/>
        <v/>
      </c>
      <c r="EL182" s="30" t="str">
        <f t="shared" si="2051"/>
        <v/>
      </c>
      <c r="EM182" s="30" t="str">
        <f t="shared" si="2052"/>
        <v/>
      </c>
      <c r="EN182" s="30" t="str">
        <f t="shared" si="2053"/>
        <v/>
      </c>
      <c r="EO182" s="30" t="str">
        <f t="shared" si="2054"/>
        <v/>
      </c>
      <c r="EP182" s="30" t="str">
        <f t="shared" si="2055"/>
        <v/>
      </c>
      <c r="EQ182" s="30" t="str">
        <f t="shared" si="2056"/>
        <v/>
      </c>
      <c r="ER182" s="30" t="str">
        <f t="shared" si="2057"/>
        <v/>
      </c>
      <c r="ES182" s="30" t="str">
        <f t="shared" si="2058"/>
        <v/>
      </c>
      <c r="ET182" s="30" t="str">
        <f t="shared" si="2059"/>
        <v/>
      </c>
      <c r="EU182" s="30" t="str">
        <f t="shared" si="2060"/>
        <v/>
      </c>
      <c r="EV182" s="30" t="str">
        <f t="shared" si="2061"/>
        <v/>
      </c>
      <c r="EW182" s="30" t="str">
        <f t="shared" si="2062"/>
        <v/>
      </c>
      <c r="EX182" s="30" t="str">
        <f t="shared" si="2063"/>
        <v/>
      </c>
      <c r="EY182" s="30" t="str">
        <f t="shared" si="2064"/>
        <v/>
      </c>
      <c r="EZ182" s="30" t="str">
        <f t="shared" si="2065"/>
        <v/>
      </c>
      <c r="FA182" s="30" t="str">
        <f t="shared" si="2066"/>
        <v/>
      </c>
      <c r="FB182" s="30" t="str">
        <f t="shared" si="2067"/>
        <v/>
      </c>
      <c r="FC182" s="30" t="str">
        <f t="shared" si="2068"/>
        <v/>
      </c>
      <c r="FD182" s="30" t="str">
        <f t="shared" si="2069"/>
        <v/>
      </c>
      <c r="FE182" s="30" t="str">
        <f t="shared" si="2070"/>
        <v/>
      </c>
      <c r="FF182" s="30" t="str">
        <f t="shared" si="2071"/>
        <v/>
      </c>
      <c r="FG182" s="30" t="str">
        <f t="shared" si="2072"/>
        <v/>
      </c>
      <c r="FH182" s="30" t="str">
        <f t="shared" si="2073"/>
        <v/>
      </c>
      <c r="FI182" s="30" t="str">
        <f t="shared" si="2074"/>
        <v/>
      </c>
      <c r="FJ182" s="30" t="str">
        <f t="shared" si="2075"/>
        <v/>
      </c>
      <c r="FK182" s="30" t="str">
        <f t="shared" si="2076"/>
        <v/>
      </c>
      <c r="FL182" s="30" t="str">
        <f t="shared" si="2077"/>
        <v/>
      </c>
      <c r="FM182" s="30" t="str">
        <f t="shared" si="2078"/>
        <v/>
      </c>
      <c r="FN182" s="30" t="str">
        <f t="shared" si="2079"/>
        <v/>
      </c>
      <c r="FO182" s="30" t="str">
        <f t="shared" si="2080"/>
        <v/>
      </c>
      <c r="FP182" s="30" t="str">
        <f t="shared" si="2081"/>
        <v/>
      </c>
      <c r="FQ182" s="30" t="str">
        <f t="shared" si="2082"/>
        <v/>
      </c>
      <c r="FR182" s="30" t="str">
        <f t="shared" si="2083"/>
        <v/>
      </c>
      <c r="FS182" s="30" t="str">
        <f t="shared" si="2084"/>
        <v/>
      </c>
    </row>
    <row r="183" spans="1:175" ht="16.5">
      <c r="A183" s="5"/>
      <c r="B183" s="6"/>
      <c r="C183" s="5"/>
      <c r="E183" s="35"/>
      <c r="T183" s="105"/>
      <c r="U183" s="32"/>
      <c r="CU183" s="45" t="str">
        <f t="shared" si="2014"/>
        <v>|n</v>
      </c>
      <c r="CW183" s="24"/>
      <c r="CX183" s="24"/>
      <c r="CY183" s="24"/>
      <c r="CZ183" s="24"/>
      <c r="DA183" s="24"/>
      <c r="DB183" s="30" t="str">
        <f t="shared" si="2015"/>
        <v/>
      </c>
      <c r="DC183" s="30" t="str">
        <f t="shared" si="2016"/>
        <v/>
      </c>
      <c r="DD183" s="30" t="str">
        <f t="shared" si="2017"/>
        <v/>
      </c>
      <c r="DE183" s="30" t="str">
        <f t="shared" si="2018"/>
        <v/>
      </c>
      <c r="DF183" s="30" t="str">
        <f t="shared" si="2019"/>
        <v/>
      </c>
      <c r="DG183" s="30" t="str">
        <f t="shared" si="2020"/>
        <v/>
      </c>
      <c r="DH183" s="30" t="str">
        <f t="shared" si="2021"/>
        <v/>
      </c>
      <c r="DI183" s="30" t="str">
        <f t="shared" si="2022"/>
        <v/>
      </c>
      <c r="DJ183" s="30" t="str">
        <f t="shared" si="2023"/>
        <v/>
      </c>
      <c r="DK183" s="30" t="str">
        <f t="shared" si="2024"/>
        <v/>
      </c>
      <c r="DL183" s="30" t="str">
        <f t="shared" si="2025"/>
        <v/>
      </c>
      <c r="DM183" s="30" t="str">
        <f t="shared" si="2026"/>
        <v/>
      </c>
      <c r="DN183" s="30" t="str">
        <f t="shared" si="2027"/>
        <v/>
      </c>
      <c r="DO183" s="30" t="str">
        <f t="shared" si="2028"/>
        <v/>
      </c>
      <c r="DP183" s="30" t="str">
        <f t="shared" si="2029"/>
        <v/>
      </c>
      <c r="DQ183" s="30" t="str">
        <f t="shared" si="2030"/>
        <v/>
      </c>
      <c r="DR183" s="30" t="str">
        <f t="shared" si="2031"/>
        <v/>
      </c>
      <c r="DS183" s="30" t="str">
        <f t="shared" si="2032"/>
        <v/>
      </c>
      <c r="DT183" s="30" t="str">
        <f t="shared" si="2033"/>
        <v/>
      </c>
      <c r="DU183" s="30" t="str">
        <f t="shared" si="2034"/>
        <v/>
      </c>
      <c r="DV183" s="30" t="str">
        <f t="shared" si="2035"/>
        <v/>
      </c>
      <c r="DW183" s="30" t="str">
        <f t="shared" si="2036"/>
        <v/>
      </c>
      <c r="DX183" s="30" t="str">
        <f t="shared" si="2037"/>
        <v/>
      </c>
      <c r="DY183" s="30" t="str">
        <f t="shared" si="2038"/>
        <v/>
      </c>
      <c r="DZ183" s="30" t="str">
        <f t="shared" si="2039"/>
        <v/>
      </c>
      <c r="EA183" s="30" t="str">
        <f t="shared" si="2040"/>
        <v/>
      </c>
      <c r="EB183" s="30" t="str">
        <f t="shared" si="2041"/>
        <v/>
      </c>
      <c r="EC183" s="30" t="str">
        <f t="shared" si="2042"/>
        <v/>
      </c>
      <c r="ED183" s="30" t="str">
        <f t="shared" si="2043"/>
        <v/>
      </c>
      <c r="EE183" s="30" t="str">
        <f t="shared" si="2044"/>
        <v/>
      </c>
      <c r="EF183" s="30" t="str">
        <f t="shared" si="2045"/>
        <v/>
      </c>
      <c r="EG183" s="30" t="str">
        <f t="shared" si="2046"/>
        <v/>
      </c>
      <c r="EH183" s="30" t="str">
        <f t="shared" si="2047"/>
        <v/>
      </c>
      <c r="EI183" s="30" t="str">
        <f t="shared" si="2048"/>
        <v/>
      </c>
      <c r="EJ183" s="30" t="str">
        <f t="shared" si="2049"/>
        <v/>
      </c>
      <c r="EK183" s="30" t="str">
        <f t="shared" si="2050"/>
        <v/>
      </c>
      <c r="EL183" s="30" t="str">
        <f t="shared" si="2051"/>
        <v/>
      </c>
      <c r="EM183" s="30" t="str">
        <f t="shared" si="2052"/>
        <v/>
      </c>
      <c r="EN183" s="30" t="str">
        <f t="shared" si="2053"/>
        <v/>
      </c>
      <c r="EO183" s="30" t="str">
        <f t="shared" si="2054"/>
        <v/>
      </c>
      <c r="EP183" s="30" t="str">
        <f t="shared" si="2055"/>
        <v/>
      </c>
      <c r="EQ183" s="30" t="str">
        <f t="shared" si="2056"/>
        <v/>
      </c>
      <c r="ER183" s="30" t="str">
        <f t="shared" si="2057"/>
        <v/>
      </c>
      <c r="ES183" s="30" t="str">
        <f t="shared" si="2058"/>
        <v/>
      </c>
      <c r="ET183" s="30" t="str">
        <f t="shared" si="2059"/>
        <v/>
      </c>
      <c r="EU183" s="30" t="str">
        <f t="shared" si="2060"/>
        <v/>
      </c>
      <c r="EV183" s="30" t="str">
        <f t="shared" si="2061"/>
        <v/>
      </c>
      <c r="EW183" s="30" t="str">
        <f t="shared" si="2062"/>
        <v/>
      </c>
      <c r="EX183" s="30" t="str">
        <f t="shared" si="2063"/>
        <v/>
      </c>
      <c r="EY183" s="30" t="str">
        <f t="shared" si="2064"/>
        <v/>
      </c>
      <c r="EZ183" s="30" t="str">
        <f t="shared" si="2065"/>
        <v/>
      </c>
      <c r="FA183" s="30" t="str">
        <f t="shared" si="2066"/>
        <v/>
      </c>
      <c r="FB183" s="30" t="str">
        <f t="shared" si="2067"/>
        <v/>
      </c>
      <c r="FC183" s="30" t="str">
        <f t="shared" si="2068"/>
        <v/>
      </c>
      <c r="FD183" s="30" t="str">
        <f t="shared" si="2069"/>
        <v/>
      </c>
      <c r="FE183" s="30" t="str">
        <f t="shared" si="2070"/>
        <v/>
      </c>
      <c r="FF183" s="30" t="str">
        <f t="shared" si="2071"/>
        <v/>
      </c>
      <c r="FG183" s="30" t="str">
        <f t="shared" si="2072"/>
        <v/>
      </c>
      <c r="FH183" s="30" t="str">
        <f t="shared" si="2073"/>
        <v/>
      </c>
      <c r="FI183" s="30" t="str">
        <f t="shared" si="2074"/>
        <v/>
      </c>
      <c r="FJ183" s="30" t="str">
        <f t="shared" si="2075"/>
        <v/>
      </c>
      <c r="FK183" s="30" t="str">
        <f t="shared" si="2076"/>
        <v/>
      </c>
      <c r="FL183" s="30" t="str">
        <f t="shared" si="2077"/>
        <v/>
      </c>
      <c r="FM183" s="30" t="str">
        <f t="shared" si="2078"/>
        <v/>
      </c>
      <c r="FN183" s="30" t="str">
        <f t="shared" si="2079"/>
        <v/>
      </c>
      <c r="FO183" s="30" t="str">
        <f t="shared" si="2080"/>
        <v/>
      </c>
      <c r="FP183" s="30" t="str">
        <f t="shared" si="2081"/>
        <v/>
      </c>
      <c r="FQ183" s="30" t="str">
        <f t="shared" si="2082"/>
        <v/>
      </c>
      <c r="FR183" s="30" t="str">
        <f t="shared" si="2083"/>
        <v/>
      </c>
      <c r="FS183" s="30" t="str">
        <f t="shared" si="2084"/>
        <v/>
      </c>
    </row>
    <row r="184" spans="1:175" ht="16.5">
      <c r="A184" s="5"/>
      <c r="B184" s="6"/>
      <c r="C184" s="5"/>
      <c r="E184" s="35"/>
      <c r="T184" s="105"/>
      <c r="U184" s="32"/>
      <c r="CU184" s="45" t="str">
        <f t="shared" si="2014"/>
        <v>|n</v>
      </c>
      <c r="CW184" s="24"/>
      <c r="CX184" s="24"/>
      <c r="CY184" s="24"/>
      <c r="CZ184" s="24"/>
      <c r="DA184" s="24"/>
      <c r="DB184" s="30" t="str">
        <f t="shared" si="2015"/>
        <v/>
      </c>
      <c r="DC184" s="30" t="str">
        <f t="shared" si="2016"/>
        <v/>
      </c>
      <c r="DD184" s="30" t="str">
        <f t="shared" si="2017"/>
        <v/>
      </c>
      <c r="DE184" s="30" t="str">
        <f t="shared" si="2018"/>
        <v/>
      </c>
      <c r="DF184" s="30" t="str">
        <f t="shared" si="2019"/>
        <v/>
      </c>
      <c r="DG184" s="30" t="str">
        <f t="shared" si="2020"/>
        <v/>
      </c>
      <c r="DH184" s="30" t="str">
        <f t="shared" si="2021"/>
        <v/>
      </c>
      <c r="DI184" s="30" t="str">
        <f t="shared" si="2022"/>
        <v/>
      </c>
      <c r="DJ184" s="30" t="str">
        <f t="shared" si="2023"/>
        <v/>
      </c>
      <c r="DK184" s="30" t="str">
        <f t="shared" si="2024"/>
        <v/>
      </c>
      <c r="DL184" s="30" t="str">
        <f t="shared" si="2025"/>
        <v/>
      </c>
      <c r="DM184" s="30" t="str">
        <f t="shared" si="2026"/>
        <v/>
      </c>
      <c r="DN184" s="30" t="str">
        <f t="shared" si="2027"/>
        <v/>
      </c>
      <c r="DO184" s="30" t="str">
        <f t="shared" si="2028"/>
        <v/>
      </c>
      <c r="DP184" s="30" t="str">
        <f t="shared" si="2029"/>
        <v/>
      </c>
      <c r="DQ184" s="30" t="str">
        <f t="shared" si="2030"/>
        <v/>
      </c>
      <c r="DR184" s="30" t="str">
        <f t="shared" si="2031"/>
        <v/>
      </c>
      <c r="DS184" s="30" t="str">
        <f t="shared" si="2032"/>
        <v/>
      </c>
      <c r="DT184" s="30" t="str">
        <f t="shared" si="2033"/>
        <v/>
      </c>
      <c r="DU184" s="30" t="str">
        <f t="shared" si="2034"/>
        <v/>
      </c>
      <c r="DV184" s="30" t="str">
        <f t="shared" si="2035"/>
        <v/>
      </c>
      <c r="DW184" s="30" t="str">
        <f t="shared" si="2036"/>
        <v/>
      </c>
      <c r="DX184" s="30" t="str">
        <f t="shared" si="2037"/>
        <v/>
      </c>
      <c r="DY184" s="30" t="str">
        <f t="shared" si="2038"/>
        <v/>
      </c>
      <c r="DZ184" s="30" t="str">
        <f t="shared" si="2039"/>
        <v/>
      </c>
      <c r="EA184" s="30" t="str">
        <f t="shared" si="2040"/>
        <v/>
      </c>
      <c r="EB184" s="30" t="str">
        <f t="shared" si="2041"/>
        <v/>
      </c>
      <c r="EC184" s="30" t="str">
        <f t="shared" si="2042"/>
        <v/>
      </c>
      <c r="ED184" s="30" t="str">
        <f t="shared" si="2043"/>
        <v/>
      </c>
      <c r="EE184" s="30" t="str">
        <f t="shared" si="2044"/>
        <v/>
      </c>
      <c r="EF184" s="30" t="str">
        <f t="shared" si="2045"/>
        <v/>
      </c>
      <c r="EG184" s="30" t="str">
        <f t="shared" si="2046"/>
        <v/>
      </c>
      <c r="EH184" s="30" t="str">
        <f t="shared" si="2047"/>
        <v/>
      </c>
      <c r="EI184" s="30" t="str">
        <f t="shared" si="2048"/>
        <v/>
      </c>
      <c r="EJ184" s="30" t="str">
        <f t="shared" si="2049"/>
        <v/>
      </c>
      <c r="EK184" s="30" t="str">
        <f t="shared" si="2050"/>
        <v/>
      </c>
      <c r="EL184" s="30" t="str">
        <f t="shared" si="2051"/>
        <v/>
      </c>
      <c r="EM184" s="30" t="str">
        <f t="shared" si="2052"/>
        <v/>
      </c>
      <c r="EN184" s="30" t="str">
        <f t="shared" si="2053"/>
        <v/>
      </c>
      <c r="EO184" s="30" t="str">
        <f t="shared" si="2054"/>
        <v/>
      </c>
      <c r="EP184" s="30" t="str">
        <f t="shared" si="2055"/>
        <v/>
      </c>
      <c r="EQ184" s="30" t="str">
        <f t="shared" si="2056"/>
        <v/>
      </c>
      <c r="ER184" s="30" t="str">
        <f t="shared" si="2057"/>
        <v/>
      </c>
      <c r="ES184" s="30" t="str">
        <f t="shared" si="2058"/>
        <v/>
      </c>
      <c r="ET184" s="30" t="str">
        <f t="shared" si="2059"/>
        <v/>
      </c>
      <c r="EU184" s="30" t="str">
        <f t="shared" si="2060"/>
        <v/>
      </c>
      <c r="EV184" s="30" t="str">
        <f t="shared" si="2061"/>
        <v/>
      </c>
      <c r="EW184" s="30" t="str">
        <f t="shared" si="2062"/>
        <v/>
      </c>
      <c r="EX184" s="30" t="str">
        <f t="shared" si="2063"/>
        <v/>
      </c>
      <c r="EY184" s="30" t="str">
        <f t="shared" si="2064"/>
        <v/>
      </c>
      <c r="EZ184" s="30" t="str">
        <f t="shared" si="2065"/>
        <v/>
      </c>
      <c r="FA184" s="30" t="str">
        <f t="shared" si="2066"/>
        <v/>
      </c>
      <c r="FB184" s="30" t="str">
        <f t="shared" si="2067"/>
        <v/>
      </c>
      <c r="FC184" s="30" t="str">
        <f t="shared" si="2068"/>
        <v/>
      </c>
      <c r="FD184" s="30" t="str">
        <f t="shared" si="2069"/>
        <v/>
      </c>
      <c r="FE184" s="30" t="str">
        <f t="shared" si="2070"/>
        <v/>
      </c>
      <c r="FF184" s="30" t="str">
        <f t="shared" si="2071"/>
        <v/>
      </c>
      <c r="FG184" s="30" t="str">
        <f t="shared" si="2072"/>
        <v/>
      </c>
      <c r="FH184" s="30" t="str">
        <f t="shared" si="2073"/>
        <v/>
      </c>
      <c r="FI184" s="30" t="str">
        <f t="shared" si="2074"/>
        <v/>
      </c>
      <c r="FJ184" s="30" t="str">
        <f t="shared" si="2075"/>
        <v/>
      </c>
      <c r="FK184" s="30" t="str">
        <f t="shared" si="2076"/>
        <v/>
      </c>
      <c r="FL184" s="30" t="str">
        <f t="shared" si="2077"/>
        <v/>
      </c>
      <c r="FM184" s="30" t="str">
        <f t="shared" si="2078"/>
        <v/>
      </c>
      <c r="FN184" s="30" t="str">
        <f t="shared" si="2079"/>
        <v/>
      </c>
      <c r="FO184" s="30" t="str">
        <f t="shared" si="2080"/>
        <v/>
      </c>
      <c r="FP184" s="30" t="str">
        <f t="shared" si="2081"/>
        <v/>
      </c>
      <c r="FQ184" s="30" t="str">
        <f t="shared" si="2082"/>
        <v/>
      </c>
      <c r="FR184" s="30" t="str">
        <f t="shared" si="2083"/>
        <v/>
      </c>
      <c r="FS184" s="30" t="str">
        <f t="shared" si="2084"/>
        <v/>
      </c>
    </row>
    <row r="185" spans="1:175" ht="16.5">
      <c r="A185" s="5"/>
      <c r="B185" s="6"/>
      <c r="C185" s="5"/>
      <c r="E185" s="35"/>
      <c r="T185" s="105"/>
      <c r="U185" s="32"/>
      <c r="CU185" s="45" t="str">
        <f t="shared" si="2014"/>
        <v>|n</v>
      </c>
      <c r="CW185" s="24"/>
      <c r="CX185" s="24"/>
      <c r="CY185" s="24"/>
      <c r="CZ185" s="24"/>
      <c r="DA185" s="24"/>
      <c r="DB185" s="30" t="str">
        <f t="shared" si="2015"/>
        <v/>
      </c>
      <c r="DC185" s="30" t="str">
        <f t="shared" si="2016"/>
        <v/>
      </c>
      <c r="DD185" s="30" t="str">
        <f t="shared" si="2017"/>
        <v/>
      </c>
      <c r="DE185" s="30" t="str">
        <f t="shared" si="2018"/>
        <v/>
      </c>
      <c r="DF185" s="30" t="str">
        <f t="shared" si="2019"/>
        <v/>
      </c>
      <c r="DG185" s="30" t="str">
        <f t="shared" si="2020"/>
        <v/>
      </c>
      <c r="DH185" s="30" t="str">
        <f t="shared" si="2021"/>
        <v/>
      </c>
      <c r="DI185" s="30" t="str">
        <f t="shared" si="2022"/>
        <v/>
      </c>
      <c r="DJ185" s="30" t="str">
        <f t="shared" si="2023"/>
        <v/>
      </c>
      <c r="DK185" s="30" t="str">
        <f t="shared" si="2024"/>
        <v/>
      </c>
      <c r="DL185" s="30" t="str">
        <f t="shared" si="2025"/>
        <v/>
      </c>
      <c r="DM185" s="30" t="str">
        <f t="shared" si="2026"/>
        <v/>
      </c>
      <c r="DN185" s="30" t="str">
        <f t="shared" si="2027"/>
        <v/>
      </c>
      <c r="DO185" s="30" t="str">
        <f t="shared" si="2028"/>
        <v/>
      </c>
      <c r="DP185" s="30" t="str">
        <f t="shared" si="2029"/>
        <v/>
      </c>
      <c r="DQ185" s="30" t="str">
        <f t="shared" si="2030"/>
        <v/>
      </c>
      <c r="DR185" s="30" t="str">
        <f t="shared" si="2031"/>
        <v/>
      </c>
      <c r="DS185" s="30" t="str">
        <f t="shared" si="2032"/>
        <v/>
      </c>
      <c r="DT185" s="30" t="str">
        <f t="shared" si="2033"/>
        <v/>
      </c>
      <c r="DU185" s="30" t="str">
        <f t="shared" si="2034"/>
        <v/>
      </c>
      <c r="DV185" s="30" t="str">
        <f t="shared" si="2035"/>
        <v/>
      </c>
      <c r="DW185" s="30" t="str">
        <f t="shared" si="2036"/>
        <v/>
      </c>
      <c r="DX185" s="30" t="str">
        <f t="shared" si="2037"/>
        <v/>
      </c>
      <c r="DY185" s="30" t="str">
        <f t="shared" si="2038"/>
        <v/>
      </c>
      <c r="DZ185" s="30" t="str">
        <f t="shared" si="2039"/>
        <v/>
      </c>
      <c r="EA185" s="30" t="str">
        <f t="shared" si="2040"/>
        <v/>
      </c>
      <c r="EB185" s="30" t="str">
        <f t="shared" si="2041"/>
        <v/>
      </c>
      <c r="EC185" s="30" t="str">
        <f t="shared" si="2042"/>
        <v/>
      </c>
      <c r="ED185" s="30" t="str">
        <f t="shared" si="2043"/>
        <v/>
      </c>
      <c r="EE185" s="30" t="str">
        <f t="shared" si="2044"/>
        <v/>
      </c>
      <c r="EF185" s="30" t="str">
        <f t="shared" si="2045"/>
        <v/>
      </c>
      <c r="EG185" s="30" t="str">
        <f t="shared" si="2046"/>
        <v/>
      </c>
      <c r="EH185" s="30" t="str">
        <f t="shared" si="2047"/>
        <v/>
      </c>
      <c r="EI185" s="30" t="str">
        <f t="shared" si="2048"/>
        <v/>
      </c>
      <c r="EJ185" s="30" t="str">
        <f t="shared" si="2049"/>
        <v/>
      </c>
      <c r="EK185" s="30" t="str">
        <f t="shared" si="2050"/>
        <v/>
      </c>
      <c r="EL185" s="30" t="str">
        <f t="shared" si="2051"/>
        <v/>
      </c>
      <c r="EM185" s="30" t="str">
        <f t="shared" si="2052"/>
        <v/>
      </c>
      <c r="EN185" s="30" t="str">
        <f t="shared" si="2053"/>
        <v/>
      </c>
      <c r="EO185" s="30" t="str">
        <f t="shared" si="2054"/>
        <v/>
      </c>
      <c r="EP185" s="30" t="str">
        <f t="shared" si="2055"/>
        <v/>
      </c>
      <c r="EQ185" s="30" t="str">
        <f t="shared" si="2056"/>
        <v/>
      </c>
      <c r="ER185" s="30" t="str">
        <f t="shared" si="2057"/>
        <v/>
      </c>
      <c r="ES185" s="30" t="str">
        <f t="shared" si="2058"/>
        <v/>
      </c>
      <c r="ET185" s="30" t="str">
        <f t="shared" si="2059"/>
        <v/>
      </c>
      <c r="EU185" s="30" t="str">
        <f t="shared" si="2060"/>
        <v/>
      </c>
      <c r="EV185" s="30" t="str">
        <f t="shared" si="2061"/>
        <v/>
      </c>
      <c r="EW185" s="30" t="str">
        <f t="shared" si="2062"/>
        <v/>
      </c>
      <c r="EX185" s="30" t="str">
        <f t="shared" si="2063"/>
        <v/>
      </c>
      <c r="EY185" s="30" t="str">
        <f t="shared" si="2064"/>
        <v/>
      </c>
      <c r="EZ185" s="30" t="str">
        <f t="shared" si="2065"/>
        <v/>
      </c>
      <c r="FA185" s="30" t="str">
        <f t="shared" si="2066"/>
        <v/>
      </c>
      <c r="FB185" s="30" t="str">
        <f t="shared" si="2067"/>
        <v/>
      </c>
      <c r="FC185" s="30" t="str">
        <f t="shared" si="2068"/>
        <v/>
      </c>
      <c r="FD185" s="30" t="str">
        <f t="shared" si="2069"/>
        <v/>
      </c>
      <c r="FE185" s="30" t="str">
        <f t="shared" si="2070"/>
        <v/>
      </c>
      <c r="FF185" s="30" t="str">
        <f t="shared" si="2071"/>
        <v/>
      </c>
      <c r="FG185" s="30" t="str">
        <f t="shared" si="2072"/>
        <v/>
      </c>
      <c r="FH185" s="30" t="str">
        <f t="shared" si="2073"/>
        <v/>
      </c>
      <c r="FI185" s="30" t="str">
        <f t="shared" si="2074"/>
        <v/>
      </c>
      <c r="FJ185" s="30" t="str">
        <f t="shared" si="2075"/>
        <v/>
      </c>
      <c r="FK185" s="30" t="str">
        <f t="shared" si="2076"/>
        <v/>
      </c>
      <c r="FL185" s="30" t="str">
        <f t="shared" si="2077"/>
        <v/>
      </c>
      <c r="FM185" s="30" t="str">
        <f t="shared" si="2078"/>
        <v/>
      </c>
      <c r="FN185" s="30" t="str">
        <f t="shared" si="2079"/>
        <v/>
      </c>
      <c r="FO185" s="30" t="str">
        <f t="shared" si="2080"/>
        <v/>
      </c>
      <c r="FP185" s="30" t="str">
        <f t="shared" si="2081"/>
        <v/>
      </c>
      <c r="FQ185" s="30" t="str">
        <f t="shared" si="2082"/>
        <v/>
      </c>
      <c r="FR185" s="30" t="str">
        <f t="shared" si="2083"/>
        <v/>
      </c>
      <c r="FS185" s="30" t="str">
        <f t="shared" si="2084"/>
        <v/>
      </c>
    </row>
    <row r="186" spans="1:175" ht="16.5">
      <c r="A186" s="5"/>
      <c r="B186" s="6"/>
      <c r="C186" s="5"/>
      <c r="E186" s="35"/>
      <c r="T186" s="105"/>
      <c r="U186" s="32"/>
      <c r="CU186" s="45" t="str">
        <f t="shared" si="2014"/>
        <v>|n</v>
      </c>
      <c r="CW186" s="24"/>
      <c r="CX186" s="24"/>
      <c r="CY186" s="24"/>
      <c r="CZ186" s="24"/>
      <c r="DA186" s="24"/>
      <c r="DB186" s="30" t="str">
        <f t="shared" si="2015"/>
        <v/>
      </c>
      <c r="DC186" s="30" t="str">
        <f t="shared" si="2016"/>
        <v/>
      </c>
      <c r="DD186" s="30" t="str">
        <f t="shared" si="2017"/>
        <v/>
      </c>
      <c r="DE186" s="30" t="str">
        <f t="shared" si="2018"/>
        <v/>
      </c>
      <c r="DF186" s="30" t="str">
        <f t="shared" si="2019"/>
        <v/>
      </c>
      <c r="DG186" s="30" t="str">
        <f t="shared" si="2020"/>
        <v/>
      </c>
      <c r="DH186" s="30" t="str">
        <f t="shared" si="2021"/>
        <v/>
      </c>
      <c r="DI186" s="30" t="str">
        <f t="shared" si="2022"/>
        <v/>
      </c>
      <c r="DJ186" s="30" t="str">
        <f t="shared" si="2023"/>
        <v/>
      </c>
      <c r="DK186" s="30" t="str">
        <f t="shared" si="2024"/>
        <v/>
      </c>
      <c r="DL186" s="30" t="str">
        <f t="shared" si="2025"/>
        <v/>
      </c>
      <c r="DM186" s="30" t="str">
        <f t="shared" si="2026"/>
        <v/>
      </c>
      <c r="DN186" s="30" t="str">
        <f t="shared" si="2027"/>
        <v/>
      </c>
      <c r="DO186" s="30" t="str">
        <f t="shared" si="2028"/>
        <v/>
      </c>
      <c r="DP186" s="30" t="str">
        <f t="shared" si="2029"/>
        <v/>
      </c>
      <c r="DQ186" s="30" t="str">
        <f t="shared" si="2030"/>
        <v/>
      </c>
      <c r="DR186" s="30" t="str">
        <f t="shared" si="2031"/>
        <v/>
      </c>
      <c r="DS186" s="30" t="str">
        <f t="shared" si="2032"/>
        <v/>
      </c>
      <c r="DT186" s="30" t="str">
        <f t="shared" si="2033"/>
        <v/>
      </c>
      <c r="DU186" s="30" t="str">
        <f t="shared" si="2034"/>
        <v/>
      </c>
      <c r="DV186" s="30" t="str">
        <f t="shared" si="2035"/>
        <v/>
      </c>
      <c r="DW186" s="30" t="str">
        <f t="shared" si="2036"/>
        <v/>
      </c>
      <c r="DX186" s="30" t="str">
        <f t="shared" si="2037"/>
        <v/>
      </c>
      <c r="DY186" s="30" t="str">
        <f t="shared" si="2038"/>
        <v/>
      </c>
      <c r="DZ186" s="30" t="str">
        <f t="shared" si="2039"/>
        <v/>
      </c>
      <c r="EA186" s="30" t="str">
        <f t="shared" si="2040"/>
        <v/>
      </c>
      <c r="EB186" s="30" t="str">
        <f t="shared" si="2041"/>
        <v/>
      </c>
      <c r="EC186" s="30" t="str">
        <f t="shared" si="2042"/>
        <v/>
      </c>
      <c r="ED186" s="30" t="str">
        <f t="shared" si="2043"/>
        <v/>
      </c>
      <c r="EE186" s="30" t="str">
        <f t="shared" si="2044"/>
        <v/>
      </c>
      <c r="EF186" s="30" t="str">
        <f t="shared" si="2045"/>
        <v/>
      </c>
      <c r="EG186" s="30" t="str">
        <f t="shared" si="2046"/>
        <v/>
      </c>
      <c r="EH186" s="30" t="str">
        <f t="shared" si="2047"/>
        <v/>
      </c>
      <c r="EI186" s="30" t="str">
        <f t="shared" si="2048"/>
        <v/>
      </c>
      <c r="EJ186" s="30" t="str">
        <f t="shared" si="2049"/>
        <v/>
      </c>
      <c r="EK186" s="30" t="str">
        <f t="shared" si="2050"/>
        <v/>
      </c>
      <c r="EL186" s="30" t="str">
        <f t="shared" si="2051"/>
        <v/>
      </c>
      <c r="EM186" s="30" t="str">
        <f t="shared" si="2052"/>
        <v/>
      </c>
      <c r="EN186" s="30" t="str">
        <f t="shared" si="2053"/>
        <v/>
      </c>
      <c r="EO186" s="30" t="str">
        <f t="shared" si="2054"/>
        <v/>
      </c>
      <c r="EP186" s="30" t="str">
        <f t="shared" si="2055"/>
        <v/>
      </c>
      <c r="EQ186" s="30" t="str">
        <f t="shared" si="2056"/>
        <v/>
      </c>
      <c r="ER186" s="30" t="str">
        <f t="shared" si="2057"/>
        <v/>
      </c>
      <c r="ES186" s="30" t="str">
        <f t="shared" si="2058"/>
        <v/>
      </c>
      <c r="ET186" s="30" t="str">
        <f t="shared" si="2059"/>
        <v/>
      </c>
      <c r="EU186" s="30" t="str">
        <f t="shared" si="2060"/>
        <v/>
      </c>
      <c r="EV186" s="30" t="str">
        <f t="shared" si="2061"/>
        <v/>
      </c>
      <c r="EW186" s="30" t="str">
        <f t="shared" si="2062"/>
        <v/>
      </c>
      <c r="EX186" s="30" t="str">
        <f t="shared" si="2063"/>
        <v/>
      </c>
      <c r="EY186" s="30" t="str">
        <f t="shared" si="2064"/>
        <v/>
      </c>
      <c r="EZ186" s="30" t="str">
        <f t="shared" si="2065"/>
        <v/>
      </c>
      <c r="FA186" s="30" t="str">
        <f t="shared" si="2066"/>
        <v/>
      </c>
      <c r="FB186" s="30" t="str">
        <f t="shared" si="2067"/>
        <v/>
      </c>
      <c r="FC186" s="30" t="str">
        <f t="shared" si="2068"/>
        <v/>
      </c>
      <c r="FD186" s="30" t="str">
        <f t="shared" si="2069"/>
        <v/>
      </c>
      <c r="FE186" s="30" t="str">
        <f t="shared" si="2070"/>
        <v/>
      </c>
      <c r="FF186" s="30" t="str">
        <f t="shared" si="2071"/>
        <v/>
      </c>
      <c r="FG186" s="30" t="str">
        <f t="shared" si="2072"/>
        <v/>
      </c>
      <c r="FH186" s="30" t="str">
        <f t="shared" si="2073"/>
        <v/>
      </c>
      <c r="FI186" s="30" t="str">
        <f t="shared" si="2074"/>
        <v/>
      </c>
      <c r="FJ186" s="30" t="str">
        <f t="shared" si="2075"/>
        <v/>
      </c>
      <c r="FK186" s="30" t="str">
        <f t="shared" si="2076"/>
        <v/>
      </c>
      <c r="FL186" s="30" t="str">
        <f t="shared" si="2077"/>
        <v/>
      </c>
      <c r="FM186" s="30" t="str">
        <f t="shared" si="2078"/>
        <v/>
      </c>
      <c r="FN186" s="30" t="str">
        <f t="shared" si="2079"/>
        <v/>
      </c>
      <c r="FO186" s="30" t="str">
        <f t="shared" si="2080"/>
        <v/>
      </c>
      <c r="FP186" s="30" t="str">
        <f t="shared" si="2081"/>
        <v/>
      </c>
      <c r="FQ186" s="30" t="str">
        <f t="shared" si="2082"/>
        <v/>
      </c>
      <c r="FR186" s="30" t="str">
        <f t="shared" si="2083"/>
        <v/>
      </c>
      <c r="FS186" s="30" t="str">
        <f t="shared" si="2084"/>
        <v/>
      </c>
    </row>
    <row r="187" spans="1:175" ht="16.5">
      <c r="A187" s="5"/>
      <c r="B187" s="6"/>
      <c r="C187" s="5"/>
      <c r="E187" s="35"/>
      <c r="T187" s="105"/>
      <c r="U187" s="32"/>
      <c r="CU187" s="45" t="str">
        <f t="shared" si="2014"/>
        <v>|n</v>
      </c>
      <c r="CW187" s="24"/>
      <c r="CX187" s="24"/>
      <c r="CY187" s="24"/>
      <c r="CZ187" s="24"/>
      <c r="DA187" s="24"/>
      <c r="DB187" s="30" t="str">
        <f t="shared" si="2015"/>
        <v/>
      </c>
      <c r="DC187" s="30" t="str">
        <f t="shared" si="2016"/>
        <v/>
      </c>
      <c r="DD187" s="30" t="str">
        <f t="shared" si="2017"/>
        <v/>
      </c>
      <c r="DE187" s="30" t="str">
        <f t="shared" si="2018"/>
        <v/>
      </c>
      <c r="DF187" s="30" t="str">
        <f t="shared" si="2019"/>
        <v/>
      </c>
      <c r="DG187" s="30" t="str">
        <f t="shared" si="2020"/>
        <v/>
      </c>
      <c r="DH187" s="30" t="str">
        <f t="shared" si="2021"/>
        <v/>
      </c>
      <c r="DI187" s="30" t="str">
        <f t="shared" si="2022"/>
        <v/>
      </c>
      <c r="DJ187" s="30" t="str">
        <f t="shared" si="2023"/>
        <v/>
      </c>
      <c r="DK187" s="30" t="str">
        <f t="shared" si="2024"/>
        <v/>
      </c>
      <c r="DL187" s="30" t="str">
        <f t="shared" si="2025"/>
        <v/>
      </c>
      <c r="DM187" s="30" t="str">
        <f t="shared" si="2026"/>
        <v/>
      </c>
      <c r="DN187" s="30" t="str">
        <f t="shared" si="2027"/>
        <v/>
      </c>
      <c r="DO187" s="30" t="str">
        <f t="shared" si="2028"/>
        <v/>
      </c>
      <c r="DP187" s="30" t="str">
        <f t="shared" si="2029"/>
        <v/>
      </c>
      <c r="DQ187" s="30" t="str">
        <f t="shared" si="2030"/>
        <v/>
      </c>
      <c r="DR187" s="30" t="str">
        <f t="shared" si="2031"/>
        <v/>
      </c>
      <c r="DS187" s="30" t="str">
        <f t="shared" si="2032"/>
        <v/>
      </c>
      <c r="DT187" s="30" t="str">
        <f t="shared" si="2033"/>
        <v/>
      </c>
      <c r="DU187" s="30" t="str">
        <f t="shared" si="2034"/>
        <v/>
      </c>
      <c r="DV187" s="30" t="str">
        <f t="shared" si="2035"/>
        <v/>
      </c>
      <c r="DW187" s="30" t="str">
        <f t="shared" si="2036"/>
        <v/>
      </c>
      <c r="DX187" s="30" t="str">
        <f t="shared" si="2037"/>
        <v/>
      </c>
      <c r="DY187" s="30" t="str">
        <f t="shared" si="2038"/>
        <v/>
      </c>
      <c r="DZ187" s="30" t="str">
        <f t="shared" si="2039"/>
        <v/>
      </c>
      <c r="EA187" s="30" t="str">
        <f t="shared" si="2040"/>
        <v/>
      </c>
      <c r="EB187" s="30" t="str">
        <f t="shared" si="2041"/>
        <v/>
      </c>
      <c r="EC187" s="30" t="str">
        <f t="shared" si="2042"/>
        <v/>
      </c>
      <c r="ED187" s="30" t="str">
        <f t="shared" si="2043"/>
        <v/>
      </c>
      <c r="EE187" s="30" t="str">
        <f t="shared" si="2044"/>
        <v/>
      </c>
      <c r="EF187" s="30" t="str">
        <f t="shared" si="2045"/>
        <v/>
      </c>
      <c r="EG187" s="30" t="str">
        <f t="shared" si="2046"/>
        <v/>
      </c>
      <c r="EH187" s="30" t="str">
        <f t="shared" si="2047"/>
        <v/>
      </c>
      <c r="EI187" s="30" t="str">
        <f t="shared" si="2048"/>
        <v/>
      </c>
      <c r="EJ187" s="30" t="str">
        <f t="shared" si="2049"/>
        <v/>
      </c>
      <c r="EK187" s="30" t="str">
        <f t="shared" si="2050"/>
        <v/>
      </c>
      <c r="EL187" s="30" t="str">
        <f t="shared" si="2051"/>
        <v/>
      </c>
      <c r="EM187" s="30" t="str">
        <f t="shared" si="2052"/>
        <v/>
      </c>
      <c r="EN187" s="30" t="str">
        <f t="shared" si="2053"/>
        <v/>
      </c>
      <c r="EO187" s="30" t="str">
        <f t="shared" si="2054"/>
        <v/>
      </c>
      <c r="EP187" s="30" t="str">
        <f t="shared" si="2055"/>
        <v/>
      </c>
      <c r="EQ187" s="30" t="str">
        <f t="shared" si="2056"/>
        <v/>
      </c>
      <c r="ER187" s="30" t="str">
        <f t="shared" si="2057"/>
        <v/>
      </c>
      <c r="ES187" s="30" t="str">
        <f t="shared" si="2058"/>
        <v/>
      </c>
      <c r="ET187" s="30" t="str">
        <f t="shared" si="2059"/>
        <v/>
      </c>
      <c r="EU187" s="30" t="str">
        <f t="shared" si="2060"/>
        <v/>
      </c>
      <c r="EV187" s="30" t="str">
        <f t="shared" si="2061"/>
        <v/>
      </c>
      <c r="EW187" s="30" t="str">
        <f t="shared" si="2062"/>
        <v/>
      </c>
      <c r="EX187" s="30" t="str">
        <f t="shared" si="2063"/>
        <v/>
      </c>
      <c r="EY187" s="30" t="str">
        <f t="shared" si="2064"/>
        <v/>
      </c>
      <c r="EZ187" s="30" t="str">
        <f t="shared" si="2065"/>
        <v/>
      </c>
      <c r="FA187" s="30" t="str">
        <f t="shared" si="2066"/>
        <v/>
      </c>
      <c r="FB187" s="30" t="str">
        <f t="shared" si="2067"/>
        <v/>
      </c>
      <c r="FC187" s="30" t="str">
        <f t="shared" si="2068"/>
        <v/>
      </c>
      <c r="FD187" s="30" t="str">
        <f t="shared" si="2069"/>
        <v/>
      </c>
      <c r="FE187" s="30" t="str">
        <f t="shared" si="2070"/>
        <v/>
      </c>
      <c r="FF187" s="30" t="str">
        <f t="shared" si="2071"/>
        <v/>
      </c>
      <c r="FG187" s="30" t="str">
        <f t="shared" si="2072"/>
        <v/>
      </c>
      <c r="FH187" s="30" t="str">
        <f t="shared" si="2073"/>
        <v/>
      </c>
      <c r="FI187" s="30" t="str">
        <f t="shared" si="2074"/>
        <v/>
      </c>
      <c r="FJ187" s="30" t="str">
        <f t="shared" si="2075"/>
        <v/>
      </c>
      <c r="FK187" s="30" t="str">
        <f t="shared" si="2076"/>
        <v/>
      </c>
      <c r="FL187" s="30" t="str">
        <f t="shared" si="2077"/>
        <v/>
      </c>
      <c r="FM187" s="30" t="str">
        <f t="shared" si="2078"/>
        <v/>
      </c>
      <c r="FN187" s="30" t="str">
        <f t="shared" si="2079"/>
        <v/>
      </c>
      <c r="FO187" s="30" t="str">
        <f t="shared" si="2080"/>
        <v/>
      </c>
      <c r="FP187" s="30" t="str">
        <f t="shared" si="2081"/>
        <v/>
      </c>
      <c r="FQ187" s="30" t="str">
        <f t="shared" si="2082"/>
        <v/>
      </c>
      <c r="FR187" s="30" t="str">
        <f t="shared" si="2083"/>
        <v/>
      </c>
      <c r="FS187" s="30" t="str">
        <f t="shared" si="2084"/>
        <v/>
      </c>
    </row>
    <row r="188" spans="1:175" ht="16.5">
      <c r="A188" s="5"/>
      <c r="B188" s="6"/>
      <c r="C188" s="5"/>
      <c r="E188" s="35"/>
      <c r="T188" s="105"/>
      <c r="U188" s="32"/>
      <c r="CU188" s="45" t="str">
        <f t="shared" si="2014"/>
        <v>|n</v>
      </c>
      <c r="CW188" s="24"/>
      <c r="CX188" s="24"/>
      <c r="CY188" s="24"/>
      <c r="CZ188" s="24"/>
      <c r="DA188" s="24"/>
      <c r="DB188" s="30" t="str">
        <f t="shared" si="2015"/>
        <v/>
      </c>
      <c r="DC188" s="30" t="str">
        <f t="shared" si="2016"/>
        <v/>
      </c>
      <c r="DD188" s="30" t="str">
        <f t="shared" si="2017"/>
        <v/>
      </c>
      <c r="DE188" s="30" t="str">
        <f t="shared" si="2018"/>
        <v/>
      </c>
      <c r="DF188" s="30" t="str">
        <f t="shared" si="2019"/>
        <v/>
      </c>
      <c r="DG188" s="30" t="str">
        <f t="shared" si="2020"/>
        <v/>
      </c>
      <c r="DH188" s="30" t="str">
        <f t="shared" si="2021"/>
        <v/>
      </c>
      <c r="DI188" s="30" t="str">
        <f t="shared" si="2022"/>
        <v/>
      </c>
      <c r="DJ188" s="30" t="str">
        <f t="shared" si="2023"/>
        <v/>
      </c>
      <c r="DK188" s="30" t="str">
        <f t="shared" si="2024"/>
        <v/>
      </c>
      <c r="DL188" s="30" t="str">
        <f t="shared" si="2025"/>
        <v/>
      </c>
      <c r="DM188" s="30" t="str">
        <f t="shared" si="2026"/>
        <v/>
      </c>
      <c r="DN188" s="30" t="str">
        <f t="shared" si="2027"/>
        <v/>
      </c>
      <c r="DO188" s="30" t="str">
        <f t="shared" si="2028"/>
        <v/>
      </c>
      <c r="DP188" s="30" t="str">
        <f t="shared" si="2029"/>
        <v/>
      </c>
      <c r="DQ188" s="30" t="str">
        <f t="shared" si="2030"/>
        <v/>
      </c>
      <c r="DR188" s="30" t="str">
        <f t="shared" si="2031"/>
        <v/>
      </c>
      <c r="DS188" s="30" t="str">
        <f t="shared" si="2032"/>
        <v/>
      </c>
      <c r="DT188" s="30" t="str">
        <f t="shared" si="2033"/>
        <v/>
      </c>
      <c r="DU188" s="30" t="str">
        <f t="shared" si="2034"/>
        <v/>
      </c>
      <c r="DV188" s="30" t="str">
        <f t="shared" si="2035"/>
        <v/>
      </c>
      <c r="DW188" s="30" t="str">
        <f t="shared" si="2036"/>
        <v/>
      </c>
      <c r="DX188" s="30" t="str">
        <f t="shared" si="2037"/>
        <v/>
      </c>
      <c r="DY188" s="30" t="str">
        <f t="shared" si="2038"/>
        <v/>
      </c>
      <c r="DZ188" s="30" t="str">
        <f t="shared" si="2039"/>
        <v/>
      </c>
      <c r="EA188" s="30" t="str">
        <f t="shared" si="2040"/>
        <v/>
      </c>
      <c r="EB188" s="30" t="str">
        <f t="shared" si="2041"/>
        <v/>
      </c>
      <c r="EC188" s="30" t="str">
        <f t="shared" si="2042"/>
        <v/>
      </c>
      <c r="ED188" s="30" t="str">
        <f t="shared" si="2043"/>
        <v/>
      </c>
      <c r="EE188" s="30" t="str">
        <f t="shared" si="2044"/>
        <v/>
      </c>
      <c r="EF188" s="30" t="str">
        <f t="shared" si="2045"/>
        <v/>
      </c>
      <c r="EG188" s="30" t="str">
        <f t="shared" si="2046"/>
        <v/>
      </c>
      <c r="EH188" s="30" t="str">
        <f t="shared" si="2047"/>
        <v/>
      </c>
      <c r="EI188" s="30" t="str">
        <f t="shared" si="2048"/>
        <v/>
      </c>
      <c r="EJ188" s="30" t="str">
        <f t="shared" si="2049"/>
        <v/>
      </c>
      <c r="EK188" s="30" t="str">
        <f t="shared" si="2050"/>
        <v/>
      </c>
      <c r="EL188" s="30" t="str">
        <f t="shared" si="2051"/>
        <v/>
      </c>
      <c r="EM188" s="30" t="str">
        <f t="shared" si="2052"/>
        <v/>
      </c>
      <c r="EN188" s="30" t="str">
        <f t="shared" si="2053"/>
        <v/>
      </c>
      <c r="EO188" s="30" t="str">
        <f t="shared" si="2054"/>
        <v/>
      </c>
      <c r="EP188" s="30" t="str">
        <f t="shared" si="2055"/>
        <v/>
      </c>
      <c r="EQ188" s="30" t="str">
        <f t="shared" si="2056"/>
        <v/>
      </c>
      <c r="ER188" s="30" t="str">
        <f t="shared" si="2057"/>
        <v/>
      </c>
      <c r="ES188" s="30" t="str">
        <f t="shared" si="2058"/>
        <v/>
      </c>
      <c r="ET188" s="30" t="str">
        <f t="shared" si="2059"/>
        <v/>
      </c>
      <c r="EU188" s="30" t="str">
        <f t="shared" si="2060"/>
        <v/>
      </c>
      <c r="EV188" s="30" t="str">
        <f t="shared" si="2061"/>
        <v/>
      </c>
      <c r="EW188" s="30" t="str">
        <f t="shared" si="2062"/>
        <v/>
      </c>
      <c r="EX188" s="30" t="str">
        <f t="shared" si="2063"/>
        <v/>
      </c>
      <c r="EY188" s="30" t="str">
        <f t="shared" si="2064"/>
        <v/>
      </c>
      <c r="EZ188" s="30" t="str">
        <f t="shared" si="2065"/>
        <v/>
      </c>
      <c r="FA188" s="30" t="str">
        <f t="shared" si="2066"/>
        <v/>
      </c>
      <c r="FB188" s="30" t="str">
        <f t="shared" si="2067"/>
        <v/>
      </c>
      <c r="FC188" s="30" t="str">
        <f t="shared" si="2068"/>
        <v/>
      </c>
      <c r="FD188" s="30" t="str">
        <f t="shared" si="2069"/>
        <v/>
      </c>
      <c r="FE188" s="30" t="str">
        <f t="shared" si="2070"/>
        <v/>
      </c>
      <c r="FF188" s="30" t="str">
        <f t="shared" si="2071"/>
        <v/>
      </c>
      <c r="FG188" s="30" t="str">
        <f t="shared" si="2072"/>
        <v/>
      </c>
      <c r="FH188" s="30" t="str">
        <f t="shared" si="2073"/>
        <v/>
      </c>
      <c r="FI188" s="30" t="str">
        <f t="shared" si="2074"/>
        <v/>
      </c>
      <c r="FJ188" s="30" t="str">
        <f t="shared" si="2075"/>
        <v/>
      </c>
      <c r="FK188" s="30" t="str">
        <f t="shared" si="2076"/>
        <v/>
      </c>
      <c r="FL188" s="30" t="str">
        <f t="shared" si="2077"/>
        <v/>
      </c>
      <c r="FM188" s="30" t="str">
        <f t="shared" si="2078"/>
        <v/>
      </c>
      <c r="FN188" s="30" t="str">
        <f t="shared" si="2079"/>
        <v/>
      </c>
      <c r="FO188" s="30" t="str">
        <f t="shared" si="2080"/>
        <v/>
      </c>
      <c r="FP188" s="30" t="str">
        <f t="shared" si="2081"/>
        <v/>
      </c>
      <c r="FQ188" s="30" t="str">
        <f t="shared" si="2082"/>
        <v/>
      </c>
      <c r="FR188" s="30" t="str">
        <f t="shared" si="2083"/>
        <v/>
      </c>
      <c r="FS188" s="30" t="str">
        <f t="shared" si="2084"/>
        <v/>
      </c>
    </row>
    <row r="189" spans="1:175" ht="16.5">
      <c r="A189" s="5"/>
      <c r="B189" s="6"/>
      <c r="C189" s="5"/>
      <c r="E189" s="35"/>
      <c r="T189" s="105"/>
      <c r="U189" s="32"/>
      <c r="CU189" s="45" t="str">
        <f t="shared" si="2014"/>
        <v>|n</v>
      </c>
      <c r="CW189" s="24"/>
      <c r="CX189" s="24"/>
      <c r="CY189" s="24"/>
      <c r="CZ189" s="24"/>
      <c r="DA189" s="24"/>
      <c r="DB189" s="30" t="str">
        <f t="shared" si="2015"/>
        <v/>
      </c>
      <c r="DC189" s="30" t="str">
        <f t="shared" si="2016"/>
        <v/>
      </c>
      <c r="DD189" s="30" t="str">
        <f t="shared" si="2017"/>
        <v/>
      </c>
      <c r="DE189" s="30" t="str">
        <f t="shared" si="2018"/>
        <v/>
      </c>
      <c r="DF189" s="30" t="str">
        <f t="shared" si="2019"/>
        <v/>
      </c>
      <c r="DG189" s="30" t="str">
        <f t="shared" si="2020"/>
        <v/>
      </c>
      <c r="DH189" s="30" t="str">
        <f t="shared" si="2021"/>
        <v/>
      </c>
      <c r="DI189" s="30" t="str">
        <f t="shared" si="2022"/>
        <v/>
      </c>
      <c r="DJ189" s="30" t="str">
        <f t="shared" si="2023"/>
        <v/>
      </c>
      <c r="DK189" s="30" t="str">
        <f t="shared" si="2024"/>
        <v/>
      </c>
      <c r="DL189" s="30" t="str">
        <f t="shared" si="2025"/>
        <v/>
      </c>
      <c r="DM189" s="30" t="str">
        <f t="shared" si="2026"/>
        <v/>
      </c>
      <c r="DN189" s="30" t="str">
        <f t="shared" si="2027"/>
        <v/>
      </c>
      <c r="DO189" s="30" t="str">
        <f t="shared" si="2028"/>
        <v/>
      </c>
      <c r="DP189" s="30" t="str">
        <f t="shared" si="2029"/>
        <v/>
      </c>
      <c r="DQ189" s="30" t="str">
        <f t="shared" si="2030"/>
        <v/>
      </c>
      <c r="DR189" s="30" t="str">
        <f t="shared" si="2031"/>
        <v/>
      </c>
      <c r="DS189" s="30" t="str">
        <f t="shared" si="2032"/>
        <v/>
      </c>
      <c r="DT189" s="30" t="str">
        <f t="shared" si="2033"/>
        <v/>
      </c>
      <c r="DU189" s="30" t="str">
        <f t="shared" si="2034"/>
        <v/>
      </c>
      <c r="DV189" s="30" t="str">
        <f t="shared" si="2035"/>
        <v/>
      </c>
      <c r="DW189" s="30" t="str">
        <f t="shared" si="2036"/>
        <v/>
      </c>
      <c r="DX189" s="30" t="str">
        <f t="shared" si="2037"/>
        <v/>
      </c>
      <c r="DY189" s="30" t="str">
        <f t="shared" si="2038"/>
        <v/>
      </c>
      <c r="DZ189" s="30" t="str">
        <f t="shared" si="2039"/>
        <v/>
      </c>
      <c r="EA189" s="30" t="str">
        <f t="shared" si="2040"/>
        <v/>
      </c>
      <c r="EB189" s="30" t="str">
        <f t="shared" si="2041"/>
        <v/>
      </c>
      <c r="EC189" s="30" t="str">
        <f t="shared" si="2042"/>
        <v/>
      </c>
      <c r="ED189" s="30" t="str">
        <f t="shared" si="2043"/>
        <v/>
      </c>
      <c r="EE189" s="30" t="str">
        <f t="shared" si="2044"/>
        <v/>
      </c>
      <c r="EF189" s="30" t="str">
        <f t="shared" si="2045"/>
        <v/>
      </c>
      <c r="EG189" s="30" t="str">
        <f t="shared" si="2046"/>
        <v/>
      </c>
      <c r="EH189" s="30" t="str">
        <f t="shared" si="2047"/>
        <v/>
      </c>
      <c r="EI189" s="30" t="str">
        <f t="shared" si="2048"/>
        <v/>
      </c>
      <c r="EJ189" s="30" t="str">
        <f t="shared" si="2049"/>
        <v/>
      </c>
      <c r="EK189" s="30" t="str">
        <f t="shared" si="2050"/>
        <v/>
      </c>
      <c r="EL189" s="30" t="str">
        <f t="shared" si="2051"/>
        <v/>
      </c>
      <c r="EM189" s="30" t="str">
        <f t="shared" si="2052"/>
        <v/>
      </c>
      <c r="EN189" s="30" t="str">
        <f t="shared" si="2053"/>
        <v/>
      </c>
      <c r="EO189" s="30" t="str">
        <f t="shared" si="2054"/>
        <v/>
      </c>
      <c r="EP189" s="30" t="str">
        <f t="shared" si="2055"/>
        <v/>
      </c>
      <c r="EQ189" s="30" t="str">
        <f t="shared" si="2056"/>
        <v/>
      </c>
      <c r="ER189" s="30" t="str">
        <f t="shared" si="2057"/>
        <v/>
      </c>
      <c r="ES189" s="30" t="str">
        <f t="shared" si="2058"/>
        <v/>
      </c>
      <c r="ET189" s="30" t="str">
        <f t="shared" si="2059"/>
        <v/>
      </c>
      <c r="EU189" s="30" t="str">
        <f t="shared" si="2060"/>
        <v/>
      </c>
      <c r="EV189" s="30" t="str">
        <f t="shared" si="2061"/>
        <v/>
      </c>
      <c r="EW189" s="30" t="str">
        <f t="shared" si="2062"/>
        <v/>
      </c>
      <c r="EX189" s="30" t="str">
        <f t="shared" si="2063"/>
        <v/>
      </c>
      <c r="EY189" s="30" t="str">
        <f t="shared" si="2064"/>
        <v/>
      </c>
      <c r="EZ189" s="30" t="str">
        <f t="shared" si="2065"/>
        <v/>
      </c>
      <c r="FA189" s="30" t="str">
        <f t="shared" si="2066"/>
        <v/>
      </c>
      <c r="FB189" s="30" t="str">
        <f t="shared" si="2067"/>
        <v/>
      </c>
      <c r="FC189" s="30" t="str">
        <f t="shared" si="2068"/>
        <v/>
      </c>
      <c r="FD189" s="30" t="str">
        <f t="shared" si="2069"/>
        <v/>
      </c>
      <c r="FE189" s="30" t="str">
        <f t="shared" si="2070"/>
        <v/>
      </c>
      <c r="FF189" s="30" t="str">
        <f t="shared" si="2071"/>
        <v/>
      </c>
      <c r="FG189" s="30" t="str">
        <f t="shared" si="2072"/>
        <v/>
      </c>
      <c r="FH189" s="30" t="str">
        <f t="shared" si="2073"/>
        <v/>
      </c>
      <c r="FI189" s="30" t="str">
        <f t="shared" si="2074"/>
        <v/>
      </c>
      <c r="FJ189" s="30" t="str">
        <f t="shared" si="2075"/>
        <v/>
      </c>
      <c r="FK189" s="30" t="str">
        <f t="shared" si="2076"/>
        <v/>
      </c>
      <c r="FL189" s="30" t="str">
        <f t="shared" si="2077"/>
        <v/>
      </c>
      <c r="FM189" s="30" t="str">
        <f t="shared" si="2078"/>
        <v/>
      </c>
      <c r="FN189" s="30" t="str">
        <f t="shared" si="2079"/>
        <v/>
      </c>
      <c r="FO189" s="30" t="str">
        <f t="shared" si="2080"/>
        <v/>
      </c>
      <c r="FP189" s="30" t="str">
        <f t="shared" si="2081"/>
        <v/>
      </c>
      <c r="FQ189" s="30" t="str">
        <f t="shared" si="2082"/>
        <v/>
      </c>
      <c r="FR189" s="30" t="str">
        <f t="shared" si="2083"/>
        <v/>
      </c>
      <c r="FS189" s="30" t="str">
        <f t="shared" si="2084"/>
        <v/>
      </c>
    </row>
    <row r="190" spans="1:175" ht="16.5">
      <c r="A190" s="5"/>
      <c r="B190" s="6"/>
      <c r="C190" s="5"/>
      <c r="E190" s="35"/>
      <c r="T190" s="105"/>
      <c r="U190" s="32"/>
      <c r="CU190" s="45" t="str">
        <f t="shared" si="2014"/>
        <v>|n</v>
      </c>
      <c r="CW190" s="24"/>
      <c r="CX190" s="24"/>
      <c r="CY190" s="24"/>
      <c r="CZ190" s="24"/>
      <c r="DA190" s="24"/>
      <c r="DB190" s="30" t="str">
        <f t="shared" si="2015"/>
        <v/>
      </c>
      <c r="DC190" s="30" t="str">
        <f t="shared" si="2016"/>
        <v/>
      </c>
      <c r="DD190" s="30" t="str">
        <f t="shared" si="2017"/>
        <v/>
      </c>
      <c r="DE190" s="30" t="str">
        <f t="shared" si="2018"/>
        <v/>
      </c>
      <c r="DF190" s="30" t="str">
        <f t="shared" si="2019"/>
        <v/>
      </c>
      <c r="DG190" s="30" t="str">
        <f t="shared" si="2020"/>
        <v/>
      </c>
      <c r="DH190" s="30" t="str">
        <f t="shared" si="2021"/>
        <v/>
      </c>
      <c r="DI190" s="30" t="str">
        <f t="shared" si="2022"/>
        <v/>
      </c>
      <c r="DJ190" s="30" t="str">
        <f t="shared" si="2023"/>
        <v/>
      </c>
      <c r="DK190" s="30" t="str">
        <f t="shared" si="2024"/>
        <v/>
      </c>
      <c r="DL190" s="30" t="str">
        <f t="shared" si="2025"/>
        <v/>
      </c>
      <c r="DM190" s="30" t="str">
        <f t="shared" si="2026"/>
        <v/>
      </c>
      <c r="DN190" s="30" t="str">
        <f t="shared" si="2027"/>
        <v/>
      </c>
      <c r="DO190" s="30" t="str">
        <f t="shared" si="2028"/>
        <v/>
      </c>
      <c r="DP190" s="30" t="str">
        <f t="shared" si="2029"/>
        <v/>
      </c>
      <c r="DQ190" s="30" t="str">
        <f t="shared" si="2030"/>
        <v/>
      </c>
      <c r="DR190" s="30" t="str">
        <f t="shared" si="2031"/>
        <v/>
      </c>
      <c r="DS190" s="30" t="str">
        <f t="shared" si="2032"/>
        <v/>
      </c>
      <c r="DT190" s="30" t="str">
        <f t="shared" si="2033"/>
        <v/>
      </c>
      <c r="DU190" s="30" t="str">
        <f t="shared" si="2034"/>
        <v/>
      </c>
      <c r="DV190" s="30" t="str">
        <f t="shared" si="2035"/>
        <v/>
      </c>
      <c r="DW190" s="30" t="str">
        <f t="shared" si="2036"/>
        <v/>
      </c>
      <c r="DX190" s="30" t="str">
        <f t="shared" si="2037"/>
        <v/>
      </c>
      <c r="DY190" s="30" t="str">
        <f t="shared" si="2038"/>
        <v/>
      </c>
      <c r="DZ190" s="30" t="str">
        <f t="shared" si="2039"/>
        <v/>
      </c>
      <c r="EA190" s="30" t="str">
        <f t="shared" si="2040"/>
        <v/>
      </c>
      <c r="EB190" s="30" t="str">
        <f t="shared" si="2041"/>
        <v/>
      </c>
      <c r="EC190" s="30" t="str">
        <f t="shared" si="2042"/>
        <v/>
      </c>
      <c r="ED190" s="30" t="str">
        <f t="shared" si="2043"/>
        <v/>
      </c>
      <c r="EE190" s="30" t="str">
        <f t="shared" si="2044"/>
        <v/>
      </c>
      <c r="EF190" s="30" t="str">
        <f t="shared" si="2045"/>
        <v/>
      </c>
      <c r="EG190" s="30" t="str">
        <f t="shared" si="2046"/>
        <v/>
      </c>
      <c r="EH190" s="30" t="str">
        <f t="shared" si="2047"/>
        <v/>
      </c>
      <c r="EI190" s="30" t="str">
        <f t="shared" si="2048"/>
        <v/>
      </c>
      <c r="EJ190" s="30" t="str">
        <f t="shared" si="2049"/>
        <v/>
      </c>
      <c r="EK190" s="30" t="str">
        <f t="shared" si="2050"/>
        <v/>
      </c>
      <c r="EL190" s="30" t="str">
        <f t="shared" si="2051"/>
        <v/>
      </c>
      <c r="EM190" s="30" t="str">
        <f t="shared" si="2052"/>
        <v/>
      </c>
      <c r="EN190" s="30" t="str">
        <f t="shared" si="2053"/>
        <v/>
      </c>
      <c r="EO190" s="30" t="str">
        <f t="shared" si="2054"/>
        <v/>
      </c>
      <c r="EP190" s="30" t="str">
        <f t="shared" si="2055"/>
        <v/>
      </c>
      <c r="EQ190" s="30" t="str">
        <f t="shared" si="2056"/>
        <v/>
      </c>
      <c r="ER190" s="30" t="str">
        <f t="shared" si="2057"/>
        <v/>
      </c>
      <c r="ES190" s="30" t="str">
        <f t="shared" si="2058"/>
        <v/>
      </c>
      <c r="ET190" s="30" t="str">
        <f t="shared" si="2059"/>
        <v/>
      </c>
      <c r="EU190" s="30" t="str">
        <f t="shared" si="2060"/>
        <v/>
      </c>
      <c r="EV190" s="30" t="str">
        <f t="shared" si="2061"/>
        <v/>
      </c>
      <c r="EW190" s="30" t="str">
        <f t="shared" si="2062"/>
        <v/>
      </c>
      <c r="EX190" s="30" t="str">
        <f t="shared" si="2063"/>
        <v/>
      </c>
      <c r="EY190" s="30" t="str">
        <f t="shared" si="2064"/>
        <v/>
      </c>
      <c r="EZ190" s="30" t="str">
        <f t="shared" si="2065"/>
        <v/>
      </c>
      <c r="FA190" s="30" t="str">
        <f t="shared" si="2066"/>
        <v/>
      </c>
      <c r="FB190" s="30" t="str">
        <f t="shared" si="2067"/>
        <v/>
      </c>
      <c r="FC190" s="30" t="str">
        <f t="shared" si="2068"/>
        <v/>
      </c>
      <c r="FD190" s="30" t="str">
        <f t="shared" si="2069"/>
        <v/>
      </c>
      <c r="FE190" s="30" t="str">
        <f t="shared" si="2070"/>
        <v/>
      </c>
      <c r="FF190" s="30" t="str">
        <f t="shared" si="2071"/>
        <v/>
      </c>
      <c r="FG190" s="30" t="str">
        <f t="shared" si="2072"/>
        <v/>
      </c>
      <c r="FH190" s="30" t="str">
        <f t="shared" si="2073"/>
        <v/>
      </c>
      <c r="FI190" s="30" t="str">
        <f t="shared" si="2074"/>
        <v/>
      </c>
      <c r="FJ190" s="30" t="str">
        <f t="shared" si="2075"/>
        <v/>
      </c>
      <c r="FK190" s="30" t="str">
        <f t="shared" si="2076"/>
        <v/>
      </c>
      <c r="FL190" s="30" t="str">
        <f t="shared" si="2077"/>
        <v/>
      </c>
      <c r="FM190" s="30" t="str">
        <f t="shared" si="2078"/>
        <v/>
      </c>
      <c r="FN190" s="30" t="str">
        <f t="shared" si="2079"/>
        <v/>
      </c>
      <c r="FO190" s="30" t="str">
        <f t="shared" si="2080"/>
        <v/>
      </c>
      <c r="FP190" s="30" t="str">
        <f t="shared" si="2081"/>
        <v/>
      </c>
      <c r="FQ190" s="30" t="str">
        <f t="shared" si="2082"/>
        <v/>
      </c>
      <c r="FR190" s="30" t="str">
        <f t="shared" si="2083"/>
        <v/>
      </c>
      <c r="FS190" s="30" t="str">
        <f t="shared" si="2084"/>
        <v/>
      </c>
    </row>
    <row r="191" spans="1:175" ht="16.5">
      <c r="A191" s="5"/>
      <c r="B191" s="6"/>
      <c r="C191" s="5"/>
      <c r="E191" s="35"/>
      <c r="T191" s="105"/>
      <c r="U191" s="32"/>
      <c r="CU191" s="45" t="str">
        <f t="shared" si="2014"/>
        <v>|n</v>
      </c>
      <c r="CW191" s="24"/>
      <c r="CX191" s="24"/>
      <c r="CY191" s="24"/>
      <c r="CZ191" s="24"/>
      <c r="DA191" s="24"/>
      <c r="DB191" s="30" t="str">
        <f t="shared" si="2015"/>
        <v/>
      </c>
      <c r="DC191" s="30" t="str">
        <f t="shared" si="2016"/>
        <v/>
      </c>
      <c r="DD191" s="30" t="str">
        <f t="shared" si="2017"/>
        <v/>
      </c>
      <c r="DE191" s="30" t="str">
        <f t="shared" si="2018"/>
        <v/>
      </c>
      <c r="DF191" s="30" t="str">
        <f t="shared" si="2019"/>
        <v/>
      </c>
      <c r="DG191" s="30" t="str">
        <f t="shared" si="2020"/>
        <v/>
      </c>
      <c r="DH191" s="30" t="str">
        <f t="shared" si="2021"/>
        <v/>
      </c>
      <c r="DI191" s="30" t="str">
        <f t="shared" si="2022"/>
        <v/>
      </c>
      <c r="DJ191" s="30" t="str">
        <f t="shared" si="2023"/>
        <v/>
      </c>
      <c r="DK191" s="30" t="str">
        <f t="shared" si="2024"/>
        <v/>
      </c>
      <c r="DL191" s="30" t="str">
        <f t="shared" si="2025"/>
        <v/>
      </c>
      <c r="DM191" s="30" t="str">
        <f t="shared" si="2026"/>
        <v/>
      </c>
      <c r="DN191" s="30" t="str">
        <f t="shared" si="2027"/>
        <v/>
      </c>
      <c r="DO191" s="30" t="str">
        <f t="shared" si="2028"/>
        <v/>
      </c>
      <c r="DP191" s="30" t="str">
        <f t="shared" si="2029"/>
        <v/>
      </c>
      <c r="DQ191" s="30" t="str">
        <f t="shared" si="2030"/>
        <v/>
      </c>
      <c r="DR191" s="30" t="str">
        <f t="shared" si="2031"/>
        <v/>
      </c>
      <c r="DS191" s="30" t="str">
        <f t="shared" si="2032"/>
        <v/>
      </c>
      <c r="DT191" s="30" t="str">
        <f t="shared" si="2033"/>
        <v/>
      </c>
      <c r="DU191" s="30" t="str">
        <f t="shared" si="2034"/>
        <v/>
      </c>
      <c r="DV191" s="30" t="str">
        <f t="shared" si="2035"/>
        <v/>
      </c>
      <c r="DW191" s="30" t="str">
        <f t="shared" si="2036"/>
        <v/>
      </c>
      <c r="DX191" s="30" t="str">
        <f t="shared" si="2037"/>
        <v/>
      </c>
      <c r="DY191" s="30" t="str">
        <f t="shared" si="2038"/>
        <v/>
      </c>
      <c r="DZ191" s="30" t="str">
        <f t="shared" si="2039"/>
        <v/>
      </c>
      <c r="EA191" s="30" t="str">
        <f t="shared" si="2040"/>
        <v/>
      </c>
      <c r="EB191" s="30" t="str">
        <f t="shared" si="2041"/>
        <v/>
      </c>
      <c r="EC191" s="30" t="str">
        <f t="shared" si="2042"/>
        <v/>
      </c>
      <c r="ED191" s="30" t="str">
        <f t="shared" si="2043"/>
        <v/>
      </c>
      <c r="EE191" s="30" t="str">
        <f t="shared" si="2044"/>
        <v/>
      </c>
      <c r="EF191" s="30" t="str">
        <f t="shared" si="2045"/>
        <v/>
      </c>
      <c r="EG191" s="30" t="str">
        <f t="shared" si="2046"/>
        <v/>
      </c>
      <c r="EH191" s="30" t="str">
        <f t="shared" si="2047"/>
        <v/>
      </c>
      <c r="EI191" s="30" t="str">
        <f t="shared" si="2048"/>
        <v/>
      </c>
      <c r="EJ191" s="30" t="str">
        <f t="shared" si="2049"/>
        <v/>
      </c>
      <c r="EK191" s="30" t="str">
        <f t="shared" si="2050"/>
        <v/>
      </c>
      <c r="EL191" s="30" t="str">
        <f t="shared" si="2051"/>
        <v/>
      </c>
      <c r="EM191" s="30" t="str">
        <f t="shared" si="2052"/>
        <v/>
      </c>
      <c r="EN191" s="30" t="str">
        <f t="shared" si="2053"/>
        <v/>
      </c>
      <c r="EO191" s="30" t="str">
        <f t="shared" si="2054"/>
        <v/>
      </c>
      <c r="EP191" s="30" t="str">
        <f t="shared" si="2055"/>
        <v/>
      </c>
      <c r="EQ191" s="30" t="str">
        <f t="shared" si="2056"/>
        <v/>
      </c>
      <c r="ER191" s="30" t="str">
        <f t="shared" si="2057"/>
        <v/>
      </c>
      <c r="ES191" s="30" t="str">
        <f t="shared" si="2058"/>
        <v/>
      </c>
      <c r="ET191" s="30" t="str">
        <f t="shared" si="2059"/>
        <v/>
      </c>
      <c r="EU191" s="30" t="str">
        <f t="shared" si="2060"/>
        <v/>
      </c>
      <c r="EV191" s="30" t="str">
        <f t="shared" si="2061"/>
        <v/>
      </c>
      <c r="EW191" s="30" t="str">
        <f t="shared" si="2062"/>
        <v/>
      </c>
      <c r="EX191" s="30" t="str">
        <f t="shared" si="2063"/>
        <v/>
      </c>
      <c r="EY191" s="30" t="str">
        <f t="shared" si="2064"/>
        <v/>
      </c>
      <c r="EZ191" s="30" t="str">
        <f t="shared" si="2065"/>
        <v/>
      </c>
      <c r="FA191" s="30" t="str">
        <f t="shared" si="2066"/>
        <v/>
      </c>
      <c r="FB191" s="30" t="str">
        <f t="shared" si="2067"/>
        <v/>
      </c>
      <c r="FC191" s="30" t="str">
        <f t="shared" si="2068"/>
        <v/>
      </c>
      <c r="FD191" s="30" t="str">
        <f t="shared" si="2069"/>
        <v/>
      </c>
      <c r="FE191" s="30" t="str">
        <f t="shared" si="2070"/>
        <v/>
      </c>
      <c r="FF191" s="30" t="str">
        <f t="shared" si="2071"/>
        <v/>
      </c>
      <c r="FG191" s="30" t="str">
        <f t="shared" si="2072"/>
        <v/>
      </c>
      <c r="FH191" s="30" t="str">
        <f t="shared" si="2073"/>
        <v/>
      </c>
      <c r="FI191" s="30" t="str">
        <f t="shared" si="2074"/>
        <v/>
      </c>
      <c r="FJ191" s="30" t="str">
        <f t="shared" si="2075"/>
        <v/>
      </c>
      <c r="FK191" s="30" t="str">
        <f t="shared" si="2076"/>
        <v/>
      </c>
      <c r="FL191" s="30" t="str">
        <f t="shared" si="2077"/>
        <v/>
      </c>
      <c r="FM191" s="30" t="str">
        <f t="shared" si="2078"/>
        <v/>
      </c>
      <c r="FN191" s="30" t="str">
        <f t="shared" si="2079"/>
        <v/>
      </c>
      <c r="FO191" s="30" t="str">
        <f t="shared" si="2080"/>
        <v/>
      </c>
      <c r="FP191" s="30" t="str">
        <f t="shared" si="2081"/>
        <v/>
      </c>
      <c r="FQ191" s="30" t="str">
        <f t="shared" si="2082"/>
        <v/>
      </c>
      <c r="FR191" s="30" t="str">
        <f t="shared" si="2083"/>
        <v/>
      </c>
      <c r="FS191" s="30" t="str">
        <f t="shared" si="2084"/>
        <v/>
      </c>
    </row>
    <row r="192" spans="1:175" ht="16.5">
      <c r="A192" s="5"/>
      <c r="B192" s="6"/>
      <c r="C192" s="5"/>
      <c r="E192" s="35"/>
      <c r="T192" s="105"/>
      <c r="U192" s="32"/>
      <c r="CU192" s="45" t="str">
        <f t="shared" si="2014"/>
        <v>|n</v>
      </c>
      <c r="CW192" s="24"/>
      <c r="CX192" s="24"/>
      <c r="CY192" s="24"/>
      <c r="CZ192" s="24"/>
      <c r="DA192" s="24"/>
      <c r="DB192" s="30" t="str">
        <f t="shared" si="2015"/>
        <v/>
      </c>
      <c r="DC192" s="30" t="str">
        <f t="shared" si="2016"/>
        <v/>
      </c>
      <c r="DD192" s="30" t="str">
        <f t="shared" si="2017"/>
        <v/>
      </c>
      <c r="DE192" s="30" t="str">
        <f t="shared" si="2018"/>
        <v/>
      </c>
      <c r="DF192" s="30" t="str">
        <f t="shared" si="2019"/>
        <v/>
      </c>
      <c r="DG192" s="30" t="str">
        <f t="shared" si="2020"/>
        <v/>
      </c>
      <c r="DH192" s="30" t="str">
        <f t="shared" si="2021"/>
        <v/>
      </c>
      <c r="DI192" s="30" t="str">
        <f t="shared" si="2022"/>
        <v/>
      </c>
      <c r="DJ192" s="30" t="str">
        <f t="shared" si="2023"/>
        <v/>
      </c>
      <c r="DK192" s="30" t="str">
        <f t="shared" si="2024"/>
        <v/>
      </c>
      <c r="DL192" s="30" t="str">
        <f t="shared" si="2025"/>
        <v/>
      </c>
      <c r="DM192" s="30" t="str">
        <f t="shared" si="2026"/>
        <v/>
      </c>
      <c r="DN192" s="30" t="str">
        <f t="shared" si="2027"/>
        <v/>
      </c>
      <c r="DO192" s="30" t="str">
        <f t="shared" si="2028"/>
        <v/>
      </c>
      <c r="DP192" s="30" t="str">
        <f t="shared" si="2029"/>
        <v/>
      </c>
      <c r="DQ192" s="30" t="str">
        <f t="shared" si="2030"/>
        <v/>
      </c>
      <c r="DR192" s="30" t="str">
        <f t="shared" si="2031"/>
        <v/>
      </c>
      <c r="DS192" s="30" t="str">
        <f t="shared" si="2032"/>
        <v/>
      </c>
      <c r="DT192" s="30" t="str">
        <f t="shared" si="2033"/>
        <v/>
      </c>
      <c r="DU192" s="30" t="str">
        <f t="shared" si="2034"/>
        <v/>
      </c>
      <c r="DV192" s="30" t="str">
        <f t="shared" si="2035"/>
        <v/>
      </c>
      <c r="DW192" s="30" t="str">
        <f t="shared" si="2036"/>
        <v/>
      </c>
      <c r="DX192" s="30" t="str">
        <f t="shared" si="2037"/>
        <v/>
      </c>
      <c r="DY192" s="30" t="str">
        <f t="shared" si="2038"/>
        <v/>
      </c>
      <c r="DZ192" s="30" t="str">
        <f t="shared" si="2039"/>
        <v/>
      </c>
      <c r="EA192" s="30" t="str">
        <f t="shared" si="2040"/>
        <v/>
      </c>
      <c r="EB192" s="30" t="str">
        <f t="shared" si="2041"/>
        <v/>
      </c>
      <c r="EC192" s="30" t="str">
        <f t="shared" si="2042"/>
        <v/>
      </c>
      <c r="ED192" s="30" t="str">
        <f t="shared" si="2043"/>
        <v/>
      </c>
      <c r="EE192" s="30" t="str">
        <f t="shared" si="2044"/>
        <v/>
      </c>
      <c r="EF192" s="30" t="str">
        <f t="shared" si="2045"/>
        <v/>
      </c>
      <c r="EG192" s="30" t="str">
        <f t="shared" si="2046"/>
        <v/>
      </c>
      <c r="EH192" s="30" t="str">
        <f t="shared" si="2047"/>
        <v/>
      </c>
      <c r="EI192" s="30" t="str">
        <f t="shared" si="2048"/>
        <v/>
      </c>
      <c r="EJ192" s="30" t="str">
        <f t="shared" si="2049"/>
        <v/>
      </c>
      <c r="EK192" s="30" t="str">
        <f t="shared" si="2050"/>
        <v/>
      </c>
      <c r="EL192" s="30" t="str">
        <f t="shared" si="2051"/>
        <v/>
      </c>
      <c r="EM192" s="30" t="str">
        <f t="shared" si="2052"/>
        <v/>
      </c>
      <c r="EN192" s="30" t="str">
        <f t="shared" si="2053"/>
        <v/>
      </c>
      <c r="EO192" s="30" t="str">
        <f t="shared" si="2054"/>
        <v/>
      </c>
      <c r="EP192" s="30" t="str">
        <f t="shared" si="2055"/>
        <v/>
      </c>
      <c r="EQ192" s="30" t="str">
        <f t="shared" si="2056"/>
        <v/>
      </c>
      <c r="ER192" s="30" t="str">
        <f t="shared" si="2057"/>
        <v/>
      </c>
      <c r="ES192" s="30" t="str">
        <f t="shared" si="2058"/>
        <v/>
      </c>
      <c r="ET192" s="30" t="str">
        <f t="shared" si="2059"/>
        <v/>
      </c>
      <c r="EU192" s="30" t="str">
        <f t="shared" si="2060"/>
        <v/>
      </c>
      <c r="EV192" s="30" t="str">
        <f t="shared" si="2061"/>
        <v/>
      </c>
      <c r="EW192" s="30" t="str">
        <f t="shared" si="2062"/>
        <v/>
      </c>
      <c r="EX192" s="30" t="str">
        <f t="shared" si="2063"/>
        <v/>
      </c>
      <c r="EY192" s="30" t="str">
        <f t="shared" si="2064"/>
        <v/>
      </c>
      <c r="EZ192" s="30" t="str">
        <f t="shared" si="2065"/>
        <v/>
      </c>
      <c r="FA192" s="30" t="str">
        <f t="shared" si="2066"/>
        <v/>
      </c>
      <c r="FB192" s="30" t="str">
        <f t="shared" si="2067"/>
        <v/>
      </c>
      <c r="FC192" s="30" t="str">
        <f t="shared" si="2068"/>
        <v/>
      </c>
      <c r="FD192" s="30" t="str">
        <f t="shared" si="2069"/>
        <v/>
      </c>
      <c r="FE192" s="30" t="str">
        <f t="shared" si="2070"/>
        <v/>
      </c>
      <c r="FF192" s="30" t="str">
        <f t="shared" si="2071"/>
        <v/>
      </c>
      <c r="FG192" s="30" t="str">
        <f t="shared" si="2072"/>
        <v/>
      </c>
      <c r="FH192" s="30" t="str">
        <f t="shared" si="2073"/>
        <v/>
      </c>
      <c r="FI192" s="30" t="str">
        <f t="shared" si="2074"/>
        <v/>
      </c>
      <c r="FJ192" s="30" t="str">
        <f t="shared" si="2075"/>
        <v/>
      </c>
      <c r="FK192" s="30" t="str">
        <f t="shared" si="2076"/>
        <v/>
      </c>
      <c r="FL192" s="30" t="str">
        <f t="shared" si="2077"/>
        <v/>
      </c>
      <c r="FM192" s="30" t="str">
        <f t="shared" si="2078"/>
        <v/>
      </c>
      <c r="FN192" s="30" t="str">
        <f t="shared" si="2079"/>
        <v/>
      </c>
      <c r="FO192" s="30" t="str">
        <f t="shared" si="2080"/>
        <v/>
      </c>
      <c r="FP192" s="30" t="str">
        <f t="shared" si="2081"/>
        <v/>
      </c>
      <c r="FQ192" s="30" t="str">
        <f t="shared" si="2082"/>
        <v/>
      </c>
      <c r="FR192" s="30" t="str">
        <f t="shared" si="2083"/>
        <v/>
      </c>
      <c r="FS192" s="30" t="str">
        <f t="shared" si="2084"/>
        <v/>
      </c>
    </row>
    <row r="193" spans="92:175">
      <c r="CN193" s="7" t="str">
        <f t="shared" ref="CN193:CN224" si="2085">"InitUnitState('"&amp;B193&amp;"',"&amp;V193&amp;","&amp;W193&amp;","&amp;X193&amp;","&amp;Y193&amp;","&amp;Z193&amp;","&amp;AA193&amp;","&amp;AB193&amp;","&amp;AC193&amp;","&amp;AD193&amp;","&amp;AE193&amp;")"</f>
        <v>InitUnitState('',,,,,,,,,,)</v>
      </c>
      <c r="CO193" s="7" t="str">
        <f t="shared" ref="CO193:CO224" si="2086">"InitUnitNormal('"&amp;B193&amp;"',"&amp;AF193&amp;","&amp;AG193&amp;","&amp;AH193&amp;","&amp;AI193&amp;","&amp;AJ193&amp;","&amp;AK193&amp;","&amp;AL193&amp;","&amp;AM193&amp;","&amp;AN193&amp;","&amp;AO193&amp;")"</f>
        <v>InitUnitNormal('',,,,,,,,,,)</v>
      </c>
      <c r="CP193" s="7" t="str">
        <f t="shared" ref="CP193:CP224" si="2087">"InitUnitMagic('"&amp;B193&amp;"',"&amp;AP193&amp;","&amp;AQ193&amp;","&amp;AR193&amp;","&amp;AS193&amp;","&amp;AT193&amp;","&amp;AU193&amp;","&amp;AV193&amp;","&amp;AW193&amp;","&amp;BI193&amp;","&amp;BJ193&amp;")"</f>
        <v>InitUnitMagic('',,,,,,,,,,)</v>
      </c>
      <c r="CQ193" s="7" t="str">
        <f t="shared" ref="CQ193:CQ224" si="2088">"InitUnitAdd('"&amp;B193&amp;"',"&amp;BK193&amp;","&amp;BL193&amp;","&amp;BM193&amp;","&amp;BN193&amp;","&amp;BO193&amp;","&amp;BP193&amp;","&amp;BQ193&amp;","&amp;BR193&amp;","&amp;BS193&amp;","&amp;BT193&amp;")"</f>
        <v>InitUnitAdd('',,,,,,,,,,)</v>
      </c>
      <c r="CR193" s="7" t="str">
        <f t="shared" ref="CR193:CR224" si="2089"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InitEquipData('',,"",,,,,'','','','','','',"")</v>
      </c>
      <c r="CU193" s="29" t="str">
        <f t="shared" ref="CU193:CU205" si="209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W193" s="24"/>
      <c r="CX193" s="24"/>
      <c r="CY193" s="24"/>
      <c r="CZ193" s="24"/>
      <c r="DA193" s="24"/>
      <c r="DB193" s="30" t="str">
        <f t="shared" ref="DB193:DB213" si="2091">IF(V193="","","|n"&amp;DB$2&amp;"+"&amp;V193&amp;DB$1)</f>
        <v/>
      </c>
      <c r="DC193" s="30" t="str">
        <f t="shared" ref="DC193:DC213" si="2092">IF(W193="","","|n"&amp;DC$2&amp;"+"&amp;W193&amp;DC$1)</f>
        <v/>
      </c>
      <c r="DD193" s="30" t="str">
        <f t="shared" ref="DD193:DD213" si="2093">IF(X193="","","|n"&amp;DD$2&amp;"+"&amp;X193&amp;DD$1)</f>
        <v/>
      </c>
      <c r="DE193" s="30" t="str">
        <f t="shared" ref="DE193:DE213" si="2094">IF(Y193="","","|n"&amp;DE$2&amp;"+"&amp;Y193&amp;DE$1)</f>
        <v/>
      </c>
      <c r="DF193" s="30" t="str">
        <f t="shared" ref="DF193:DF213" si="2095">IF(Z193="","","|n"&amp;DF$2&amp;"+"&amp;Z193&amp;DF$1)</f>
        <v/>
      </c>
      <c r="DG193" s="30" t="str">
        <f t="shared" ref="DG193:DG213" si="2096">IF(AA193="","","|n"&amp;DG$2&amp;"+"&amp;AA193&amp;DG$1)</f>
        <v/>
      </c>
      <c r="DH193" s="30" t="str">
        <f t="shared" ref="DH193:DH213" si="2097">IF(AB193="","","|n"&amp;DH$2&amp;"+"&amp;AB193&amp;DH$1)</f>
        <v/>
      </c>
      <c r="DI193" s="30" t="str">
        <f t="shared" ref="DI193:DI213" si="2098">IF(AC193="","","|n"&amp;DI$2&amp;"+"&amp;AC193&amp;DI$1)</f>
        <v/>
      </c>
      <c r="DJ193" s="30" t="str">
        <f t="shared" ref="DJ193:DJ213" si="2099">IF(AD193="","","|n"&amp;DJ$2&amp;"+"&amp;AD193&amp;DJ$1)</f>
        <v/>
      </c>
      <c r="DK193" s="30" t="str">
        <f t="shared" ref="DK193:DK213" si="2100">IF(AE193="","","|n"&amp;DK$2&amp;"+"&amp;AE193&amp;DK$1)</f>
        <v/>
      </c>
      <c r="DL193" s="30" t="str">
        <f t="shared" ref="DL193:DL213" si="2101">IF(AF193="","","|n"&amp;DL$2&amp;"+"&amp;AF193&amp;DL$1)</f>
        <v/>
      </c>
      <c r="DM193" s="30" t="str">
        <f t="shared" ref="DM193:DM213" si="2102">IF(AG193="","","|n"&amp;DM$2&amp;"+"&amp;AG193&amp;DM$1)</f>
        <v/>
      </c>
      <c r="DN193" s="30" t="str">
        <f t="shared" ref="DN193:DN213" si="2103">IF(AH193="","","|n"&amp;DN$2&amp;"+"&amp;AH193&amp;DN$1)</f>
        <v/>
      </c>
      <c r="DO193" s="30" t="str">
        <f t="shared" ref="DO193:DO213" si="2104">IF(AI193="","","|n"&amp;DO$2&amp;"+"&amp;AI193&amp;DO$1)</f>
        <v/>
      </c>
      <c r="DP193" s="30" t="str">
        <f t="shared" ref="DP193:DP213" si="2105">IF(AJ193="","","|n"&amp;DP$2&amp;"+"&amp;AJ193&amp;DP$1)</f>
        <v/>
      </c>
      <c r="DQ193" s="30" t="str">
        <f t="shared" ref="DQ193:DQ213" si="2106">IF(AK193="","","|n"&amp;DQ$2&amp;"+"&amp;AK193&amp;DQ$1)</f>
        <v/>
      </c>
      <c r="DR193" s="30" t="str">
        <f t="shared" ref="DR193:DR213" si="2107">IF(AL193="","","|n"&amp;DR$2&amp;"+"&amp;AL193&amp;DR$1)</f>
        <v/>
      </c>
      <c r="DS193" s="30" t="str">
        <f t="shared" ref="DS193:DS213" si="2108">IF(AM193="","","|n"&amp;DS$2&amp;"+"&amp;AM193&amp;DS$1)</f>
        <v/>
      </c>
      <c r="DT193" s="30" t="str">
        <f t="shared" ref="DT193:DT213" si="2109">IF(AN193="","","|n"&amp;DT$2&amp;"+"&amp;AN193&amp;DT$1)</f>
        <v/>
      </c>
      <c r="DU193" s="30" t="str">
        <f t="shared" ref="DU193:DU213" si="2110">IF(AO193="","","|n"&amp;DU$2&amp;"+"&amp;AO193&amp;DU$1)</f>
        <v/>
      </c>
      <c r="DV193" s="30" t="str">
        <f t="shared" ref="DV193:DV213" si="2111">IF(AP193="","","|n"&amp;DV$2&amp;"+"&amp;AP193&amp;DV$1)</f>
        <v/>
      </c>
      <c r="DW193" s="30" t="str">
        <f t="shared" ref="DW193:DW213" si="2112">IF(AQ193="","","|n"&amp;DW$2&amp;"+"&amp;AQ193&amp;DW$1)</f>
        <v/>
      </c>
      <c r="DX193" s="30" t="str">
        <f t="shared" ref="DX193:DX213" si="2113">IF(AR193="","","|n"&amp;DX$2&amp;"+"&amp;AR193&amp;DX$1)</f>
        <v/>
      </c>
      <c r="DY193" s="30" t="str">
        <f t="shared" ref="DY193:DY213" si="2114">IF(AS193="","","|n"&amp;DY$2&amp;"+"&amp;AS193&amp;DY$1)</f>
        <v/>
      </c>
      <c r="DZ193" s="30" t="str">
        <f t="shared" ref="DZ193:DZ213" si="2115">IF(AT193="","","|n"&amp;DZ$2&amp;"+"&amp;AT193&amp;DZ$1)</f>
        <v/>
      </c>
      <c r="EA193" s="30" t="str">
        <f t="shared" ref="EA193:EA213" si="2116">IF(AU193="","","|n"&amp;EA$2&amp;"+"&amp;AU193&amp;EA$1)</f>
        <v/>
      </c>
      <c r="EB193" s="30" t="str">
        <f t="shared" ref="EB193:EB213" si="2117">IF(AV193="","","|n"&amp;EB$2&amp;"+"&amp;AV193&amp;EB$1)</f>
        <v/>
      </c>
      <c r="EC193" s="30" t="str">
        <f t="shared" ref="EC193:EC213" si="2118">IF(AW193="","","|n"&amp;EC$2&amp;"+"&amp;AW193&amp;EC$1)</f>
        <v/>
      </c>
      <c r="ED193" s="30" t="str">
        <f t="shared" ref="ED193:ED213" si="2119">IF(AX193="","","|n"&amp;ED$2&amp;"+"&amp;AX193&amp;ED$1)</f>
        <v/>
      </c>
      <c r="EE193" s="30" t="str">
        <f t="shared" ref="EE193:EE213" si="2120">IF(AY193="","","|n"&amp;EE$2&amp;"+"&amp;AY193&amp;EE$1)</f>
        <v/>
      </c>
      <c r="EF193" s="30" t="str">
        <f t="shared" ref="EF193:EF213" si="2121">IF(AZ193="","","|n"&amp;EF$2&amp;"+"&amp;AZ193&amp;EF$1)</f>
        <v/>
      </c>
      <c r="EG193" s="30" t="str">
        <f t="shared" ref="EG193:EG213" si="2122">IF(BA193="","","|n"&amp;EG$2&amp;"+"&amp;BA193&amp;EG$1)</f>
        <v/>
      </c>
      <c r="EH193" s="30" t="str">
        <f t="shared" ref="EH193:EH213" si="2123">IF(BB193="","","|n"&amp;EH$2&amp;"+"&amp;BB193&amp;EH$1)</f>
        <v/>
      </c>
      <c r="EI193" s="30" t="str">
        <f t="shared" ref="EI193:EI213" si="2124">IF(BC193="","","|n"&amp;EI$2&amp;"+"&amp;BC193&amp;EI$1)</f>
        <v/>
      </c>
      <c r="EJ193" s="30" t="str">
        <f t="shared" ref="EJ193:EJ213" si="2125">IF(BD193="","","|n"&amp;EJ$2&amp;"+"&amp;BD193&amp;EJ$1)</f>
        <v/>
      </c>
      <c r="EK193" s="30" t="str">
        <f t="shared" ref="EK193:EK213" si="2126">IF(BE193="","","|n"&amp;EK$2&amp;"+"&amp;BE193&amp;EK$1)</f>
        <v/>
      </c>
      <c r="EL193" s="30" t="str">
        <f t="shared" ref="EL193:EL213" si="2127">IF(BF193="","","|n"&amp;EL$2&amp;"+"&amp;BF193&amp;EL$1)</f>
        <v/>
      </c>
      <c r="EM193" s="30" t="str">
        <f t="shared" ref="EM193:EM213" si="2128">IF(BG193="","","|n"&amp;EM$2&amp;"+"&amp;BG193&amp;EM$1)</f>
        <v/>
      </c>
      <c r="EN193" s="30" t="str">
        <f t="shared" ref="EN193:EN213" si="2129">IF(BH193="","","|n"&amp;EN$2&amp;"+"&amp;BH193&amp;EN$1)</f>
        <v/>
      </c>
      <c r="EO193" s="30" t="str">
        <f t="shared" ref="EO193:EO213" si="2130">IF(BI193="","","|n"&amp;EO$2&amp;"+"&amp;BI193&amp;EO$1)</f>
        <v/>
      </c>
      <c r="EP193" s="30" t="str">
        <f t="shared" ref="EP193:EP213" si="2131">IF(BJ193="","","|n"&amp;EP$2&amp;"+"&amp;BJ193&amp;EP$1)</f>
        <v/>
      </c>
      <c r="EQ193" s="30" t="str">
        <f t="shared" ref="EQ193:EQ213" si="2132">IF(BK193="","","|n"&amp;EQ$2&amp;"+"&amp;BK193&amp;EQ$1)</f>
        <v/>
      </c>
      <c r="ER193" s="30" t="str">
        <f t="shared" ref="ER193:ER213" si="2133">IF(BL193="","","|n"&amp;ER$2&amp;"+"&amp;BL193&amp;ER$1)</f>
        <v/>
      </c>
      <c r="ES193" s="30" t="str">
        <f t="shared" ref="ES193:ES213" si="2134">IF(BM193="","","|n"&amp;ES$2&amp;"+"&amp;BM193&amp;ES$1)</f>
        <v/>
      </c>
      <c r="ET193" s="30" t="str">
        <f t="shared" ref="ET193:ET213" si="2135">IF(BN193="","","|n"&amp;ET$2&amp;"+"&amp;BN193&amp;ET$1)</f>
        <v/>
      </c>
      <c r="EU193" s="30" t="str">
        <f t="shared" ref="EU193:EU213" si="2136">IF(BO193="","","|n"&amp;EU$2&amp;"+"&amp;BO193&amp;EU$1)</f>
        <v/>
      </c>
      <c r="EV193" s="30" t="str">
        <f t="shared" ref="EV193:EV213" si="2137">IF(BP193="","","|n"&amp;EV$2&amp;"+"&amp;BP193&amp;EV$1)</f>
        <v/>
      </c>
      <c r="EW193" s="30" t="str">
        <f t="shared" ref="EW193:EW213" si="2138">IF(BQ193="","","|n"&amp;EW$2&amp;"+"&amp;BQ193&amp;EW$1)</f>
        <v/>
      </c>
      <c r="EX193" s="30" t="str">
        <f t="shared" ref="EX193:EX213" si="2139">IF(BR193="","","|n"&amp;EX$2&amp;"+"&amp;BR193&amp;EX$1)</f>
        <v/>
      </c>
      <c r="EY193" s="30" t="str">
        <f t="shared" ref="EY193:EY213" si="2140">IF(BS193="","","|n"&amp;EY$2&amp;"+"&amp;BS193&amp;EY$1)</f>
        <v/>
      </c>
      <c r="EZ193" s="30" t="str">
        <f t="shared" ref="EZ193:EZ213" si="2141">IF(BT193="","","|n"&amp;EZ$2&amp;"+"&amp;BT193&amp;EZ$1)</f>
        <v/>
      </c>
      <c r="FA193" s="30" t="str">
        <f t="shared" ref="FA193:FA213" si="2142">IF(BU193="","","|n"&amp;FA$2&amp;"+"&amp;BU193&amp;FA$1)</f>
        <v/>
      </c>
      <c r="FB193" s="30" t="str">
        <f t="shared" ref="FB193:FB213" si="2143">IF(BV193="","","|n"&amp;FB$2&amp;"+"&amp;BV193&amp;FB$1)</f>
        <v/>
      </c>
      <c r="FC193" s="30" t="str">
        <f t="shared" ref="FC193:FC213" si="2144">IF(BW193="","","|n"&amp;FC$2&amp;"+"&amp;BW193&amp;FC$1)</f>
        <v/>
      </c>
      <c r="FD193" s="30" t="str">
        <f t="shared" ref="FD193:FD213" si="2145">IF(BX193="","","|n"&amp;FD$2&amp;"+"&amp;BX193&amp;FD$1)</f>
        <v/>
      </c>
      <c r="FE193" s="30" t="str">
        <f t="shared" ref="FE193:FE213" si="2146">IF(BY193="","","|n"&amp;FE$2&amp;"+"&amp;BY193&amp;FE$1)</f>
        <v/>
      </c>
      <c r="FF193" s="30" t="str">
        <f t="shared" ref="FF193:FF213" si="2147">IF(BZ193="","","|n"&amp;FF$2&amp;"+"&amp;BZ193&amp;FF$1)</f>
        <v/>
      </c>
      <c r="FG193" s="30" t="str">
        <f t="shared" ref="FG193:FG213" si="2148">IF(CA193="","","|n"&amp;FG$2&amp;"+"&amp;CA193&amp;FG$1)</f>
        <v/>
      </c>
      <c r="FH193" s="30" t="str">
        <f t="shared" ref="FH193:FH213" si="2149">IF(CB193="","","|n"&amp;FH$2&amp;"+"&amp;CB193&amp;FH$1)</f>
        <v/>
      </c>
      <c r="FI193" s="30" t="str">
        <f t="shared" ref="FI193:FI213" si="2150">IF(CC193="","","|n"&amp;FI$2&amp;"+"&amp;CC193&amp;FI$1)</f>
        <v/>
      </c>
      <c r="FJ193" s="30" t="str">
        <f t="shared" ref="FJ193:FJ213" si="2151">IF(CD193="","","|n"&amp;FJ$2&amp;"+"&amp;CD193&amp;FJ$1)</f>
        <v/>
      </c>
      <c r="FK193" s="30" t="str">
        <f t="shared" ref="FK193:FK213" si="2152">IF(CE193="","","|n"&amp;FK$2&amp;"+"&amp;CE193&amp;FK$1)</f>
        <v/>
      </c>
      <c r="FL193" s="30" t="str">
        <f t="shared" ref="FL193:FL213" si="2153">IF(CF193="","","|n"&amp;FL$2&amp;"+"&amp;CF193&amp;FL$1)</f>
        <v/>
      </c>
      <c r="FM193" s="30" t="str">
        <f t="shared" ref="FM193:FM213" si="2154">IF(CG193="","","|n"&amp;FM$2&amp;"+"&amp;CG193&amp;FM$1)</f>
        <v/>
      </c>
      <c r="FN193" s="30" t="str">
        <f t="shared" ref="FN193:FN213" si="2155">IF(CH193="","","|n"&amp;FN$2&amp;"+"&amp;CH193&amp;FN$1)</f>
        <v/>
      </c>
      <c r="FO193" s="30" t="str">
        <f t="shared" ref="FO193:FO213" si="2156">IF(CI193="","","|n"&amp;FO$2&amp;"+"&amp;CI193&amp;FO$1)</f>
        <v/>
      </c>
      <c r="FP193" s="30" t="str">
        <f t="shared" ref="FP193:FP213" si="2157">IF(CJ193="","","|n"&amp;FP$2&amp;"+"&amp;CJ193&amp;FP$1)</f>
        <v/>
      </c>
      <c r="FQ193" s="30" t="str">
        <f t="shared" ref="FQ193:FQ213" si="2158">IF(CK193="","","|n"&amp;FQ$2&amp;"+"&amp;CK193&amp;FQ$1)</f>
        <v/>
      </c>
      <c r="FR193" s="30" t="str">
        <f t="shared" ref="FR193:FR213" si="2159">IF(CL193="","","|n"&amp;FR$2&amp;"+"&amp;CL193&amp;FR$1)</f>
        <v/>
      </c>
      <c r="FS193" s="30" t="str">
        <f t="shared" ref="FS193:FS213" si="2160">IF(CM193="","","|n"&amp;FS$2&amp;"+"&amp;CM193&amp;FS$1)</f>
        <v/>
      </c>
    </row>
    <row r="194" spans="92:175">
      <c r="CN194" s="7" t="str">
        <f t="shared" si="2085"/>
        <v>InitUnitState('',,,,,,,,,,)</v>
      </c>
      <c r="CO194" s="7" t="str">
        <f t="shared" si="2086"/>
        <v>InitUnitNormal('',,,,,,,,,,)</v>
      </c>
      <c r="CP194" s="7" t="str">
        <f t="shared" si="2087"/>
        <v>InitUnitMagic('',,,,,,,,,,)</v>
      </c>
      <c r="CQ194" s="7" t="str">
        <f t="shared" si="2088"/>
        <v>InitUnitAdd('',,,,,,,,,,)</v>
      </c>
      <c r="CR194" s="7" t="str">
        <f t="shared" si="2089"/>
        <v>InitEquipData('',,"",,,,,'','','','','','',"")</v>
      </c>
      <c r="CU194" s="29" t="str">
        <f t="shared" si="2090"/>
        <v>|n</v>
      </c>
      <c r="CW194" s="24"/>
      <c r="CX194" s="24"/>
      <c r="CY194" s="24"/>
      <c r="CZ194" s="24"/>
      <c r="DA194" s="24"/>
      <c r="DB194" s="30" t="str">
        <f t="shared" si="2091"/>
        <v/>
      </c>
      <c r="DC194" s="30" t="str">
        <f t="shared" si="2092"/>
        <v/>
      </c>
      <c r="DD194" s="30" t="str">
        <f t="shared" si="2093"/>
        <v/>
      </c>
      <c r="DE194" s="30" t="str">
        <f t="shared" si="2094"/>
        <v/>
      </c>
      <c r="DF194" s="30" t="str">
        <f t="shared" si="2095"/>
        <v/>
      </c>
      <c r="DG194" s="30" t="str">
        <f t="shared" si="2096"/>
        <v/>
      </c>
      <c r="DH194" s="30" t="str">
        <f t="shared" si="2097"/>
        <v/>
      </c>
      <c r="DI194" s="30" t="str">
        <f t="shared" si="2098"/>
        <v/>
      </c>
      <c r="DJ194" s="30" t="str">
        <f t="shared" si="2099"/>
        <v/>
      </c>
      <c r="DK194" s="30" t="str">
        <f t="shared" si="2100"/>
        <v/>
      </c>
      <c r="DL194" s="30" t="str">
        <f t="shared" si="2101"/>
        <v/>
      </c>
      <c r="DM194" s="30" t="str">
        <f t="shared" si="2102"/>
        <v/>
      </c>
      <c r="DN194" s="30" t="str">
        <f t="shared" si="2103"/>
        <v/>
      </c>
      <c r="DO194" s="30" t="str">
        <f t="shared" si="2104"/>
        <v/>
      </c>
      <c r="DP194" s="30" t="str">
        <f t="shared" si="2105"/>
        <v/>
      </c>
      <c r="DQ194" s="30" t="str">
        <f t="shared" si="2106"/>
        <v/>
      </c>
      <c r="DR194" s="30" t="str">
        <f t="shared" si="2107"/>
        <v/>
      </c>
      <c r="DS194" s="30" t="str">
        <f t="shared" si="2108"/>
        <v/>
      </c>
      <c r="DT194" s="30" t="str">
        <f t="shared" si="2109"/>
        <v/>
      </c>
      <c r="DU194" s="30" t="str">
        <f t="shared" si="2110"/>
        <v/>
      </c>
      <c r="DV194" s="30" t="str">
        <f t="shared" si="2111"/>
        <v/>
      </c>
      <c r="DW194" s="30" t="str">
        <f t="shared" si="2112"/>
        <v/>
      </c>
      <c r="DX194" s="30" t="str">
        <f t="shared" si="2113"/>
        <v/>
      </c>
      <c r="DY194" s="30" t="str">
        <f t="shared" si="2114"/>
        <v/>
      </c>
      <c r="DZ194" s="30" t="str">
        <f t="shared" si="2115"/>
        <v/>
      </c>
      <c r="EA194" s="30" t="str">
        <f t="shared" si="2116"/>
        <v/>
      </c>
      <c r="EB194" s="30" t="str">
        <f t="shared" si="2117"/>
        <v/>
      </c>
      <c r="EC194" s="30" t="str">
        <f t="shared" si="2118"/>
        <v/>
      </c>
      <c r="ED194" s="30" t="str">
        <f t="shared" si="2119"/>
        <v/>
      </c>
      <c r="EE194" s="30" t="str">
        <f t="shared" si="2120"/>
        <v/>
      </c>
      <c r="EF194" s="30" t="str">
        <f t="shared" si="2121"/>
        <v/>
      </c>
      <c r="EG194" s="30" t="str">
        <f t="shared" si="2122"/>
        <v/>
      </c>
      <c r="EH194" s="30" t="str">
        <f t="shared" si="2123"/>
        <v/>
      </c>
      <c r="EI194" s="30" t="str">
        <f t="shared" si="2124"/>
        <v/>
      </c>
      <c r="EJ194" s="30" t="str">
        <f t="shared" si="2125"/>
        <v/>
      </c>
      <c r="EK194" s="30" t="str">
        <f t="shared" si="2126"/>
        <v/>
      </c>
      <c r="EL194" s="30" t="str">
        <f t="shared" si="2127"/>
        <v/>
      </c>
      <c r="EM194" s="30" t="str">
        <f t="shared" si="2128"/>
        <v/>
      </c>
      <c r="EN194" s="30" t="str">
        <f t="shared" si="2129"/>
        <v/>
      </c>
      <c r="EO194" s="30" t="str">
        <f t="shared" si="2130"/>
        <v/>
      </c>
      <c r="EP194" s="30" t="str">
        <f t="shared" si="2131"/>
        <v/>
      </c>
      <c r="EQ194" s="30" t="str">
        <f t="shared" si="2132"/>
        <v/>
      </c>
      <c r="ER194" s="30" t="str">
        <f t="shared" si="2133"/>
        <v/>
      </c>
      <c r="ES194" s="30" t="str">
        <f t="shared" si="2134"/>
        <v/>
      </c>
      <c r="ET194" s="30" t="str">
        <f t="shared" si="2135"/>
        <v/>
      </c>
      <c r="EU194" s="30" t="str">
        <f t="shared" si="2136"/>
        <v/>
      </c>
      <c r="EV194" s="30" t="str">
        <f t="shared" si="2137"/>
        <v/>
      </c>
      <c r="EW194" s="30" t="str">
        <f t="shared" si="2138"/>
        <v/>
      </c>
      <c r="EX194" s="30" t="str">
        <f t="shared" si="2139"/>
        <v/>
      </c>
      <c r="EY194" s="30" t="str">
        <f t="shared" si="2140"/>
        <v/>
      </c>
      <c r="EZ194" s="30" t="str">
        <f t="shared" si="2141"/>
        <v/>
      </c>
      <c r="FA194" s="30" t="str">
        <f t="shared" si="2142"/>
        <v/>
      </c>
      <c r="FB194" s="30" t="str">
        <f t="shared" si="2143"/>
        <v/>
      </c>
      <c r="FC194" s="30" t="str">
        <f t="shared" si="2144"/>
        <v/>
      </c>
      <c r="FD194" s="30" t="str">
        <f t="shared" si="2145"/>
        <v/>
      </c>
      <c r="FE194" s="30" t="str">
        <f t="shared" si="2146"/>
        <v/>
      </c>
      <c r="FF194" s="30" t="str">
        <f t="shared" si="2147"/>
        <v/>
      </c>
      <c r="FG194" s="30" t="str">
        <f t="shared" si="2148"/>
        <v/>
      </c>
      <c r="FH194" s="30" t="str">
        <f t="shared" si="2149"/>
        <v/>
      </c>
      <c r="FI194" s="30" t="str">
        <f t="shared" si="2150"/>
        <v/>
      </c>
      <c r="FJ194" s="30" t="str">
        <f t="shared" si="2151"/>
        <v/>
      </c>
      <c r="FK194" s="30" t="str">
        <f t="shared" si="2152"/>
        <v/>
      </c>
      <c r="FL194" s="30" t="str">
        <f t="shared" si="2153"/>
        <v/>
      </c>
      <c r="FM194" s="30" t="str">
        <f t="shared" si="2154"/>
        <v/>
      </c>
      <c r="FN194" s="30" t="str">
        <f t="shared" si="2155"/>
        <v/>
      </c>
      <c r="FO194" s="30" t="str">
        <f t="shared" si="2156"/>
        <v/>
      </c>
      <c r="FP194" s="30" t="str">
        <f t="shared" si="2157"/>
        <v/>
      </c>
      <c r="FQ194" s="30" t="str">
        <f t="shared" si="2158"/>
        <v/>
      </c>
      <c r="FR194" s="30" t="str">
        <f t="shared" si="2159"/>
        <v/>
      </c>
      <c r="FS194" s="30" t="str">
        <f t="shared" si="2160"/>
        <v/>
      </c>
    </row>
    <row r="195" spans="92:175">
      <c r="CN195" s="7" t="str">
        <f t="shared" si="2085"/>
        <v>InitUnitState('',,,,,,,,,,)</v>
      </c>
      <c r="CO195" s="7" t="str">
        <f t="shared" si="2086"/>
        <v>InitUnitNormal('',,,,,,,,,,)</v>
      </c>
      <c r="CP195" s="7" t="str">
        <f t="shared" si="2087"/>
        <v>InitUnitMagic('',,,,,,,,,,)</v>
      </c>
      <c r="CQ195" s="7" t="str">
        <f t="shared" si="2088"/>
        <v>InitUnitAdd('',,,,,,,,,,)</v>
      </c>
      <c r="CR195" s="7" t="str">
        <f t="shared" si="2089"/>
        <v>InitEquipData('',,"",,,,,'','','','','','',"")</v>
      </c>
      <c r="CU195" s="29" t="str">
        <f t="shared" si="2090"/>
        <v>|n</v>
      </c>
      <c r="CW195" s="24"/>
      <c r="CX195" s="24"/>
      <c r="CY195" s="24"/>
      <c r="CZ195" s="24"/>
      <c r="DA195" s="24"/>
      <c r="DB195" s="30" t="str">
        <f t="shared" si="2091"/>
        <v/>
      </c>
      <c r="DC195" s="30" t="str">
        <f t="shared" si="2092"/>
        <v/>
      </c>
      <c r="DD195" s="30" t="str">
        <f t="shared" si="2093"/>
        <v/>
      </c>
      <c r="DE195" s="30" t="str">
        <f t="shared" si="2094"/>
        <v/>
      </c>
      <c r="DF195" s="30" t="str">
        <f t="shared" si="2095"/>
        <v/>
      </c>
      <c r="DG195" s="30" t="str">
        <f t="shared" si="2096"/>
        <v/>
      </c>
      <c r="DH195" s="30" t="str">
        <f t="shared" si="2097"/>
        <v/>
      </c>
      <c r="DI195" s="30" t="str">
        <f t="shared" si="2098"/>
        <v/>
      </c>
      <c r="DJ195" s="30" t="str">
        <f t="shared" si="2099"/>
        <v/>
      </c>
      <c r="DK195" s="30" t="str">
        <f t="shared" si="2100"/>
        <v/>
      </c>
      <c r="DL195" s="30" t="str">
        <f t="shared" si="2101"/>
        <v/>
      </c>
      <c r="DM195" s="30" t="str">
        <f t="shared" si="2102"/>
        <v/>
      </c>
      <c r="DN195" s="30" t="str">
        <f t="shared" si="2103"/>
        <v/>
      </c>
      <c r="DO195" s="30" t="str">
        <f t="shared" si="2104"/>
        <v/>
      </c>
      <c r="DP195" s="30" t="str">
        <f t="shared" si="2105"/>
        <v/>
      </c>
      <c r="DQ195" s="30" t="str">
        <f t="shared" si="2106"/>
        <v/>
      </c>
      <c r="DR195" s="30" t="str">
        <f t="shared" si="2107"/>
        <v/>
      </c>
      <c r="DS195" s="30" t="str">
        <f t="shared" si="2108"/>
        <v/>
      </c>
      <c r="DT195" s="30" t="str">
        <f t="shared" si="2109"/>
        <v/>
      </c>
      <c r="DU195" s="30" t="str">
        <f t="shared" si="2110"/>
        <v/>
      </c>
      <c r="DV195" s="30" t="str">
        <f t="shared" si="2111"/>
        <v/>
      </c>
      <c r="DW195" s="30" t="str">
        <f t="shared" si="2112"/>
        <v/>
      </c>
      <c r="DX195" s="30" t="str">
        <f t="shared" si="2113"/>
        <v/>
      </c>
      <c r="DY195" s="30" t="str">
        <f t="shared" si="2114"/>
        <v/>
      </c>
      <c r="DZ195" s="30" t="str">
        <f t="shared" si="2115"/>
        <v/>
      </c>
      <c r="EA195" s="30" t="str">
        <f t="shared" si="2116"/>
        <v/>
      </c>
      <c r="EB195" s="30" t="str">
        <f t="shared" si="2117"/>
        <v/>
      </c>
      <c r="EC195" s="30" t="str">
        <f t="shared" si="2118"/>
        <v/>
      </c>
      <c r="ED195" s="30" t="str">
        <f t="shared" si="2119"/>
        <v/>
      </c>
      <c r="EE195" s="30" t="str">
        <f t="shared" si="2120"/>
        <v/>
      </c>
      <c r="EF195" s="30" t="str">
        <f t="shared" si="2121"/>
        <v/>
      </c>
      <c r="EG195" s="30" t="str">
        <f t="shared" si="2122"/>
        <v/>
      </c>
      <c r="EH195" s="30" t="str">
        <f t="shared" si="2123"/>
        <v/>
      </c>
      <c r="EI195" s="30" t="str">
        <f t="shared" si="2124"/>
        <v/>
      </c>
      <c r="EJ195" s="30" t="str">
        <f t="shared" si="2125"/>
        <v/>
      </c>
      <c r="EK195" s="30" t="str">
        <f t="shared" si="2126"/>
        <v/>
      </c>
      <c r="EL195" s="30" t="str">
        <f t="shared" si="2127"/>
        <v/>
      </c>
      <c r="EM195" s="30" t="str">
        <f t="shared" si="2128"/>
        <v/>
      </c>
      <c r="EN195" s="30" t="str">
        <f t="shared" si="2129"/>
        <v/>
      </c>
      <c r="EO195" s="30" t="str">
        <f t="shared" si="2130"/>
        <v/>
      </c>
      <c r="EP195" s="30" t="str">
        <f t="shared" si="2131"/>
        <v/>
      </c>
      <c r="EQ195" s="30" t="str">
        <f t="shared" si="2132"/>
        <v/>
      </c>
      <c r="ER195" s="30" t="str">
        <f t="shared" si="2133"/>
        <v/>
      </c>
      <c r="ES195" s="30" t="str">
        <f t="shared" si="2134"/>
        <v/>
      </c>
      <c r="ET195" s="30" t="str">
        <f t="shared" si="2135"/>
        <v/>
      </c>
      <c r="EU195" s="30" t="str">
        <f t="shared" si="2136"/>
        <v/>
      </c>
      <c r="EV195" s="30" t="str">
        <f t="shared" si="2137"/>
        <v/>
      </c>
      <c r="EW195" s="30" t="str">
        <f t="shared" si="2138"/>
        <v/>
      </c>
      <c r="EX195" s="30" t="str">
        <f t="shared" si="2139"/>
        <v/>
      </c>
      <c r="EY195" s="30" t="str">
        <f t="shared" si="2140"/>
        <v/>
      </c>
      <c r="EZ195" s="30" t="str">
        <f t="shared" si="2141"/>
        <v/>
      </c>
      <c r="FA195" s="30" t="str">
        <f t="shared" si="2142"/>
        <v/>
      </c>
      <c r="FB195" s="30" t="str">
        <f t="shared" si="2143"/>
        <v/>
      </c>
      <c r="FC195" s="30" t="str">
        <f t="shared" si="2144"/>
        <v/>
      </c>
      <c r="FD195" s="30" t="str">
        <f t="shared" si="2145"/>
        <v/>
      </c>
      <c r="FE195" s="30" t="str">
        <f t="shared" si="2146"/>
        <v/>
      </c>
      <c r="FF195" s="30" t="str">
        <f t="shared" si="2147"/>
        <v/>
      </c>
      <c r="FG195" s="30" t="str">
        <f t="shared" si="2148"/>
        <v/>
      </c>
      <c r="FH195" s="30" t="str">
        <f t="shared" si="2149"/>
        <v/>
      </c>
      <c r="FI195" s="30" t="str">
        <f t="shared" si="2150"/>
        <v/>
      </c>
      <c r="FJ195" s="30" t="str">
        <f t="shared" si="2151"/>
        <v/>
      </c>
      <c r="FK195" s="30" t="str">
        <f t="shared" si="2152"/>
        <v/>
      </c>
      <c r="FL195" s="30" t="str">
        <f t="shared" si="2153"/>
        <v/>
      </c>
      <c r="FM195" s="30" t="str">
        <f t="shared" si="2154"/>
        <v/>
      </c>
      <c r="FN195" s="30" t="str">
        <f t="shared" si="2155"/>
        <v/>
      </c>
      <c r="FO195" s="30" t="str">
        <f t="shared" si="2156"/>
        <v/>
      </c>
      <c r="FP195" s="30" t="str">
        <f t="shared" si="2157"/>
        <v/>
      </c>
      <c r="FQ195" s="30" t="str">
        <f t="shared" si="2158"/>
        <v/>
      </c>
      <c r="FR195" s="30" t="str">
        <f t="shared" si="2159"/>
        <v/>
      </c>
      <c r="FS195" s="30" t="str">
        <f t="shared" si="2160"/>
        <v/>
      </c>
    </row>
    <row r="196" spans="92:175">
      <c r="CN196" s="7" t="str">
        <f t="shared" si="2085"/>
        <v>InitUnitState('',,,,,,,,,,)</v>
      </c>
      <c r="CO196" s="7" t="str">
        <f t="shared" si="2086"/>
        <v>InitUnitNormal('',,,,,,,,,,)</v>
      </c>
      <c r="CP196" s="7" t="str">
        <f t="shared" si="2087"/>
        <v>InitUnitMagic('',,,,,,,,,,)</v>
      </c>
      <c r="CQ196" s="7" t="str">
        <f t="shared" si="2088"/>
        <v>InitUnitAdd('',,,,,,,,,,)</v>
      </c>
      <c r="CR196" s="7" t="str">
        <f t="shared" si="2089"/>
        <v>InitEquipData('',,"",,,,,'','','','','','',"")</v>
      </c>
      <c r="CU196" s="29" t="str">
        <f t="shared" si="2090"/>
        <v>|n</v>
      </c>
      <c r="CW196" s="24"/>
      <c r="CX196" s="24"/>
      <c r="CY196" s="24"/>
      <c r="CZ196" s="24"/>
      <c r="DA196" s="24"/>
      <c r="DB196" s="30" t="str">
        <f t="shared" si="2091"/>
        <v/>
      </c>
      <c r="DC196" s="30" t="str">
        <f t="shared" si="2092"/>
        <v/>
      </c>
      <c r="DD196" s="30" t="str">
        <f t="shared" si="2093"/>
        <v/>
      </c>
      <c r="DE196" s="30" t="str">
        <f t="shared" si="2094"/>
        <v/>
      </c>
      <c r="DF196" s="30" t="str">
        <f t="shared" si="2095"/>
        <v/>
      </c>
      <c r="DG196" s="30" t="str">
        <f t="shared" si="2096"/>
        <v/>
      </c>
      <c r="DH196" s="30" t="str">
        <f t="shared" si="2097"/>
        <v/>
      </c>
      <c r="DI196" s="30" t="str">
        <f t="shared" si="2098"/>
        <v/>
      </c>
      <c r="DJ196" s="30" t="str">
        <f t="shared" si="2099"/>
        <v/>
      </c>
      <c r="DK196" s="30" t="str">
        <f t="shared" si="2100"/>
        <v/>
      </c>
      <c r="DL196" s="30" t="str">
        <f t="shared" si="2101"/>
        <v/>
      </c>
      <c r="DM196" s="30" t="str">
        <f t="shared" si="2102"/>
        <v/>
      </c>
      <c r="DN196" s="30" t="str">
        <f t="shared" si="2103"/>
        <v/>
      </c>
      <c r="DO196" s="30" t="str">
        <f t="shared" si="2104"/>
        <v/>
      </c>
      <c r="DP196" s="30" t="str">
        <f t="shared" si="2105"/>
        <v/>
      </c>
      <c r="DQ196" s="30" t="str">
        <f t="shared" si="2106"/>
        <v/>
      </c>
      <c r="DR196" s="30" t="str">
        <f t="shared" si="2107"/>
        <v/>
      </c>
      <c r="DS196" s="30" t="str">
        <f t="shared" si="2108"/>
        <v/>
      </c>
      <c r="DT196" s="30" t="str">
        <f t="shared" si="2109"/>
        <v/>
      </c>
      <c r="DU196" s="30" t="str">
        <f t="shared" si="2110"/>
        <v/>
      </c>
      <c r="DV196" s="30" t="str">
        <f t="shared" si="2111"/>
        <v/>
      </c>
      <c r="DW196" s="30" t="str">
        <f t="shared" si="2112"/>
        <v/>
      </c>
      <c r="DX196" s="30" t="str">
        <f t="shared" si="2113"/>
        <v/>
      </c>
      <c r="DY196" s="30" t="str">
        <f t="shared" si="2114"/>
        <v/>
      </c>
      <c r="DZ196" s="30" t="str">
        <f t="shared" si="2115"/>
        <v/>
      </c>
      <c r="EA196" s="30" t="str">
        <f t="shared" si="2116"/>
        <v/>
      </c>
      <c r="EB196" s="30" t="str">
        <f t="shared" si="2117"/>
        <v/>
      </c>
      <c r="EC196" s="30" t="str">
        <f t="shared" si="2118"/>
        <v/>
      </c>
      <c r="ED196" s="30" t="str">
        <f t="shared" si="2119"/>
        <v/>
      </c>
      <c r="EE196" s="30" t="str">
        <f t="shared" si="2120"/>
        <v/>
      </c>
      <c r="EF196" s="30" t="str">
        <f t="shared" si="2121"/>
        <v/>
      </c>
      <c r="EG196" s="30" t="str">
        <f t="shared" si="2122"/>
        <v/>
      </c>
      <c r="EH196" s="30" t="str">
        <f t="shared" si="2123"/>
        <v/>
      </c>
      <c r="EI196" s="30" t="str">
        <f t="shared" si="2124"/>
        <v/>
      </c>
      <c r="EJ196" s="30" t="str">
        <f t="shared" si="2125"/>
        <v/>
      </c>
      <c r="EK196" s="30" t="str">
        <f t="shared" si="2126"/>
        <v/>
      </c>
      <c r="EL196" s="30" t="str">
        <f t="shared" si="2127"/>
        <v/>
      </c>
      <c r="EM196" s="30" t="str">
        <f t="shared" si="2128"/>
        <v/>
      </c>
      <c r="EN196" s="30" t="str">
        <f t="shared" si="2129"/>
        <v/>
      </c>
      <c r="EO196" s="30" t="str">
        <f t="shared" si="2130"/>
        <v/>
      </c>
      <c r="EP196" s="30" t="str">
        <f t="shared" si="2131"/>
        <v/>
      </c>
      <c r="EQ196" s="30" t="str">
        <f t="shared" si="2132"/>
        <v/>
      </c>
      <c r="ER196" s="30" t="str">
        <f t="shared" si="2133"/>
        <v/>
      </c>
      <c r="ES196" s="30" t="str">
        <f t="shared" si="2134"/>
        <v/>
      </c>
      <c r="ET196" s="30" t="str">
        <f t="shared" si="2135"/>
        <v/>
      </c>
      <c r="EU196" s="30" t="str">
        <f t="shared" si="2136"/>
        <v/>
      </c>
      <c r="EV196" s="30" t="str">
        <f t="shared" si="2137"/>
        <v/>
      </c>
      <c r="EW196" s="30" t="str">
        <f t="shared" si="2138"/>
        <v/>
      </c>
      <c r="EX196" s="30" t="str">
        <f t="shared" si="2139"/>
        <v/>
      </c>
      <c r="EY196" s="30" t="str">
        <f t="shared" si="2140"/>
        <v/>
      </c>
      <c r="EZ196" s="30" t="str">
        <f t="shared" si="2141"/>
        <v/>
      </c>
      <c r="FA196" s="30" t="str">
        <f t="shared" si="2142"/>
        <v/>
      </c>
      <c r="FB196" s="30" t="str">
        <f t="shared" si="2143"/>
        <v/>
      </c>
      <c r="FC196" s="30" t="str">
        <f t="shared" si="2144"/>
        <v/>
      </c>
      <c r="FD196" s="30" t="str">
        <f t="shared" si="2145"/>
        <v/>
      </c>
      <c r="FE196" s="30" t="str">
        <f t="shared" si="2146"/>
        <v/>
      </c>
      <c r="FF196" s="30" t="str">
        <f t="shared" si="2147"/>
        <v/>
      </c>
      <c r="FG196" s="30" t="str">
        <f t="shared" si="2148"/>
        <v/>
      </c>
      <c r="FH196" s="30" t="str">
        <f t="shared" si="2149"/>
        <v/>
      </c>
      <c r="FI196" s="30" t="str">
        <f t="shared" si="2150"/>
        <v/>
      </c>
      <c r="FJ196" s="30" t="str">
        <f t="shared" si="2151"/>
        <v/>
      </c>
      <c r="FK196" s="30" t="str">
        <f t="shared" si="2152"/>
        <v/>
      </c>
      <c r="FL196" s="30" t="str">
        <f t="shared" si="2153"/>
        <v/>
      </c>
      <c r="FM196" s="30" t="str">
        <f t="shared" si="2154"/>
        <v/>
      </c>
      <c r="FN196" s="30" t="str">
        <f t="shared" si="2155"/>
        <v/>
      </c>
      <c r="FO196" s="30" t="str">
        <f t="shared" si="2156"/>
        <v/>
      </c>
      <c r="FP196" s="30" t="str">
        <f t="shared" si="2157"/>
        <v/>
      </c>
      <c r="FQ196" s="30" t="str">
        <f t="shared" si="2158"/>
        <v/>
      </c>
      <c r="FR196" s="30" t="str">
        <f t="shared" si="2159"/>
        <v/>
      </c>
      <c r="FS196" s="30" t="str">
        <f t="shared" si="2160"/>
        <v/>
      </c>
    </row>
    <row r="197" spans="92:175">
      <c r="CN197" s="7" t="str">
        <f t="shared" si="2085"/>
        <v>InitUnitState('',,,,,,,,,,)</v>
      </c>
      <c r="CO197" s="7" t="str">
        <f t="shared" si="2086"/>
        <v>InitUnitNormal('',,,,,,,,,,)</v>
      </c>
      <c r="CP197" s="7" t="str">
        <f t="shared" si="2087"/>
        <v>InitUnitMagic('',,,,,,,,,,)</v>
      </c>
      <c r="CQ197" s="7" t="str">
        <f t="shared" si="2088"/>
        <v>InitUnitAdd('',,,,,,,,,,)</v>
      </c>
      <c r="CR197" s="7" t="str">
        <f t="shared" si="2089"/>
        <v>InitEquipData('',,"",,,,,'','','','','','',"")</v>
      </c>
      <c r="CU197" s="29" t="str">
        <f t="shared" si="2090"/>
        <v>|n</v>
      </c>
      <c r="CW197" s="24"/>
      <c r="CX197" s="24"/>
      <c r="CY197" s="24"/>
      <c r="CZ197" s="24"/>
      <c r="DA197" s="24"/>
      <c r="DB197" s="30" t="str">
        <f t="shared" si="2091"/>
        <v/>
      </c>
      <c r="DC197" s="30" t="str">
        <f t="shared" si="2092"/>
        <v/>
      </c>
      <c r="DD197" s="30" t="str">
        <f t="shared" si="2093"/>
        <v/>
      </c>
      <c r="DE197" s="30" t="str">
        <f t="shared" si="2094"/>
        <v/>
      </c>
      <c r="DF197" s="30" t="str">
        <f t="shared" si="2095"/>
        <v/>
      </c>
      <c r="DG197" s="30" t="str">
        <f t="shared" si="2096"/>
        <v/>
      </c>
      <c r="DH197" s="30" t="str">
        <f t="shared" si="2097"/>
        <v/>
      </c>
      <c r="DI197" s="30" t="str">
        <f t="shared" si="2098"/>
        <v/>
      </c>
      <c r="DJ197" s="30" t="str">
        <f t="shared" si="2099"/>
        <v/>
      </c>
      <c r="DK197" s="30" t="str">
        <f t="shared" si="2100"/>
        <v/>
      </c>
      <c r="DL197" s="30" t="str">
        <f t="shared" si="2101"/>
        <v/>
      </c>
      <c r="DM197" s="30" t="str">
        <f t="shared" si="2102"/>
        <v/>
      </c>
      <c r="DN197" s="30" t="str">
        <f t="shared" si="2103"/>
        <v/>
      </c>
      <c r="DO197" s="30" t="str">
        <f t="shared" si="2104"/>
        <v/>
      </c>
      <c r="DP197" s="30" t="str">
        <f t="shared" si="2105"/>
        <v/>
      </c>
      <c r="DQ197" s="30" t="str">
        <f t="shared" si="2106"/>
        <v/>
      </c>
      <c r="DR197" s="30" t="str">
        <f t="shared" si="2107"/>
        <v/>
      </c>
      <c r="DS197" s="30" t="str">
        <f t="shared" si="2108"/>
        <v/>
      </c>
      <c r="DT197" s="30" t="str">
        <f t="shared" si="2109"/>
        <v/>
      </c>
      <c r="DU197" s="30" t="str">
        <f t="shared" si="2110"/>
        <v/>
      </c>
      <c r="DV197" s="30" t="str">
        <f t="shared" si="2111"/>
        <v/>
      </c>
      <c r="DW197" s="30" t="str">
        <f t="shared" si="2112"/>
        <v/>
      </c>
      <c r="DX197" s="30" t="str">
        <f t="shared" si="2113"/>
        <v/>
      </c>
      <c r="DY197" s="30" t="str">
        <f t="shared" si="2114"/>
        <v/>
      </c>
      <c r="DZ197" s="30" t="str">
        <f t="shared" si="2115"/>
        <v/>
      </c>
      <c r="EA197" s="30" t="str">
        <f t="shared" si="2116"/>
        <v/>
      </c>
      <c r="EB197" s="30" t="str">
        <f t="shared" si="2117"/>
        <v/>
      </c>
      <c r="EC197" s="30" t="str">
        <f t="shared" si="2118"/>
        <v/>
      </c>
      <c r="ED197" s="30" t="str">
        <f t="shared" si="2119"/>
        <v/>
      </c>
      <c r="EE197" s="30" t="str">
        <f t="shared" si="2120"/>
        <v/>
      </c>
      <c r="EF197" s="30" t="str">
        <f t="shared" si="2121"/>
        <v/>
      </c>
      <c r="EG197" s="30" t="str">
        <f t="shared" si="2122"/>
        <v/>
      </c>
      <c r="EH197" s="30" t="str">
        <f t="shared" si="2123"/>
        <v/>
      </c>
      <c r="EI197" s="30" t="str">
        <f t="shared" si="2124"/>
        <v/>
      </c>
      <c r="EJ197" s="30" t="str">
        <f t="shared" si="2125"/>
        <v/>
      </c>
      <c r="EK197" s="30" t="str">
        <f t="shared" si="2126"/>
        <v/>
      </c>
      <c r="EL197" s="30" t="str">
        <f t="shared" si="2127"/>
        <v/>
      </c>
      <c r="EM197" s="30" t="str">
        <f t="shared" si="2128"/>
        <v/>
      </c>
      <c r="EN197" s="30" t="str">
        <f t="shared" si="2129"/>
        <v/>
      </c>
      <c r="EO197" s="30" t="str">
        <f t="shared" si="2130"/>
        <v/>
      </c>
      <c r="EP197" s="30" t="str">
        <f t="shared" si="2131"/>
        <v/>
      </c>
      <c r="EQ197" s="30" t="str">
        <f t="shared" si="2132"/>
        <v/>
      </c>
      <c r="ER197" s="30" t="str">
        <f t="shared" si="2133"/>
        <v/>
      </c>
      <c r="ES197" s="30" t="str">
        <f t="shared" si="2134"/>
        <v/>
      </c>
      <c r="ET197" s="30" t="str">
        <f t="shared" si="2135"/>
        <v/>
      </c>
      <c r="EU197" s="30" t="str">
        <f t="shared" si="2136"/>
        <v/>
      </c>
      <c r="EV197" s="30" t="str">
        <f t="shared" si="2137"/>
        <v/>
      </c>
      <c r="EW197" s="30" t="str">
        <f t="shared" si="2138"/>
        <v/>
      </c>
      <c r="EX197" s="30" t="str">
        <f t="shared" si="2139"/>
        <v/>
      </c>
      <c r="EY197" s="30" t="str">
        <f t="shared" si="2140"/>
        <v/>
      </c>
      <c r="EZ197" s="30" t="str">
        <f t="shared" si="2141"/>
        <v/>
      </c>
      <c r="FA197" s="30" t="str">
        <f t="shared" si="2142"/>
        <v/>
      </c>
      <c r="FB197" s="30" t="str">
        <f t="shared" si="2143"/>
        <v/>
      </c>
      <c r="FC197" s="30" t="str">
        <f t="shared" si="2144"/>
        <v/>
      </c>
      <c r="FD197" s="30" t="str">
        <f t="shared" si="2145"/>
        <v/>
      </c>
      <c r="FE197" s="30" t="str">
        <f t="shared" si="2146"/>
        <v/>
      </c>
      <c r="FF197" s="30" t="str">
        <f t="shared" si="2147"/>
        <v/>
      </c>
      <c r="FG197" s="30" t="str">
        <f t="shared" si="2148"/>
        <v/>
      </c>
      <c r="FH197" s="30" t="str">
        <f t="shared" si="2149"/>
        <v/>
      </c>
      <c r="FI197" s="30" t="str">
        <f t="shared" si="2150"/>
        <v/>
      </c>
      <c r="FJ197" s="30" t="str">
        <f t="shared" si="2151"/>
        <v/>
      </c>
      <c r="FK197" s="30" t="str">
        <f t="shared" si="2152"/>
        <v/>
      </c>
      <c r="FL197" s="30" t="str">
        <f t="shared" si="2153"/>
        <v/>
      </c>
      <c r="FM197" s="30" t="str">
        <f t="shared" si="2154"/>
        <v/>
      </c>
      <c r="FN197" s="30" t="str">
        <f t="shared" si="2155"/>
        <v/>
      </c>
      <c r="FO197" s="30" t="str">
        <f t="shared" si="2156"/>
        <v/>
      </c>
      <c r="FP197" s="30" t="str">
        <f t="shared" si="2157"/>
        <v/>
      </c>
      <c r="FQ197" s="30" t="str">
        <f t="shared" si="2158"/>
        <v/>
      </c>
      <c r="FR197" s="30" t="str">
        <f t="shared" si="2159"/>
        <v/>
      </c>
      <c r="FS197" s="30" t="str">
        <f t="shared" si="2160"/>
        <v/>
      </c>
    </row>
    <row r="198" spans="92:175">
      <c r="CN198" s="7" t="str">
        <f t="shared" si="2085"/>
        <v>InitUnitState('',,,,,,,,,,)</v>
      </c>
      <c r="CO198" s="7" t="str">
        <f t="shared" si="2086"/>
        <v>InitUnitNormal('',,,,,,,,,,)</v>
      </c>
      <c r="CP198" s="7" t="str">
        <f t="shared" si="2087"/>
        <v>InitUnitMagic('',,,,,,,,,,)</v>
      </c>
      <c r="CQ198" s="7" t="str">
        <f t="shared" si="2088"/>
        <v>InitUnitAdd('',,,,,,,,,,)</v>
      </c>
      <c r="CR198" s="7" t="str">
        <f t="shared" si="2089"/>
        <v>InitEquipData('',,"",,,,,'','','','','','',"")</v>
      </c>
      <c r="CU198" s="29" t="str">
        <f t="shared" si="2090"/>
        <v>|n</v>
      </c>
      <c r="CW198" s="24"/>
      <c r="CX198" s="24"/>
      <c r="CY198" s="24"/>
      <c r="CZ198" s="24"/>
      <c r="DA198" s="24"/>
      <c r="DB198" s="30" t="str">
        <f t="shared" si="2091"/>
        <v/>
      </c>
      <c r="DC198" s="30" t="str">
        <f t="shared" si="2092"/>
        <v/>
      </c>
      <c r="DD198" s="30" t="str">
        <f t="shared" si="2093"/>
        <v/>
      </c>
      <c r="DE198" s="30" t="str">
        <f t="shared" si="2094"/>
        <v/>
      </c>
      <c r="DF198" s="30" t="str">
        <f t="shared" si="2095"/>
        <v/>
      </c>
      <c r="DG198" s="30" t="str">
        <f t="shared" si="2096"/>
        <v/>
      </c>
      <c r="DH198" s="30" t="str">
        <f t="shared" si="2097"/>
        <v/>
      </c>
      <c r="DI198" s="30" t="str">
        <f t="shared" si="2098"/>
        <v/>
      </c>
      <c r="DJ198" s="30" t="str">
        <f t="shared" si="2099"/>
        <v/>
      </c>
      <c r="DK198" s="30" t="str">
        <f t="shared" si="2100"/>
        <v/>
      </c>
      <c r="DL198" s="30" t="str">
        <f t="shared" si="2101"/>
        <v/>
      </c>
      <c r="DM198" s="30" t="str">
        <f t="shared" si="2102"/>
        <v/>
      </c>
      <c r="DN198" s="30" t="str">
        <f t="shared" si="2103"/>
        <v/>
      </c>
      <c r="DO198" s="30" t="str">
        <f t="shared" si="2104"/>
        <v/>
      </c>
      <c r="DP198" s="30" t="str">
        <f t="shared" si="2105"/>
        <v/>
      </c>
      <c r="DQ198" s="30" t="str">
        <f t="shared" si="2106"/>
        <v/>
      </c>
      <c r="DR198" s="30" t="str">
        <f t="shared" si="2107"/>
        <v/>
      </c>
      <c r="DS198" s="30" t="str">
        <f t="shared" si="2108"/>
        <v/>
      </c>
      <c r="DT198" s="30" t="str">
        <f t="shared" si="2109"/>
        <v/>
      </c>
      <c r="DU198" s="30" t="str">
        <f t="shared" si="2110"/>
        <v/>
      </c>
      <c r="DV198" s="30" t="str">
        <f t="shared" si="2111"/>
        <v/>
      </c>
      <c r="DW198" s="30" t="str">
        <f t="shared" si="2112"/>
        <v/>
      </c>
      <c r="DX198" s="30" t="str">
        <f t="shared" si="2113"/>
        <v/>
      </c>
      <c r="DY198" s="30" t="str">
        <f t="shared" si="2114"/>
        <v/>
      </c>
      <c r="DZ198" s="30" t="str">
        <f t="shared" si="2115"/>
        <v/>
      </c>
      <c r="EA198" s="30" t="str">
        <f t="shared" si="2116"/>
        <v/>
      </c>
      <c r="EB198" s="30" t="str">
        <f t="shared" si="2117"/>
        <v/>
      </c>
      <c r="EC198" s="30" t="str">
        <f t="shared" si="2118"/>
        <v/>
      </c>
      <c r="ED198" s="30" t="str">
        <f t="shared" si="2119"/>
        <v/>
      </c>
      <c r="EE198" s="30" t="str">
        <f t="shared" si="2120"/>
        <v/>
      </c>
      <c r="EF198" s="30" t="str">
        <f t="shared" si="2121"/>
        <v/>
      </c>
      <c r="EG198" s="30" t="str">
        <f t="shared" si="2122"/>
        <v/>
      </c>
      <c r="EH198" s="30" t="str">
        <f t="shared" si="2123"/>
        <v/>
      </c>
      <c r="EI198" s="30" t="str">
        <f t="shared" si="2124"/>
        <v/>
      </c>
      <c r="EJ198" s="30" t="str">
        <f t="shared" si="2125"/>
        <v/>
      </c>
      <c r="EK198" s="30" t="str">
        <f t="shared" si="2126"/>
        <v/>
      </c>
      <c r="EL198" s="30" t="str">
        <f t="shared" si="2127"/>
        <v/>
      </c>
      <c r="EM198" s="30" t="str">
        <f t="shared" si="2128"/>
        <v/>
      </c>
      <c r="EN198" s="30" t="str">
        <f t="shared" si="2129"/>
        <v/>
      </c>
      <c r="EO198" s="30" t="str">
        <f t="shared" si="2130"/>
        <v/>
      </c>
      <c r="EP198" s="30" t="str">
        <f t="shared" si="2131"/>
        <v/>
      </c>
      <c r="EQ198" s="30" t="str">
        <f t="shared" si="2132"/>
        <v/>
      </c>
      <c r="ER198" s="30" t="str">
        <f t="shared" si="2133"/>
        <v/>
      </c>
      <c r="ES198" s="30" t="str">
        <f t="shared" si="2134"/>
        <v/>
      </c>
      <c r="ET198" s="30" t="str">
        <f t="shared" si="2135"/>
        <v/>
      </c>
      <c r="EU198" s="30" t="str">
        <f t="shared" si="2136"/>
        <v/>
      </c>
      <c r="EV198" s="30" t="str">
        <f t="shared" si="2137"/>
        <v/>
      </c>
      <c r="EW198" s="30" t="str">
        <f t="shared" si="2138"/>
        <v/>
      </c>
      <c r="EX198" s="30" t="str">
        <f t="shared" si="2139"/>
        <v/>
      </c>
      <c r="EY198" s="30" t="str">
        <f t="shared" si="2140"/>
        <v/>
      </c>
      <c r="EZ198" s="30" t="str">
        <f t="shared" si="2141"/>
        <v/>
      </c>
      <c r="FA198" s="30" t="str">
        <f t="shared" si="2142"/>
        <v/>
      </c>
      <c r="FB198" s="30" t="str">
        <f t="shared" si="2143"/>
        <v/>
      </c>
      <c r="FC198" s="30" t="str">
        <f t="shared" si="2144"/>
        <v/>
      </c>
      <c r="FD198" s="30" t="str">
        <f t="shared" si="2145"/>
        <v/>
      </c>
      <c r="FE198" s="30" t="str">
        <f t="shared" si="2146"/>
        <v/>
      </c>
      <c r="FF198" s="30" t="str">
        <f t="shared" si="2147"/>
        <v/>
      </c>
      <c r="FG198" s="30" t="str">
        <f t="shared" si="2148"/>
        <v/>
      </c>
      <c r="FH198" s="30" t="str">
        <f t="shared" si="2149"/>
        <v/>
      </c>
      <c r="FI198" s="30" t="str">
        <f t="shared" si="2150"/>
        <v/>
      </c>
      <c r="FJ198" s="30" t="str">
        <f t="shared" si="2151"/>
        <v/>
      </c>
      <c r="FK198" s="30" t="str">
        <f t="shared" si="2152"/>
        <v/>
      </c>
      <c r="FL198" s="30" t="str">
        <f t="shared" si="2153"/>
        <v/>
      </c>
      <c r="FM198" s="30" t="str">
        <f t="shared" si="2154"/>
        <v/>
      </c>
      <c r="FN198" s="30" t="str">
        <f t="shared" si="2155"/>
        <v/>
      </c>
      <c r="FO198" s="30" t="str">
        <f t="shared" si="2156"/>
        <v/>
      </c>
      <c r="FP198" s="30" t="str">
        <f t="shared" si="2157"/>
        <v/>
      </c>
      <c r="FQ198" s="30" t="str">
        <f t="shared" si="2158"/>
        <v/>
      </c>
      <c r="FR198" s="30" t="str">
        <f t="shared" si="2159"/>
        <v/>
      </c>
      <c r="FS198" s="30" t="str">
        <f t="shared" si="2160"/>
        <v/>
      </c>
    </row>
    <row r="199" spans="92:175">
      <c r="CN199" s="7" t="str">
        <f t="shared" si="2085"/>
        <v>InitUnitState('',,,,,,,,,,)</v>
      </c>
      <c r="CO199" s="7" t="str">
        <f t="shared" si="2086"/>
        <v>InitUnitNormal('',,,,,,,,,,)</v>
      </c>
      <c r="CP199" s="7" t="str">
        <f t="shared" si="2087"/>
        <v>InitUnitMagic('',,,,,,,,,,)</v>
      </c>
      <c r="CQ199" s="7" t="str">
        <f t="shared" si="2088"/>
        <v>InitUnitAdd('',,,,,,,,,,)</v>
      </c>
      <c r="CR199" s="7" t="str">
        <f t="shared" si="2089"/>
        <v>InitEquipData('',,"",,,,,'','','','','','',"")</v>
      </c>
      <c r="CU199" s="29" t="str">
        <f t="shared" si="2090"/>
        <v>|n</v>
      </c>
      <c r="CW199" s="24"/>
      <c r="CX199" s="24"/>
      <c r="CY199" s="24"/>
      <c r="CZ199" s="24"/>
      <c r="DA199" s="24"/>
      <c r="DB199" s="30" t="str">
        <f t="shared" si="2091"/>
        <v/>
      </c>
      <c r="DC199" s="30" t="str">
        <f t="shared" si="2092"/>
        <v/>
      </c>
      <c r="DD199" s="30" t="str">
        <f t="shared" si="2093"/>
        <v/>
      </c>
      <c r="DE199" s="30" t="str">
        <f t="shared" si="2094"/>
        <v/>
      </c>
      <c r="DF199" s="30" t="str">
        <f t="shared" si="2095"/>
        <v/>
      </c>
      <c r="DG199" s="30" t="str">
        <f t="shared" si="2096"/>
        <v/>
      </c>
      <c r="DH199" s="30" t="str">
        <f t="shared" si="2097"/>
        <v/>
      </c>
      <c r="DI199" s="30" t="str">
        <f t="shared" si="2098"/>
        <v/>
      </c>
      <c r="DJ199" s="30" t="str">
        <f t="shared" si="2099"/>
        <v/>
      </c>
      <c r="DK199" s="30" t="str">
        <f t="shared" si="2100"/>
        <v/>
      </c>
      <c r="DL199" s="30" t="str">
        <f t="shared" si="2101"/>
        <v/>
      </c>
      <c r="DM199" s="30" t="str">
        <f t="shared" si="2102"/>
        <v/>
      </c>
      <c r="DN199" s="30" t="str">
        <f t="shared" si="2103"/>
        <v/>
      </c>
      <c r="DO199" s="30" t="str">
        <f t="shared" si="2104"/>
        <v/>
      </c>
      <c r="DP199" s="30" t="str">
        <f t="shared" si="2105"/>
        <v/>
      </c>
      <c r="DQ199" s="30" t="str">
        <f t="shared" si="2106"/>
        <v/>
      </c>
      <c r="DR199" s="30" t="str">
        <f t="shared" si="2107"/>
        <v/>
      </c>
      <c r="DS199" s="30" t="str">
        <f t="shared" si="2108"/>
        <v/>
      </c>
      <c r="DT199" s="30" t="str">
        <f t="shared" si="2109"/>
        <v/>
      </c>
      <c r="DU199" s="30" t="str">
        <f t="shared" si="2110"/>
        <v/>
      </c>
      <c r="DV199" s="30" t="str">
        <f t="shared" si="2111"/>
        <v/>
      </c>
      <c r="DW199" s="30" t="str">
        <f t="shared" si="2112"/>
        <v/>
      </c>
      <c r="DX199" s="30" t="str">
        <f t="shared" si="2113"/>
        <v/>
      </c>
      <c r="DY199" s="30" t="str">
        <f t="shared" si="2114"/>
        <v/>
      </c>
      <c r="DZ199" s="30" t="str">
        <f t="shared" si="2115"/>
        <v/>
      </c>
      <c r="EA199" s="30" t="str">
        <f t="shared" si="2116"/>
        <v/>
      </c>
      <c r="EB199" s="30" t="str">
        <f t="shared" si="2117"/>
        <v/>
      </c>
      <c r="EC199" s="30" t="str">
        <f t="shared" si="2118"/>
        <v/>
      </c>
      <c r="ED199" s="30" t="str">
        <f t="shared" si="2119"/>
        <v/>
      </c>
      <c r="EE199" s="30" t="str">
        <f t="shared" si="2120"/>
        <v/>
      </c>
      <c r="EF199" s="30" t="str">
        <f t="shared" si="2121"/>
        <v/>
      </c>
      <c r="EG199" s="30" t="str">
        <f t="shared" si="2122"/>
        <v/>
      </c>
      <c r="EH199" s="30" t="str">
        <f t="shared" si="2123"/>
        <v/>
      </c>
      <c r="EI199" s="30" t="str">
        <f t="shared" si="2124"/>
        <v/>
      </c>
      <c r="EJ199" s="30" t="str">
        <f t="shared" si="2125"/>
        <v/>
      </c>
      <c r="EK199" s="30" t="str">
        <f t="shared" si="2126"/>
        <v/>
      </c>
      <c r="EL199" s="30" t="str">
        <f t="shared" si="2127"/>
        <v/>
      </c>
      <c r="EM199" s="30" t="str">
        <f t="shared" si="2128"/>
        <v/>
      </c>
      <c r="EN199" s="30" t="str">
        <f t="shared" si="2129"/>
        <v/>
      </c>
      <c r="EO199" s="30" t="str">
        <f t="shared" si="2130"/>
        <v/>
      </c>
      <c r="EP199" s="30" t="str">
        <f t="shared" si="2131"/>
        <v/>
      </c>
      <c r="EQ199" s="30" t="str">
        <f t="shared" si="2132"/>
        <v/>
      </c>
      <c r="ER199" s="30" t="str">
        <f t="shared" si="2133"/>
        <v/>
      </c>
      <c r="ES199" s="30" t="str">
        <f t="shared" si="2134"/>
        <v/>
      </c>
      <c r="ET199" s="30" t="str">
        <f t="shared" si="2135"/>
        <v/>
      </c>
      <c r="EU199" s="30" t="str">
        <f t="shared" si="2136"/>
        <v/>
      </c>
      <c r="EV199" s="30" t="str">
        <f t="shared" si="2137"/>
        <v/>
      </c>
      <c r="EW199" s="30" t="str">
        <f t="shared" si="2138"/>
        <v/>
      </c>
      <c r="EX199" s="30" t="str">
        <f t="shared" si="2139"/>
        <v/>
      </c>
      <c r="EY199" s="30" t="str">
        <f t="shared" si="2140"/>
        <v/>
      </c>
      <c r="EZ199" s="30" t="str">
        <f t="shared" si="2141"/>
        <v/>
      </c>
      <c r="FA199" s="30" t="str">
        <f t="shared" si="2142"/>
        <v/>
      </c>
      <c r="FB199" s="30" t="str">
        <f t="shared" si="2143"/>
        <v/>
      </c>
      <c r="FC199" s="30" t="str">
        <f t="shared" si="2144"/>
        <v/>
      </c>
      <c r="FD199" s="30" t="str">
        <f t="shared" si="2145"/>
        <v/>
      </c>
      <c r="FE199" s="30" t="str">
        <f t="shared" si="2146"/>
        <v/>
      </c>
      <c r="FF199" s="30" t="str">
        <f t="shared" si="2147"/>
        <v/>
      </c>
      <c r="FG199" s="30" t="str">
        <f t="shared" si="2148"/>
        <v/>
      </c>
      <c r="FH199" s="30" t="str">
        <f t="shared" si="2149"/>
        <v/>
      </c>
      <c r="FI199" s="30" t="str">
        <f t="shared" si="2150"/>
        <v/>
      </c>
      <c r="FJ199" s="30" t="str">
        <f t="shared" si="2151"/>
        <v/>
      </c>
      <c r="FK199" s="30" t="str">
        <f t="shared" si="2152"/>
        <v/>
      </c>
      <c r="FL199" s="30" t="str">
        <f t="shared" si="2153"/>
        <v/>
      </c>
      <c r="FM199" s="30" t="str">
        <f t="shared" si="2154"/>
        <v/>
      </c>
      <c r="FN199" s="30" t="str">
        <f t="shared" si="2155"/>
        <v/>
      </c>
      <c r="FO199" s="30" t="str">
        <f t="shared" si="2156"/>
        <v/>
      </c>
      <c r="FP199" s="30" t="str">
        <f t="shared" si="2157"/>
        <v/>
      </c>
      <c r="FQ199" s="30" t="str">
        <f t="shared" si="2158"/>
        <v/>
      </c>
      <c r="FR199" s="30" t="str">
        <f t="shared" si="2159"/>
        <v/>
      </c>
      <c r="FS199" s="30" t="str">
        <f t="shared" si="2160"/>
        <v/>
      </c>
    </row>
    <row r="200" spans="92:175">
      <c r="CN200" s="7" t="str">
        <f t="shared" si="2085"/>
        <v>InitUnitState('',,,,,,,,,,)</v>
      </c>
      <c r="CO200" s="7" t="str">
        <f t="shared" si="2086"/>
        <v>InitUnitNormal('',,,,,,,,,,)</v>
      </c>
      <c r="CP200" s="7" t="str">
        <f t="shared" si="2087"/>
        <v>InitUnitMagic('',,,,,,,,,,)</v>
      </c>
      <c r="CQ200" s="7" t="str">
        <f t="shared" si="2088"/>
        <v>InitUnitAdd('',,,,,,,,,,)</v>
      </c>
      <c r="CR200" s="7" t="str">
        <f t="shared" si="2089"/>
        <v>InitEquipData('',,"",,,,,'','','','','','',"")</v>
      </c>
      <c r="CU200" s="29" t="str">
        <f t="shared" si="2090"/>
        <v>|n</v>
      </c>
      <c r="CW200" s="24"/>
      <c r="CX200" s="24"/>
      <c r="CY200" s="24"/>
      <c r="CZ200" s="24"/>
      <c r="DA200" s="24"/>
      <c r="DB200" s="30" t="str">
        <f t="shared" si="2091"/>
        <v/>
      </c>
      <c r="DC200" s="30" t="str">
        <f t="shared" si="2092"/>
        <v/>
      </c>
      <c r="DD200" s="30" t="str">
        <f t="shared" si="2093"/>
        <v/>
      </c>
      <c r="DE200" s="30" t="str">
        <f t="shared" si="2094"/>
        <v/>
      </c>
      <c r="DF200" s="30" t="str">
        <f t="shared" si="2095"/>
        <v/>
      </c>
      <c r="DG200" s="30" t="str">
        <f t="shared" si="2096"/>
        <v/>
      </c>
      <c r="DH200" s="30" t="str">
        <f t="shared" si="2097"/>
        <v/>
      </c>
      <c r="DI200" s="30" t="str">
        <f t="shared" si="2098"/>
        <v/>
      </c>
      <c r="DJ200" s="30" t="str">
        <f t="shared" si="2099"/>
        <v/>
      </c>
      <c r="DK200" s="30" t="str">
        <f t="shared" si="2100"/>
        <v/>
      </c>
      <c r="DL200" s="30" t="str">
        <f t="shared" si="2101"/>
        <v/>
      </c>
      <c r="DM200" s="30" t="str">
        <f t="shared" si="2102"/>
        <v/>
      </c>
      <c r="DN200" s="30" t="str">
        <f t="shared" si="2103"/>
        <v/>
      </c>
      <c r="DO200" s="30" t="str">
        <f t="shared" si="2104"/>
        <v/>
      </c>
      <c r="DP200" s="30" t="str">
        <f t="shared" si="2105"/>
        <v/>
      </c>
      <c r="DQ200" s="30" t="str">
        <f t="shared" si="2106"/>
        <v/>
      </c>
      <c r="DR200" s="30" t="str">
        <f t="shared" si="2107"/>
        <v/>
      </c>
      <c r="DS200" s="30" t="str">
        <f t="shared" si="2108"/>
        <v/>
      </c>
      <c r="DT200" s="30" t="str">
        <f t="shared" si="2109"/>
        <v/>
      </c>
      <c r="DU200" s="30" t="str">
        <f t="shared" si="2110"/>
        <v/>
      </c>
      <c r="DV200" s="30" t="str">
        <f t="shared" si="2111"/>
        <v/>
      </c>
      <c r="DW200" s="30" t="str">
        <f t="shared" si="2112"/>
        <v/>
      </c>
      <c r="DX200" s="30" t="str">
        <f t="shared" si="2113"/>
        <v/>
      </c>
      <c r="DY200" s="30" t="str">
        <f t="shared" si="2114"/>
        <v/>
      </c>
      <c r="DZ200" s="30" t="str">
        <f t="shared" si="2115"/>
        <v/>
      </c>
      <c r="EA200" s="30" t="str">
        <f t="shared" si="2116"/>
        <v/>
      </c>
      <c r="EB200" s="30" t="str">
        <f t="shared" si="2117"/>
        <v/>
      </c>
      <c r="EC200" s="30" t="str">
        <f t="shared" si="2118"/>
        <v/>
      </c>
      <c r="ED200" s="30" t="str">
        <f t="shared" si="2119"/>
        <v/>
      </c>
      <c r="EE200" s="30" t="str">
        <f t="shared" si="2120"/>
        <v/>
      </c>
      <c r="EF200" s="30" t="str">
        <f t="shared" si="2121"/>
        <v/>
      </c>
      <c r="EG200" s="30" t="str">
        <f t="shared" si="2122"/>
        <v/>
      </c>
      <c r="EH200" s="30" t="str">
        <f t="shared" si="2123"/>
        <v/>
      </c>
      <c r="EI200" s="30" t="str">
        <f t="shared" si="2124"/>
        <v/>
      </c>
      <c r="EJ200" s="30" t="str">
        <f t="shared" si="2125"/>
        <v/>
      </c>
      <c r="EK200" s="30" t="str">
        <f t="shared" si="2126"/>
        <v/>
      </c>
      <c r="EL200" s="30" t="str">
        <f t="shared" si="2127"/>
        <v/>
      </c>
      <c r="EM200" s="30" t="str">
        <f t="shared" si="2128"/>
        <v/>
      </c>
      <c r="EN200" s="30" t="str">
        <f t="shared" si="2129"/>
        <v/>
      </c>
      <c r="EO200" s="30" t="str">
        <f t="shared" si="2130"/>
        <v/>
      </c>
      <c r="EP200" s="30" t="str">
        <f t="shared" si="2131"/>
        <v/>
      </c>
      <c r="EQ200" s="30" t="str">
        <f t="shared" si="2132"/>
        <v/>
      </c>
      <c r="ER200" s="30" t="str">
        <f t="shared" si="2133"/>
        <v/>
      </c>
      <c r="ES200" s="30" t="str">
        <f t="shared" si="2134"/>
        <v/>
      </c>
      <c r="ET200" s="30" t="str">
        <f t="shared" si="2135"/>
        <v/>
      </c>
      <c r="EU200" s="30" t="str">
        <f t="shared" si="2136"/>
        <v/>
      </c>
      <c r="EV200" s="30" t="str">
        <f t="shared" si="2137"/>
        <v/>
      </c>
      <c r="EW200" s="30" t="str">
        <f t="shared" si="2138"/>
        <v/>
      </c>
      <c r="EX200" s="30" t="str">
        <f t="shared" si="2139"/>
        <v/>
      </c>
      <c r="EY200" s="30" t="str">
        <f t="shared" si="2140"/>
        <v/>
      </c>
      <c r="EZ200" s="30" t="str">
        <f t="shared" si="2141"/>
        <v/>
      </c>
      <c r="FA200" s="30" t="str">
        <f t="shared" si="2142"/>
        <v/>
      </c>
      <c r="FB200" s="30" t="str">
        <f t="shared" si="2143"/>
        <v/>
      </c>
      <c r="FC200" s="30" t="str">
        <f t="shared" si="2144"/>
        <v/>
      </c>
      <c r="FD200" s="30" t="str">
        <f t="shared" si="2145"/>
        <v/>
      </c>
      <c r="FE200" s="30" t="str">
        <f t="shared" si="2146"/>
        <v/>
      </c>
      <c r="FF200" s="30" t="str">
        <f t="shared" si="2147"/>
        <v/>
      </c>
      <c r="FG200" s="30" t="str">
        <f t="shared" si="2148"/>
        <v/>
      </c>
      <c r="FH200" s="30" t="str">
        <f t="shared" si="2149"/>
        <v/>
      </c>
      <c r="FI200" s="30" t="str">
        <f t="shared" si="2150"/>
        <v/>
      </c>
      <c r="FJ200" s="30" t="str">
        <f t="shared" si="2151"/>
        <v/>
      </c>
      <c r="FK200" s="30" t="str">
        <f t="shared" si="2152"/>
        <v/>
      </c>
      <c r="FL200" s="30" t="str">
        <f t="shared" si="2153"/>
        <v/>
      </c>
      <c r="FM200" s="30" t="str">
        <f t="shared" si="2154"/>
        <v/>
      </c>
      <c r="FN200" s="30" t="str">
        <f t="shared" si="2155"/>
        <v/>
      </c>
      <c r="FO200" s="30" t="str">
        <f t="shared" si="2156"/>
        <v/>
      </c>
      <c r="FP200" s="30" t="str">
        <f t="shared" si="2157"/>
        <v/>
      </c>
      <c r="FQ200" s="30" t="str">
        <f t="shared" si="2158"/>
        <v/>
      </c>
      <c r="FR200" s="30" t="str">
        <f t="shared" si="2159"/>
        <v/>
      </c>
      <c r="FS200" s="30" t="str">
        <f t="shared" si="2160"/>
        <v/>
      </c>
    </row>
    <row r="201" spans="92:175">
      <c r="CN201" s="7" t="str">
        <f t="shared" si="2085"/>
        <v>InitUnitState('',,,,,,,,,,)</v>
      </c>
      <c r="CO201" s="7" t="str">
        <f t="shared" si="2086"/>
        <v>InitUnitNormal('',,,,,,,,,,)</v>
      </c>
      <c r="CP201" s="7" t="str">
        <f t="shared" si="2087"/>
        <v>InitUnitMagic('',,,,,,,,,,)</v>
      </c>
      <c r="CQ201" s="7" t="str">
        <f t="shared" si="2088"/>
        <v>InitUnitAdd('',,,,,,,,,,)</v>
      </c>
      <c r="CR201" s="7" t="str">
        <f t="shared" si="2089"/>
        <v>InitEquipData('',,"",,,,,'','','','','','',"")</v>
      </c>
      <c r="CU201" s="29" t="str">
        <f t="shared" si="2090"/>
        <v>|n</v>
      </c>
      <c r="CW201" s="24"/>
      <c r="CX201" s="24"/>
      <c r="CY201" s="24"/>
      <c r="CZ201" s="24"/>
      <c r="DA201" s="24"/>
      <c r="DB201" s="30" t="str">
        <f t="shared" si="2091"/>
        <v/>
      </c>
      <c r="DC201" s="30" t="str">
        <f t="shared" si="2092"/>
        <v/>
      </c>
      <c r="DD201" s="30" t="str">
        <f t="shared" si="2093"/>
        <v/>
      </c>
      <c r="DE201" s="30" t="str">
        <f t="shared" si="2094"/>
        <v/>
      </c>
      <c r="DF201" s="30" t="str">
        <f t="shared" si="2095"/>
        <v/>
      </c>
      <c r="DG201" s="30" t="str">
        <f t="shared" si="2096"/>
        <v/>
      </c>
      <c r="DH201" s="30" t="str">
        <f t="shared" si="2097"/>
        <v/>
      </c>
      <c r="DI201" s="30" t="str">
        <f t="shared" si="2098"/>
        <v/>
      </c>
      <c r="DJ201" s="30" t="str">
        <f t="shared" si="2099"/>
        <v/>
      </c>
      <c r="DK201" s="30" t="str">
        <f t="shared" si="2100"/>
        <v/>
      </c>
      <c r="DL201" s="30" t="str">
        <f t="shared" si="2101"/>
        <v/>
      </c>
      <c r="DM201" s="30" t="str">
        <f t="shared" si="2102"/>
        <v/>
      </c>
      <c r="DN201" s="30" t="str">
        <f t="shared" si="2103"/>
        <v/>
      </c>
      <c r="DO201" s="30" t="str">
        <f t="shared" si="2104"/>
        <v/>
      </c>
      <c r="DP201" s="30" t="str">
        <f t="shared" si="2105"/>
        <v/>
      </c>
      <c r="DQ201" s="30" t="str">
        <f t="shared" si="2106"/>
        <v/>
      </c>
      <c r="DR201" s="30" t="str">
        <f t="shared" si="2107"/>
        <v/>
      </c>
      <c r="DS201" s="30" t="str">
        <f t="shared" si="2108"/>
        <v/>
      </c>
      <c r="DT201" s="30" t="str">
        <f t="shared" si="2109"/>
        <v/>
      </c>
      <c r="DU201" s="30" t="str">
        <f t="shared" si="2110"/>
        <v/>
      </c>
      <c r="DV201" s="30" t="str">
        <f t="shared" si="2111"/>
        <v/>
      </c>
      <c r="DW201" s="30" t="str">
        <f t="shared" si="2112"/>
        <v/>
      </c>
      <c r="DX201" s="30" t="str">
        <f t="shared" si="2113"/>
        <v/>
      </c>
      <c r="DY201" s="30" t="str">
        <f t="shared" si="2114"/>
        <v/>
      </c>
      <c r="DZ201" s="30" t="str">
        <f t="shared" si="2115"/>
        <v/>
      </c>
      <c r="EA201" s="30" t="str">
        <f t="shared" si="2116"/>
        <v/>
      </c>
      <c r="EB201" s="30" t="str">
        <f t="shared" si="2117"/>
        <v/>
      </c>
      <c r="EC201" s="30" t="str">
        <f t="shared" si="2118"/>
        <v/>
      </c>
      <c r="ED201" s="30" t="str">
        <f t="shared" si="2119"/>
        <v/>
      </c>
      <c r="EE201" s="30" t="str">
        <f t="shared" si="2120"/>
        <v/>
      </c>
      <c r="EF201" s="30" t="str">
        <f t="shared" si="2121"/>
        <v/>
      </c>
      <c r="EG201" s="30" t="str">
        <f t="shared" si="2122"/>
        <v/>
      </c>
      <c r="EH201" s="30" t="str">
        <f t="shared" si="2123"/>
        <v/>
      </c>
      <c r="EI201" s="30" t="str">
        <f t="shared" si="2124"/>
        <v/>
      </c>
      <c r="EJ201" s="30" t="str">
        <f t="shared" si="2125"/>
        <v/>
      </c>
      <c r="EK201" s="30" t="str">
        <f t="shared" si="2126"/>
        <v/>
      </c>
      <c r="EL201" s="30" t="str">
        <f t="shared" si="2127"/>
        <v/>
      </c>
      <c r="EM201" s="30" t="str">
        <f t="shared" si="2128"/>
        <v/>
      </c>
      <c r="EN201" s="30" t="str">
        <f t="shared" si="2129"/>
        <v/>
      </c>
      <c r="EO201" s="30" t="str">
        <f t="shared" si="2130"/>
        <v/>
      </c>
      <c r="EP201" s="30" t="str">
        <f t="shared" si="2131"/>
        <v/>
      </c>
      <c r="EQ201" s="30" t="str">
        <f t="shared" si="2132"/>
        <v/>
      </c>
      <c r="ER201" s="30" t="str">
        <f t="shared" si="2133"/>
        <v/>
      </c>
      <c r="ES201" s="30" t="str">
        <f t="shared" si="2134"/>
        <v/>
      </c>
      <c r="ET201" s="30" t="str">
        <f t="shared" si="2135"/>
        <v/>
      </c>
      <c r="EU201" s="30" t="str">
        <f t="shared" si="2136"/>
        <v/>
      </c>
      <c r="EV201" s="30" t="str">
        <f t="shared" si="2137"/>
        <v/>
      </c>
      <c r="EW201" s="30" t="str">
        <f t="shared" si="2138"/>
        <v/>
      </c>
      <c r="EX201" s="30" t="str">
        <f t="shared" si="2139"/>
        <v/>
      </c>
      <c r="EY201" s="30" t="str">
        <f t="shared" si="2140"/>
        <v/>
      </c>
      <c r="EZ201" s="30" t="str">
        <f t="shared" si="2141"/>
        <v/>
      </c>
      <c r="FA201" s="30" t="str">
        <f t="shared" si="2142"/>
        <v/>
      </c>
      <c r="FB201" s="30" t="str">
        <f t="shared" si="2143"/>
        <v/>
      </c>
      <c r="FC201" s="30" t="str">
        <f t="shared" si="2144"/>
        <v/>
      </c>
      <c r="FD201" s="30" t="str">
        <f t="shared" si="2145"/>
        <v/>
      </c>
      <c r="FE201" s="30" t="str">
        <f t="shared" si="2146"/>
        <v/>
      </c>
      <c r="FF201" s="30" t="str">
        <f t="shared" si="2147"/>
        <v/>
      </c>
      <c r="FG201" s="30" t="str">
        <f t="shared" si="2148"/>
        <v/>
      </c>
      <c r="FH201" s="30" t="str">
        <f t="shared" si="2149"/>
        <v/>
      </c>
      <c r="FI201" s="30" t="str">
        <f t="shared" si="2150"/>
        <v/>
      </c>
      <c r="FJ201" s="30" t="str">
        <f t="shared" si="2151"/>
        <v/>
      </c>
      <c r="FK201" s="30" t="str">
        <f t="shared" si="2152"/>
        <v/>
      </c>
      <c r="FL201" s="30" t="str">
        <f t="shared" si="2153"/>
        <v/>
      </c>
      <c r="FM201" s="30" t="str">
        <f t="shared" si="2154"/>
        <v/>
      </c>
      <c r="FN201" s="30" t="str">
        <f t="shared" si="2155"/>
        <v/>
      </c>
      <c r="FO201" s="30" t="str">
        <f t="shared" si="2156"/>
        <v/>
      </c>
      <c r="FP201" s="30" t="str">
        <f t="shared" si="2157"/>
        <v/>
      </c>
      <c r="FQ201" s="30" t="str">
        <f t="shared" si="2158"/>
        <v/>
      </c>
      <c r="FR201" s="30" t="str">
        <f t="shared" si="2159"/>
        <v/>
      </c>
      <c r="FS201" s="30" t="str">
        <f t="shared" si="2160"/>
        <v/>
      </c>
    </row>
    <row r="202" spans="92:175">
      <c r="CN202" s="7" t="str">
        <f t="shared" si="2085"/>
        <v>InitUnitState('',,,,,,,,,,)</v>
      </c>
      <c r="CO202" s="7" t="str">
        <f t="shared" si="2086"/>
        <v>InitUnitNormal('',,,,,,,,,,)</v>
      </c>
      <c r="CP202" s="7" t="str">
        <f t="shared" si="2087"/>
        <v>InitUnitMagic('',,,,,,,,,,)</v>
      </c>
      <c r="CQ202" s="7" t="str">
        <f t="shared" si="2088"/>
        <v>InitUnitAdd('',,,,,,,,,,)</v>
      </c>
      <c r="CR202" s="7" t="str">
        <f t="shared" si="2089"/>
        <v>InitEquipData('',,"",,,,,'','','','','','',"")</v>
      </c>
      <c r="CU202" s="29" t="str">
        <f t="shared" si="2090"/>
        <v>|n</v>
      </c>
      <c r="CW202" s="24"/>
      <c r="CX202" s="24"/>
      <c r="CY202" s="24"/>
      <c r="CZ202" s="24"/>
      <c r="DA202" s="24"/>
      <c r="DB202" s="30" t="str">
        <f t="shared" si="2091"/>
        <v/>
      </c>
      <c r="DC202" s="30" t="str">
        <f t="shared" si="2092"/>
        <v/>
      </c>
      <c r="DD202" s="30" t="str">
        <f t="shared" si="2093"/>
        <v/>
      </c>
      <c r="DE202" s="30" t="str">
        <f t="shared" si="2094"/>
        <v/>
      </c>
      <c r="DF202" s="30" t="str">
        <f t="shared" si="2095"/>
        <v/>
      </c>
      <c r="DG202" s="30" t="str">
        <f t="shared" si="2096"/>
        <v/>
      </c>
      <c r="DH202" s="30" t="str">
        <f t="shared" si="2097"/>
        <v/>
      </c>
      <c r="DI202" s="30" t="str">
        <f t="shared" si="2098"/>
        <v/>
      </c>
      <c r="DJ202" s="30" t="str">
        <f t="shared" si="2099"/>
        <v/>
      </c>
      <c r="DK202" s="30" t="str">
        <f t="shared" si="2100"/>
        <v/>
      </c>
      <c r="DL202" s="30" t="str">
        <f t="shared" si="2101"/>
        <v/>
      </c>
      <c r="DM202" s="30" t="str">
        <f t="shared" si="2102"/>
        <v/>
      </c>
      <c r="DN202" s="30" t="str">
        <f t="shared" si="2103"/>
        <v/>
      </c>
      <c r="DO202" s="30" t="str">
        <f t="shared" si="2104"/>
        <v/>
      </c>
      <c r="DP202" s="30" t="str">
        <f t="shared" si="2105"/>
        <v/>
      </c>
      <c r="DQ202" s="30" t="str">
        <f t="shared" si="2106"/>
        <v/>
      </c>
      <c r="DR202" s="30" t="str">
        <f t="shared" si="2107"/>
        <v/>
      </c>
      <c r="DS202" s="30" t="str">
        <f t="shared" si="2108"/>
        <v/>
      </c>
      <c r="DT202" s="30" t="str">
        <f t="shared" si="2109"/>
        <v/>
      </c>
      <c r="DU202" s="30" t="str">
        <f t="shared" si="2110"/>
        <v/>
      </c>
      <c r="DV202" s="30" t="str">
        <f t="shared" si="2111"/>
        <v/>
      </c>
      <c r="DW202" s="30" t="str">
        <f t="shared" si="2112"/>
        <v/>
      </c>
      <c r="DX202" s="30" t="str">
        <f t="shared" si="2113"/>
        <v/>
      </c>
      <c r="DY202" s="30" t="str">
        <f t="shared" si="2114"/>
        <v/>
      </c>
      <c r="DZ202" s="30" t="str">
        <f t="shared" si="2115"/>
        <v/>
      </c>
      <c r="EA202" s="30" t="str">
        <f t="shared" si="2116"/>
        <v/>
      </c>
      <c r="EB202" s="30" t="str">
        <f t="shared" si="2117"/>
        <v/>
      </c>
      <c r="EC202" s="30" t="str">
        <f t="shared" si="2118"/>
        <v/>
      </c>
      <c r="ED202" s="30" t="str">
        <f t="shared" si="2119"/>
        <v/>
      </c>
      <c r="EE202" s="30" t="str">
        <f t="shared" si="2120"/>
        <v/>
      </c>
      <c r="EF202" s="30" t="str">
        <f t="shared" si="2121"/>
        <v/>
      </c>
      <c r="EG202" s="30" t="str">
        <f t="shared" si="2122"/>
        <v/>
      </c>
      <c r="EH202" s="30" t="str">
        <f t="shared" si="2123"/>
        <v/>
      </c>
      <c r="EI202" s="30" t="str">
        <f t="shared" si="2124"/>
        <v/>
      </c>
      <c r="EJ202" s="30" t="str">
        <f t="shared" si="2125"/>
        <v/>
      </c>
      <c r="EK202" s="30" t="str">
        <f t="shared" si="2126"/>
        <v/>
      </c>
      <c r="EL202" s="30" t="str">
        <f t="shared" si="2127"/>
        <v/>
      </c>
      <c r="EM202" s="30" t="str">
        <f t="shared" si="2128"/>
        <v/>
      </c>
      <c r="EN202" s="30" t="str">
        <f t="shared" si="2129"/>
        <v/>
      </c>
      <c r="EO202" s="30" t="str">
        <f t="shared" si="2130"/>
        <v/>
      </c>
      <c r="EP202" s="30" t="str">
        <f t="shared" si="2131"/>
        <v/>
      </c>
      <c r="EQ202" s="30" t="str">
        <f t="shared" si="2132"/>
        <v/>
      </c>
      <c r="ER202" s="30" t="str">
        <f t="shared" si="2133"/>
        <v/>
      </c>
      <c r="ES202" s="30" t="str">
        <f t="shared" si="2134"/>
        <v/>
      </c>
      <c r="ET202" s="30" t="str">
        <f t="shared" si="2135"/>
        <v/>
      </c>
      <c r="EU202" s="30" t="str">
        <f t="shared" si="2136"/>
        <v/>
      </c>
      <c r="EV202" s="30" t="str">
        <f t="shared" si="2137"/>
        <v/>
      </c>
      <c r="EW202" s="30" t="str">
        <f t="shared" si="2138"/>
        <v/>
      </c>
      <c r="EX202" s="30" t="str">
        <f t="shared" si="2139"/>
        <v/>
      </c>
      <c r="EY202" s="30" t="str">
        <f t="shared" si="2140"/>
        <v/>
      </c>
      <c r="EZ202" s="30" t="str">
        <f t="shared" si="2141"/>
        <v/>
      </c>
      <c r="FA202" s="30" t="str">
        <f t="shared" si="2142"/>
        <v/>
      </c>
      <c r="FB202" s="30" t="str">
        <f t="shared" si="2143"/>
        <v/>
      </c>
      <c r="FC202" s="30" t="str">
        <f t="shared" si="2144"/>
        <v/>
      </c>
      <c r="FD202" s="30" t="str">
        <f t="shared" si="2145"/>
        <v/>
      </c>
      <c r="FE202" s="30" t="str">
        <f t="shared" si="2146"/>
        <v/>
      </c>
      <c r="FF202" s="30" t="str">
        <f t="shared" si="2147"/>
        <v/>
      </c>
      <c r="FG202" s="30" t="str">
        <f t="shared" si="2148"/>
        <v/>
      </c>
      <c r="FH202" s="30" t="str">
        <f t="shared" si="2149"/>
        <v/>
      </c>
      <c r="FI202" s="30" t="str">
        <f t="shared" si="2150"/>
        <v/>
      </c>
      <c r="FJ202" s="30" t="str">
        <f t="shared" si="2151"/>
        <v/>
      </c>
      <c r="FK202" s="30" t="str">
        <f t="shared" si="2152"/>
        <v/>
      </c>
      <c r="FL202" s="30" t="str">
        <f t="shared" si="2153"/>
        <v/>
      </c>
      <c r="FM202" s="30" t="str">
        <f t="shared" si="2154"/>
        <v/>
      </c>
      <c r="FN202" s="30" t="str">
        <f t="shared" si="2155"/>
        <v/>
      </c>
      <c r="FO202" s="30" t="str">
        <f t="shared" si="2156"/>
        <v/>
      </c>
      <c r="FP202" s="30" t="str">
        <f t="shared" si="2157"/>
        <v/>
      </c>
      <c r="FQ202" s="30" t="str">
        <f t="shared" si="2158"/>
        <v/>
      </c>
      <c r="FR202" s="30" t="str">
        <f t="shared" si="2159"/>
        <v/>
      </c>
      <c r="FS202" s="30" t="str">
        <f t="shared" si="2160"/>
        <v/>
      </c>
    </row>
    <row r="203" spans="92:175">
      <c r="CN203" s="7" t="str">
        <f t="shared" si="2085"/>
        <v>InitUnitState('',,,,,,,,,,)</v>
      </c>
      <c r="CO203" s="7" t="str">
        <f t="shared" si="2086"/>
        <v>InitUnitNormal('',,,,,,,,,,)</v>
      </c>
      <c r="CP203" s="7" t="str">
        <f t="shared" si="2087"/>
        <v>InitUnitMagic('',,,,,,,,,,)</v>
      </c>
      <c r="CQ203" s="7" t="str">
        <f t="shared" si="2088"/>
        <v>InitUnitAdd('',,,,,,,,,,)</v>
      </c>
      <c r="CR203" s="7" t="str">
        <f t="shared" si="2089"/>
        <v>InitEquipData('',,"",,,,,'','','','','','',"")</v>
      </c>
      <c r="CU203" s="29" t="str">
        <f t="shared" si="2090"/>
        <v>|n</v>
      </c>
      <c r="CW203" s="24"/>
      <c r="CX203" s="24"/>
      <c r="CY203" s="24"/>
      <c r="CZ203" s="24"/>
      <c r="DA203" s="24"/>
      <c r="DB203" s="30" t="str">
        <f t="shared" si="2091"/>
        <v/>
      </c>
      <c r="DC203" s="30" t="str">
        <f t="shared" si="2092"/>
        <v/>
      </c>
      <c r="DD203" s="30" t="str">
        <f t="shared" si="2093"/>
        <v/>
      </c>
      <c r="DE203" s="30" t="str">
        <f t="shared" si="2094"/>
        <v/>
      </c>
      <c r="DF203" s="30" t="str">
        <f t="shared" si="2095"/>
        <v/>
      </c>
      <c r="DG203" s="30" t="str">
        <f t="shared" si="2096"/>
        <v/>
      </c>
      <c r="DH203" s="30" t="str">
        <f t="shared" si="2097"/>
        <v/>
      </c>
      <c r="DI203" s="30" t="str">
        <f t="shared" si="2098"/>
        <v/>
      </c>
      <c r="DJ203" s="30" t="str">
        <f t="shared" si="2099"/>
        <v/>
      </c>
      <c r="DK203" s="30" t="str">
        <f t="shared" si="2100"/>
        <v/>
      </c>
      <c r="DL203" s="30" t="str">
        <f t="shared" si="2101"/>
        <v/>
      </c>
      <c r="DM203" s="30" t="str">
        <f t="shared" si="2102"/>
        <v/>
      </c>
      <c r="DN203" s="30" t="str">
        <f t="shared" si="2103"/>
        <v/>
      </c>
      <c r="DO203" s="30" t="str">
        <f t="shared" si="2104"/>
        <v/>
      </c>
      <c r="DP203" s="30" t="str">
        <f t="shared" si="2105"/>
        <v/>
      </c>
      <c r="DQ203" s="30" t="str">
        <f t="shared" si="2106"/>
        <v/>
      </c>
      <c r="DR203" s="30" t="str">
        <f t="shared" si="2107"/>
        <v/>
      </c>
      <c r="DS203" s="30" t="str">
        <f t="shared" si="2108"/>
        <v/>
      </c>
      <c r="DT203" s="30" t="str">
        <f t="shared" si="2109"/>
        <v/>
      </c>
      <c r="DU203" s="30" t="str">
        <f t="shared" si="2110"/>
        <v/>
      </c>
      <c r="DV203" s="30" t="str">
        <f t="shared" si="2111"/>
        <v/>
      </c>
      <c r="DW203" s="30" t="str">
        <f t="shared" si="2112"/>
        <v/>
      </c>
      <c r="DX203" s="30" t="str">
        <f t="shared" si="2113"/>
        <v/>
      </c>
      <c r="DY203" s="30" t="str">
        <f t="shared" si="2114"/>
        <v/>
      </c>
      <c r="DZ203" s="30" t="str">
        <f t="shared" si="2115"/>
        <v/>
      </c>
      <c r="EA203" s="30" t="str">
        <f t="shared" si="2116"/>
        <v/>
      </c>
      <c r="EB203" s="30" t="str">
        <f t="shared" si="2117"/>
        <v/>
      </c>
      <c r="EC203" s="30" t="str">
        <f t="shared" si="2118"/>
        <v/>
      </c>
      <c r="ED203" s="30" t="str">
        <f t="shared" si="2119"/>
        <v/>
      </c>
      <c r="EE203" s="30" t="str">
        <f t="shared" si="2120"/>
        <v/>
      </c>
      <c r="EF203" s="30" t="str">
        <f t="shared" si="2121"/>
        <v/>
      </c>
      <c r="EG203" s="30" t="str">
        <f t="shared" si="2122"/>
        <v/>
      </c>
      <c r="EH203" s="30" t="str">
        <f t="shared" si="2123"/>
        <v/>
      </c>
      <c r="EI203" s="30" t="str">
        <f t="shared" si="2124"/>
        <v/>
      </c>
      <c r="EJ203" s="30" t="str">
        <f t="shared" si="2125"/>
        <v/>
      </c>
      <c r="EK203" s="30" t="str">
        <f t="shared" si="2126"/>
        <v/>
      </c>
      <c r="EL203" s="30" t="str">
        <f t="shared" si="2127"/>
        <v/>
      </c>
      <c r="EM203" s="30" t="str">
        <f t="shared" si="2128"/>
        <v/>
      </c>
      <c r="EN203" s="30" t="str">
        <f t="shared" si="2129"/>
        <v/>
      </c>
      <c r="EO203" s="30" t="str">
        <f t="shared" si="2130"/>
        <v/>
      </c>
      <c r="EP203" s="30" t="str">
        <f t="shared" si="2131"/>
        <v/>
      </c>
      <c r="EQ203" s="30" t="str">
        <f t="shared" si="2132"/>
        <v/>
      </c>
      <c r="ER203" s="30" t="str">
        <f t="shared" si="2133"/>
        <v/>
      </c>
      <c r="ES203" s="30" t="str">
        <f t="shared" si="2134"/>
        <v/>
      </c>
      <c r="ET203" s="30" t="str">
        <f t="shared" si="2135"/>
        <v/>
      </c>
      <c r="EU203" s="30" t="str">
        <f t="shared" si="2136"/>
        <v/>
      </c>
      <c r="EV203" s="30" t="str">
        <f t="shared" si="2137"/>
        <v/>
      </c>
      <c r="EW203" s="30" t="str">
        <f t="shared" si="2138"/>
        <v/>
      </c>
      <c r="EX203" s="30" t="str">
        <f t="shared" si="2139"/>
        <v/>
      </c>
      <c r="EY203" s="30" t="str">
        <f t="shared" si="2140"/>
        <v/>
      </c>
      <c r="EZ203" s="30" t="str">
        <f t="shared" si="2141"/>
        <v/>
      </c>
      <c r="FA203" s="30" t="str">
        <f t="shared" si="2142"/>
        <v/>
      </c>
      <c r="FB203" s="30" t="str">
        <f t="shared" si="2143"/>
        <v/>
      </c>
      <c r="FC203" s="30" t="str">
        <f t="shared" si="2144"/>
        <v/>
      </c>
      <c r="FD203" s="30" t="str">
        <f t="shared" si="2145"/>
        <v/>
      </c>
      <c r="FE203" s="30" t="str">
        <f t="shared" si="2146"/>
        <v/>
      </c>
      <c r="FF203" s="30" t="str">
        <f t="shared" si="2147"/>
        <v/>
      </c>
      <c r="FG203" s="30" t="str">
        <f t="shared" si="2148"/>
        <v/>
      </c>
      <c r="FH203" s="30" t="str">
        <f t="shared" si="2149"/>
        <v/>
      </c>
      <c r="FI203" s="30" t="str">
        <f t="shared" si="2150"/>
        <v/>
      </c>
      <c r="FJ203" s="30" t="str">
        <f t="shared" si="2151"/>
        <v/>
      </c>
      <c r="FK203" s="30" t="str">
        <f t="shared" si="2152"/>
        <v/>
      </c>
      <c r="FL203" s="30" t="str">
        <f t="shared" si="2153"/>
        <v/>
      </c>
      <c r="FM203" s="30" t="str">
        <f t="shared" si="2154"/>
        <v/>
      </c>
      <c r="FN203" s="30" t="str">
        <f t="shared" si="2155"/>
        <v/>
      </c>
      <c r="FO203" s="30" t="str">
        <f t="shared" si="2156"/>
        <v/>
      </c>
      <c r="FP203" s="30" t="str">
        <f t="shared" si="2157"/>
        <v/>
      </c>
      <c r="FQ203" s="30" t="str">
        <f t="shared" si="2158"/>
        <v/>
      </c>
      <c r="FR203" s="30" t="str">
        <f t="shared" si="2159"/>
        <v/>
      </c>
      <c r="FS203" s="30" t="str">
        <f t="shared" si="2160"/>
        <v/>
      </c>
    </row>
    <row r="204" spans="92:175">
      <c r="CN204" s="7" t="str">
        <f t="shared" si="2085"/>
        <v>InitUnitState('',,,,,,,,,,)</v>
      </c>
      <c r="CO204" s="7" t="str">
        <f t="shared" si="2086"/>
        <v>InitUnitNormal('',,,,,,,,,,)</v>
      </c>
      <c r="CP204" s="7" t="str">
        <f t="shared" si="2087"/>
        <v>InitUnitMagic('',,,,,,,,,,)</v>
      </c>
      <c r="CQ204" s="7" t="str">
        <f t="shared" si="2088"/>
        <v>InitUnitAdd('',,,,,,,,,,)</v>
      </c>
      <c r="CR204" s="7" t="str">
        <f t="shared" si="2089"/>
        <v>InitEquipData('',,"",,,,,'','','','','','',"")</v>
      </c>
      <c r="CU204" s="29" t="str">
        <f t="shared" si="2090"/>
        <v>|n</v>
      </c>
      <c r="CW204" s="24"/>
      <c r="CX204" s="24"/>
      <c r="CY204" s="24"/>
      <c r="CZ204" s="24"/>
      <c r="DA204" s="24"/>
      <c r="DB204" s="30" t="str">
        <f t="shared" si="2091"/>
        <v/>
      </c>
      <c r="DC204" s="30" t="str">
        <f t="shared" si="2092"/>
        <v/>
      </c>
      <c r="DD204" s="30" t="str">
        <f t="shared" si="2093"/>
        <v/>
      </c>
      <c r="DE204" s="30" t="str">
        <f t="shared" si="2094"/>
        <v/>
      </c>
      <c r="DF204" s="30" t="str">
        <f t="shared" si="2095"/>
        <v/>
      </c>
      <c r="DG204" s="30" t="str">
        <f t="shared" si="2096"/>
        <v/>
      </c>
      <c r="DH204" s="30" t="str">
        <f t="shared" si="2097"/>
        <v/>
      </c>
      <c r="DI204" s="30" t="str">
        <f t="shared" si="2098"/>
        <v/>
      </c>
      <c r="DJ204" s="30" t="str">
        <f t="shared" si="2099"/>
        <v/>
      </c>
      <c r="DK204" s="30" t="str">
        <f t="shared" si="2100"/>
        <v/>
      </c>
      <c r="DL204" s="30" t="str">
        <f t="shared" si="2101"/>
        <v/>
      </c>
      <c r="DM204" s="30" t="str">
        <f t="shared" si="2102"/>
        <v/>
      </c>
      <c r="DN204" s="30" t="str">
        <f t="shared" si="2103"/>
        <v/>
      </c>
      <c r="DO204" s="30" t="str">
        <f t="shared" si="2104"/>
        <v/>
      </c>
      <c r="DP204" s="30" t="str">
        <f t="shared" si="2105"/>
        <v/>
      </c>
      <c r="DQ204" s="30" t="str">
        <f t="shared" si="2106"/>
        <v/>
      </c>
      <c r="DR204" s="30" t="str">
        <f t="shared" si="2107"/>
        <v/>
      </c>
      <c r="DS204" s="30" t="str">
        <f t="shared" si="2108"/>
        <v/>
      </c>
      <c r="DT204" s="30" t="str">
        <f t="shared" si="2109"/>
        <v/>
      </c>
      <c r="DU204" s="30" t="str">
        <f t="shared" si="2110"/>
        <v/>
      </c>
      <c r="DV204" s="30" t="str">
        <f t="shared" si="2111"/>
        <v/>
      </c>
      <c r="DW204" s="30" t="str">
        <f t="shared" si="2112"/>
        <v/>
      </c>
      <c r="DX204" s="30" t="str">
        <f t="shared" si="2113"/>
        <v/>
      </c>
      <c r="DY204" s="30" t="str">
        <f t="shared" si="2114"/>
        <v/>
      </c>
      <c r="DZ204" s="30" t="str">
        <f t="shared" si="2115"/>
        <v/>
      </c>
      <c r="EA204" s="30" t="str">
        <f t="shared" si="2116"/>
        <v/>
      </c>
      <c r="EB204" s="30" t="str">
        <f t="shared" si="2117"/>
        <v/>
      </c>
      <c r="EC204" s="30" t="str">
        <f t="shared" si="2118"/>
        <v/>
      </c>
      <c r="ED204" s="30" t="str">
        <f t="shared" si="2119"/>
        <v/>
      </c>
      <c r="EE204" s="30" t="str">
        <f t="shared" si="2120"/>
        <v/>
      </c>
      <c r="EF204" s="30" t="str">
        <f t="shared" si="2121"/>
        <v/>
      </c>
      <c r="EG204" s="30" t="str">
        <f t="shared" si="2122"/>
        <v/>
      </c>
      <c r="EH204" s="30" t="str">
        <f t="shared" si="2123"/>
        <v/>
      </c>
      <c r="EI204" s="30" t="str">
        <f t="shared" si="2124"/>
        <v/>
      </c>
      <c r="EJ204" s="30" t="str">
        <f t="shared" si="2125"/>
        <v/>
      </c>
      <c r="EK204" s="30" t="str">
        <f t="shared" si="2126"/>
        <v/>
      </c>
      <c r="EL204" s="30" t="str">
        <f t="shared" si="2127"/>
        <v/>
      </c>
      <c r="EM204" s="30" t="str">
        <f t="shared" si="2128"/>
        <v/>
      </c>
      <c r="EN204" s="30" t="str">
        <f t="shared" si="2129"/>
        <v/>
      </c>
      <c r="EO204" s="30" t="str">
        <f t="shared" si="2130"/>
        <v/>
      </c>
      <c r="EP204" s="30" t="str">
        <f t="shared" si="2131"/>
        <v/>
      </c>
      <c r="EQ204" s="30" t="str">
        <f t="shared" si="2132"/>
        <v/>
      </c>
      <c r="ER204" s="30" t="str">
        <f t="shared" si="2133"/>
        <v/>
      </c>
      <c r="ES204" s="30" t="str">
        <f t="shared" si="2134"/>
        <v/>
      </c>
      <c r="ET204" s="30" t="str">
        <f t="shared" si="2135"/>
        <v/>
      </c>
      <c r="EU204" s="30" t="str">
        <f t="shared" si="2136"/>
        <v/>
      </c>
      <c r="EV204" s="30" t="str">
        <f t="shared" si="2137"/>
        <v/>
      </c>
      <c r="EW204" s="30" t="str">
        <f t="shared" si="2138"/>
        <v/>
      </c>
      <c r="EX204" s="30" t="str">
        <f t="shared" si="2139"/>
        <v/>
      </c>
      <c r="EY204" s="30" t="str">
        <f t="shared" si="2140"/>
        <v/>
      </c>
      <c r="EZ204" s="30" t="str">
        <f t="shared" si="2141"/>
        <v/>
      </c>
      <c r="FA204" s="30" t="str">
        <f t="shared" si="2142"/>
        <v/>
      </c>
      <c r="FB204" s="30" t="str">
        <f t="shared" si="2143"/>
        <v/>
      </c>
      <c r="FC204" s="30" t="str">
        <f t="shared" si="2144"/>
        <v/>
      </c>
      <c r="FD204" s="30" t="str">
        <f t="shared" si="2145"/>
        <v/>
      </c>
      <c r="FE204" s="30" t="str">
        <f t="shared" si="2146"/>
        <v/>
      </c>
      <c r="FF204" s="30" t="str">
        <f t="shared" si="2147"/>
        <v/>
      </c>
      <c r="FG204" s="30" t="str">
        <f t="shared" si="2148"/>
        <v/>
      </c>
      <c r="FH204" s="30" t="str">
        <f t="shared" si="2149"/>
        <v/>
      </c>
      <c r="FI204" s="30" t="str">
        <f t="shared" si="2150"/>
        <v/>
      </c>
      <c r="FJ204" s="30" t="str">
        <f t="shared" si="2151"/>
        <v/>
      </c>
      <c r="FK204" s="30" t="str">
        <f t="shared" si="2152"/>
        <v/>
      </c>
      <c r="FL204" s="30" t="str">
        <f t="shared" si="2153"/>
        <v/>
      </c>
      <c r="FM204" s="30" t="str">
        <f t="shared" si="2154"/>
        <v/>
      </c>
      <c r="FN204" s="30" t="str">
        <f t="shared" si="2155"/>
        <v/>
      </c>
      <c r="FO204" s="30" t="str">
        <f t="shared" si="2156"/>
        <v/>
      </c>
      <c r="FP204" s="30" t="str">
        <f t="shared" si="2157"/>
        <v/>
      </c>
      <c r="FQ204" s="30" t="str">
        <f t="shared" si="2158"/>
        <v/>
      </c>
      <c r="FR204" s="30" t="str">
        <f t="shared" si="2159"/>
        <v/>
      </c>
      <c r="FS204" s="30" t="str">
        <f t="shared" si="2160"/>
        <v/>
      </c>
    </row>
    <row r="205" spans="92:175">
      <c r="CN205" s="7" t="str">
        <f t="shared" si="2085"/>
        <v>InitUnitState('',,,,,,,,,,)</v>
      </c>
      <c r="CO205" s="7" t="str">
        <f t="shared" si="2086"/>
        <v>InitUnitNormal('',,,,,,,,,,)</v>
      </c>
      <c r="CP205" s="7" t="str">
        <f t="shared" si="2087"/>
        <v>InitUnitMagic('',,,,,,,,,,)</v>
      </c>
      <c r="CQ205" s="7" t="str">
        <f t="shared" si="2088"/>
        <v>InitUnitAdd('',,,,,,,,,,)</v>
      </c>
      <c r="CR205" s="7" t="str">
        <f t="shared" si="2089"/>
        <v>InitEquipData('',,"",,,,,'','','','','','',"")</v>
      </c>
      <c r="CU205" s="29" t="str">
        <f t="shared" si="2090"/>
        <v>|n</v>
      </c>
      <c r="CW205" s="24"/>
      <c r="CX205" s="24"/>
      <c r="CY205" s="24"/>
      <c r="CZ205" s="24"/>
      <c r="DA205" s="24"/>
      <c r="DB205" s="30" t="str">
        <f t="shared" si="2091"/>
        <v/>
      </c>
      <c r="DC205" s="30" t="str">
        <f t="shared" si="2092"/>
        <v/>
      </c>
      <c r="DD205" s="30" t="str">
        <f t="shared" si="2093"/>
        <v/>
      </c>
      <c r="DE205" s="30" t="str">
        <f t="shared" si="2094"/>
        <v/>
      </c>
      <c r="DF205" s="30" t="str">
        <f t="shared" si="2095"/>
        <v/>
      </c>
      <c r="DG205" s="30" t="str">
        <f t="shared" si="2096"/>
        <v/>
      </c>
      <c r="DH205" s="30" t="str">
        <f t="shared" si="2097"/>
        <v/>
      </c>
      <c r="DI205" s="30" t="str">
        <f t="shared" si="2098"/>
        <v/>
      </c>
      <c r="DJ205" s="30" t="str">
        <f t="shared" si="2099"/>
        <v/>
      </c>
      <c r="DK205" s="30" t="str">
        <f t="shared" si="2100"/>
        <v/>
      </c>
      <c r="DL205" s="30" t="str">
        <f t="shared" si="2101"/>
        <v/>
      </c>
      <c r="DM205" s="30" t="str">
        <f t="shared" si="2102"/>
        <v/>
      </c>
      <c r="DN205" s="30" t="str">
        <f t="shared" si="2103"/>
        <v/>
      </c>
      <c r="DO205" s="30" t="str">
        <f t="shared" si="2104"/>
        <v/>
      </c>
      <c r="DP205" s="30" t="str">
        <f t="shared" si="2105"/>
        <v/>
      </c>
      <c r="DQ205" s="30" t="str">
        <f t="shared" si="2106"/>
        <v/>
      </c>
      <c r="DR205" s="30" t="str">
        <f t="shared" si="2107"/>
        <v/>
      </c>
      <c r="DS205" s="30" t="str">
        <f t="shared" si="2108"/>
        <v/>
      </c>
      <c r="DT205" s="30" t="str">
        <f t="shared" si="2109"/>
        <v/>
      </c>
      <c r="DU205" s="30" t="str">
        <f t="shared" si="2110"/>
        <v/>
      </c>
      <c r="DV205" s="30" t="str">
        <f t="shared" si="2111"/>
        <v/>
      </c>
      <c r="DW205" s="30" t="str">
        <f t="shared" si="2112"/>
        <v/>
      </c>
      <c r="DX205" s="30" t="str">
        <f t="shared" si="2113"/>
        <v/>
      </c>
      <c r="DY205" s="30" t="str">
        <f t="shared" si="2114"/>
        <v/>
      </c>
      <c r="DZ205" s="30" t="str">
        <f t="shared" si="2115"/>
        <v/>
      </c>
      <c r="EA205" s="30" t="str">
        <f t="shared" si="2116"/>
        <v/>
      </c>
      <c r="EB205" s="30" t="str">
        <f t="shared" si="2117"/>
        <v/>
      </c>
      <c r="EC205" s="30" t="str">
        <f t="shared" si="2118"/>
        <v/>
      </c>
      <c r="ED205" s="30" t="str">
        <f t="shared" si="2119"/>
        <v/>
      </c>
      <c r="EE205" s="30" t="str">
        <f t="shared" si="2120"/>
        <v/>
      </c>
      <c r="EF205" s="30" t="str">
        <f t="shared" si="2121"/>
        <v/>
      </c>
      <c r="EG205" s="30" t="str">
        <f t="shared" si="2122"/>
        <v/>
      </c>
      <c r="EH205" s="30" t="str">
        <f t="shared" si="2123"/>
        <v/>
      </c>
      <c r="EI205" s="30" t="str">
        <f t="shared" si="2124"/>
        <v/>
      </c>
      <c r="EJ205" s="30" t="str">
        <f t="shared" si="2125"/>
        <v/>
      </c>
      <c r="EK205" s="30" t="str">
        <f t="shared" si="2126"/>
        <v/>
      </c>
      <c r="EL205" s="30" t="str">
        <f t="shared" si="2127"/>
        <v/>
      </c>
      <c r="EM205" s="30" t="str">
        <f t="shared" si="2128"/>
        <v/>
      </c>
      <c r="EN205" s="30" t="str">
        <f t="shared" si="2129"/>
        <v/>
      </c>
      <c r="EO205" s="30" t="str">
        <f t="shared" si="2130"/>
        <v/>
      </c>
      <c r="EP205" s="30" t="str">
        <f t="shared" si="2131"/>
        <v/>
      </c>
      <c r="EQ205" s="30" t="str">
        <f t="shared" si="2132"/>
        <v/>
      </c>
      <c r="ER205" s="30" t="str">
        <f t="shared" si="2133"/>
        <v/>
      </c>
      <c r="ES205" s="30" t="str">
        <f t="shared" si="2134"/>
        <v/>
      </c>
      <c r="ET205" s="30" t="str">
        <f t="shared" si="2135"/>
        <v/>
      </c>
      <c r="EU205" s="30" t="str">
        <f t="shared" si="2136"/>
        <v/>
      </c>
      <c r="EV205" s="30" t="str">
        <f t="shared" si="2137"/>
        <v/>
      </c>
      <c r="EW205" s="30" t="str">
        <f t="shared" si="2138"/>
        <v/>
      </c>
      <c r="EX205" s="30" t="str">
        <f t="shared" si="2139"/>
        <v/>
      </c>
      <c r="EY205" s="30" t="str">
        <f t="shared" si="2140"/>
        <v/>
      </c>
      <c r="EZ205" s="30" t="str">
        <f t="shared" si="2141"/>
        <v/>
      </c>
      <c r="FA205" s="30" t="str">
        <f t="shared" si="2142"/>
        <v/>
      </c>
      <c r="FB205" s="30" t="str">
        <f t="shared" si="2143"/>
        <v/>
      </c>
      <c r="FC205" s="30" t="str">
        <f t="shared" si="2144"/>
        <v/>
      </c>
      <c r="FD205" s="30" t="str">
        <f t="shared" si="2145"/>
        <v/>
      </c>
      <c r="FE205" s="30" t="str">
        <f t="shared" si="2146"/>
        <v/>
      </c>
      <c r="FF205" s="30" t="str">
        <f t="shared" si="2147"/>
        <v/>
      </c>
      <c r="FG205" s="30" t="str">
        <f t="shared" si="2148"/>
        <v/>
      </c>
      <c r="FH205" s="30" t="str">
        <f t="shared" si="2149"/>
        <v/>
      </c>
      <c r="FI205" s="30" t="str">
        <f t="shared" si="2150"/>
        <v/>
      </c>
      <c r="FJ205" s="30" t="str">
        <f t="shared" si="2151"/>
        <v/>
      </c>
      <c r="FK205" s="30" t="str">
        <f t="shared" si="2152"/>
        <v/>
      </c>
      <c r="FL205" s="30" t="str">
        <f t="shared" si="2153"/>
        <v/>
      </c>
      <c r="FM205" s="30" t="str">
        <f t="shared" si="2154"/>
        <v/>
      </c>
      <c r="FN205" s="30" t="str">
        <f t="shared" si="2155"/>
        <v/>
      </c>
      <c r="FO205" s="30" t="str">
        <f t="shared" si="2156"/>
        <v/>
      </c>
      <c r="FP205" s="30" t="str">
        <f t="shared" si="2157"/>
        <v/>
      </c>
      <c r="FQ205" s="30" t="str">
        <f t="shared" si="2158"/>
        <v/>
      </c>
      <c r="FR205" s="30" t="str">
        <f t="shared" si="2159"/>
        <v/>
      </c>
      <c r="FS205" s="30" t="str">
        <f t="shared" si="2160"/>
        <v/>
      </c>
    </row>
    <row r="206" spans="92:175">
      <c r="CN206" s="7" t="str">
        <f t="shared" si="2085"/>
        <v>InitUnitState('',,,,,,,,,,)</v>
      </c>
      <c r="CO206" s="7" t="str">
        <f t="shared" si="2086"/>
        <v>InitUnitNormal('',,,,,,,,,,)</v>
      </c>
      <c r="CP206" s="7" t="str">
        <f t="shared" si="2087"/>
        <v>InitUnitMagic('',,,,,,,,,,)</v>
      </c>
      <c r="CQ206" s="7" t="str">
        <f t="shared" si="2088"/>
        <v>InitUnitAdd('',,,,,,,,,,)</v>
      </c>
      <c r="CR206" s="7" t="str">
        <f t="shared" si="2089"/>
        <v>InitEquipData('',,"",,,,,'','','','','','',"")</v>
      </c>
      <c r="CU206" s="29" t="str">
        <f t="shared" ref="CU206:CU244" si="216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W206" s="24"/>
      <c r="CX206" s="24"/>
      <c r="CY206" s="24"/>
      <c r="CZ206" s="24"/>
      <c r="DA206" s="24"/>
      <c r="DB206" s="30" t="str">
        <f t="shared" si="2091"/>
        <v/>
      </c>
      <c r="DC206" s="30" t="str">
        <f t="shared" si="2092"/>
        <v/>
      </c>
      <c r="DD206" s="30" t="str">
        <f t="shared" si="2093"/>
        <v/>
      </c>
      <c r="DE206" s="30" t="str">
        <f t="shared" si="2094"/>
        <v/>
      </c>
      <c r="DF206" s="30" t="str">
        <f t="shared" si="2095"/>
        <v/>
      </c>
      <c r="DG206" s="30" t="str">
        <f t="shared" si="2096"/>
        <v/>
      </c>
      <c r="DH206" s="30" t="str">
        <f t="shared" si="2097"/>
        <v/>
      </c>
      <c r="DI206" s="30" t="str">
        <f t="shared" si="2098"/>
        <v/>
      </c>
      <c r="DJ206" s="30" t="str">
        <f t="shared" si="2099"/>
        <v/>
      </c>
      <c r="DK206" s="30" t="str">
        <f t="shared" si="2100"/>
        <v/>
      </c>
      <c r="DL206" s="30" t="str">
        <f t="shared" si="2101"/>
        <v/>
      </c>
      <c r="DM206" s="30" t="str">
        <f t="shared" si="2102"/>
        <v/>
      </c>
      <c r="DN206" s="30" t="str">
        <f t="shared" si="2103"/>
        <v/>
      </c>
      <c r="DO206" s="30" t="str">
        <f t="shared" si="2104"/>
        <v/>
      </c>
      <c r="DP206" s="30" t="str">
        <f t="shared" si="2105"/>
        <v/>
      </c>
      <c r="DQ206" s="30" t="str">
        <f t="shared" si="2106"/>
        <v/>
      </c>
      <c r="DR206" s="30" t="str">
        <f t="shared" si="2107"/>
        <v/>
      </c>
      <c r="DS206" s="30" t="str">
        <f t="shared" si="2108"/>
        <v/>
      </c>
      <c r="DT206" s="30" t="str">
        <f t="shared" si="2109"/>
        <v/>
      </c>
      <c r="DU206" s="30" t="str">
        <f t="shared" si="2110"/>
        <v/>
      </c>
      <c r="DV206" s="30" t="str">
        <f t="shared" si="2111"/>
        <v/>
      </c>
      <c r="DW206" s="30" t="str">
        <f t="shared" si="2112"/>
        <v/>
      </c>
      <c r="DX206" s="30" t="str">
        <f t="shared" si="2113"/>
        <v/>
      </c>
      <c r="DY206" s="30" t="str">
        <f t="shared" si="2114"/>
        <v/>
      </c>
      <c r="DZ206" s="30" t="str">
        <f t="shared" si="2115"/>
        <v/>
      </c>
      <c r="EA206" s="30" t="str">
        <f t="shared" si="2116"/>
        <v/>
      </c>
      <c r="EB206" s="30" t="str">
        <f t="shared" si="2117"/>
        <v/>
      </c>
      <c r="EC206" s="30" t="str">
        <f t="shared" si="2118"/>
        <v/>
      </c>
      <c r="ED206" s="30" t="str">
        <f t="shared" si="2119"/>
        <v/>
      </c>
      <c r="EE206" s="30" t="str">
        <f t="shared" si="2120"/>
        <v/>
      </c>
      <c r="EF206" s="30" t="str">
        <f t="shared" si="2121"/>
        <v/>
      </c>
      <c r="EG206" s="30" t="str">
        <f t="shared" si="2122"/>
        <v/>
      </c>
      <c r="EH206" s="30" t="str">
        <f t="shared" si="2123"/>
        <v/>
      </c>
      <c r="EI206" s="30" t="str">
        <f t="shared" si="2124"/>
        <v/>
      </c>
      <c r="EJ206" s="30" t="str">
        <f t="shared" si="2125"/>
        <v/>
      </c>
      <c r="EK206" s="30" t="str">
        <f t="shared" si="2126"/>
        <v/>
      </c>
      <c r="EL206" s="30" t="str">
        <f t="shared" si="2127"/>
        <v/>
      </c>
      <c r="EM206" s="30" t="str">
        <f t="shared" si="2128"/>
        <v/>
      </c>
      <c r="EN206" s="30" t="str">
        <f t="shared" si="2129"/>
        <v/>
      </c>
      <c r="EO206" s="30" t="str">
        <f t="shared" si="2130"/>
        <v/>
      </c>
      <c r="EP206" s="30" t="str">
        <f t="shared" si="2131"/>
        <v/>
      </c>
      <c r="EQ206" s="30" t="str">
        <f t="shared" si="2132"/>
        <v/>
      </c>
      <c r="ER206" s="30" t="str">
        <f t="shared" si="2133"/>
        <v/>
      </c>
      <c r="ES206" s="30" t="str">
        <f t="shared" si="2134"/>
        <v/>
      </c>
      <c r="ET206" s="30" t="str">
        <f t="shared" si="2135"/>
        <v/>
      </c>
      <c r="EU206" s="30" t="str">
        <f t="shared" si="2136"/>
        <v/>
      </c>
      <c r="EV206" s="30" t="str">
        <f t="shared" si="2137"/>
        <v/>
      </c>
      <c r="EW206" s="30" t="str">
        <f t="shared" si="2138"/>
        <v/>
      </c>
      <c r="EX206" s="30" t="str">
        <f t="shared" si="2139"/>
        <v/>
      </c>
      <c r="EY206" s="30" t="str">
        <f t="shared" si="2140"/>
        <v/>
      </c>
      <c r="EZ206" s="30" t="str">
        <f t="shared" si="2141"/>
        <v/>
      </c>
      <c r="FA206" s="30" t="str">
        <f t="shared" si="2142"/>
        <v/>
      </c>
      <c r="FB206" s="30" t="str">
        <f t="shared" si="2143"/>
        <v/>
      </c>
      <c r="FC206" s="30" t="str">
        <f t="shared" si="2144"/>
        <v/>
      </c>
      <c r="FD206" s="30" t="str">
        <f t="shared" si="2145"/>
        <v/>
      </c>
      <c r="FE206" s="30" t="str">
        <f t="shared" si="2146"/>
        <v/>
      </c>
      <c r="FF206" s="30" t="str">
        <f t="shared" si="2147"/>
        <v/>
      </c>
      <c r="FG206" s="30" t="str">
        <f t="shared" si="2148"/>
        <v/>
      </c>
      <c r="FH206" s="30" t="str">
        <f t="shared" si="2149"/>
        <v/>
      </c>
      <c r="FI206" s="30" t="str">
        <f t="shared" si="2150"/>
        <v/>
      </c>
      <c r="FJ206" s="30" t="str">
        <f t="shared" si="2151"/>
        <v/>
      </c>
      <c r="FK206" s="30" t="str">
        <f t="shared" si="2152"/>
        <v/>
      </c>
      <c r="FL206" s="30" t="str">
        <f t="shared" si="2153"/>
        <v/>
      </c>
      <c r="FM206" s="30" t="str">
        <f t="shared" si="2154"/>
        <v/>
      </c>
      <c r="FN206" s="30" t="str">
        <f t="shared" si="2155"/>
        <v/>
      </c>
      <c r="FO206" s="30" t="str">
        <f t="shared" si="2156"/>
        <v/>
      </c>
      <c r="FP206" s="30" t="str">
        <f t="shared" si="2157"/>
        <v/>
      </c>
      <c r="FQ206" s="30" t="str">
        <f t="shared" si="2158"/>
        <v/>
      </c>
      <c r="FR206" s="30" t="str">
        <f t="shared" si="2159"/>
        <v/>
      </c>
      <c r="FS206" s="30" t="str">
        <f t="shared" si="2160"/>
        <v/>
      </c>
    </row>
    <row r="207" spans="92:175">
      <c r="CN207" s="7" t="str">
        <f t="shared" si="2085"/>
        <v>InitUnitState('',,,,,,,,,,)</v>
      </c>
      <c r="CO207" s="7" t="str">
        <f t="shared" si="2086"/>
        <v>InitUnitNormal('',,,,,,,,,,)</v>
      </c>
      <c r="CP207" s="7" t="str">
        <f t="shared" si="2087"/>
        <v>InitUnitMagic('',,,,,,,,,,)</v>
      </c>
      <c r="CQ207" s="7" t="str">
        <f t="shared" si="2088"/>
        <v>InitUnitAdd('',,,,,,,,,,)</v>
      </c>
      <c r="CR207" s="7" t="str">
        <f t="shared" si="2089"/>
        <v>InitEquipData('',,"",,,,,'','','','','','',"")</v>
      </c>
      <c r="CU207" s="29" t="str">
        <f t="shared" si="2161"/>
        <v>|n</v>
      </c>
      <c r="CW207" s="24"/>
      <c r="CX207" s="24"/>
      <c r="CY207" s="24"/>
      <c r="CZ207" s="24"/>
      <c r="DA207" s="24"/>
      <c r="DB207" s="30" t="str">
        <f t="shared" si="2091"/>
        <v/>
      </c>
      <c r="DC207" s="30" t="str">
        <f t="shared" si="2092"/>
        <v/>
      </c>
      <c r="DD207" s="30" t="str">
        <f t="shared" si="2093"/>
        <v/>
      </c>
      <c r="DE207" s="30" t="str">
        <f t="shared" si="2094"/>
        <v/>
      </c>
      <c r="DF207" s="30" t="str">
        <f t="shared" si="2095"/>
        <v/>
      </c>
      <c r="DG207" s="30" t="str">
        <f t="shared" si="2096"/>
        <v/>
      </c>
      <c r="DH207" s="30" t="str">
        <f t="shared" si="2097"/>
        <v/>
      </c>
      <c r="DI207" s="30" t="str">
        <f t="shared" si="2098"/>
        <v/>
      </c>
      <c r="DJ207" s="30" t="str">
        <f t="shared" si="2099"/>
        <v/>
      </c>
      <c r="DK207" s="30" t="str">
        <f t="shared" si="2100"/>
        <v/>
      </c>
      <c r="DL207" s="30" t="str">
        <f t="shared" si="2101"/>
        <v/>
      </c>
      <c r="DM207" s="30" t="str">
        <f t="shared" si="2102"/>
        <v/>
      </c>
      <c r="DN207" s="30" t="str">
        <f t="shared" si="2103"/>
        <v/>
      </c>
      <c r="DO207" s="30" t="str">
        <f t="shared" si="2104"/>
        <v/>
      </c>
      <c r="DP207" s="30" t="str">
        <f t="shared" si="2105"/>
        <v/>
      </c>
      <c r="DQ207" s="30" t="str">
        <f t="shared" si="2106"/>
        <v/>
      </c>
      <c r="DR207" s="30" t="str">
        <f t="shared" si="2107"/>
        <v/>
      </c>
      <c r="DS207" s="30" t="str">
        <f t="shared" si="2108"/>
        <v/>
      </c>
      <c r="DT207" s="30" t="str">
        <f t="shared" si="2109"/>
        <v/>
      </c>
      <c r="DU207" s="30" t="str">
        <f t="shared" si="2110"/>
        <v/>
      </c>
      <c r="DV207" s="30" t="str">
        <f t="shared" si="2111"/>
        <v/>
      </c>
      <c r="DW207" s="30" t="str">
        <f t="shared" si="2112"/>
        <v/>
      </c>
      <c r="DX207" s="30" t="str">
        <f t="shared" si="2113"/>
        <v/>
      </c>
      <c r="DY207" s="30" t="str">
        <f t="shared" si="2114"/>
        <v/>
      </c>
      <c r="DZ207" s="30" t="str">
        <f t="shared" si="2115"/>
        <v/>
      </c>
      <c r="EA207" s="30" t="str">
        <f t="shared" si="2116"/>
        <v/>
      </c>
      <c r="EB207" s="30" t="str">
        <f t="shared" si="2117"/>
        <v/>
      </c>
      <c r="EC207" s="30" t="str">
        <f t="shared" si="2118"/>
        <v/>
      </c>
      <c r="ED207" s="30" t="str">
        <f t="shared" si="2119"/>
        <v/>
      </c>
      <c r="EE207" s="30" t="str">
        <f t="shared" si="2120"/>
        <v/>
      </c>
      <c r="EF207" s="30" t="str">
        <f t="shared" si="2121"/>
        <v/>
      </c>
      <c r="EG207" s="30" t="str">
        <f t="shared" si="2122"/>
        <v/>
      </c>
      <c r="EH207" s="30" t="str">
        <f t="shared" si="2123"/>
        <v/>
      </c>
      <c r="EI207" s="30" t="str">
        <f t="shared" si="2124"/>
        <v/>
      </c>
      <c r="EJ207" s="30" t="str">
        <f t="shared" si="2125"/>
        <v/>
      </c>
      <c r="EK207" s="30" t="str">
        <f t="shared" si="2126"/>
        <v/>
      </c>
      <c r="EL207" s="30" t="str">
        <f t="shared" si="2127"/>
        <v/>
      </c>
      <c r="EM207" s="30" t="str">
        <f t="shared" si="2128"/>
        <v/>
      </c>
      <c r="EN207" s="30" t="str">
        <f t="shared" si="2129"/>
        <v/>
      </c>
      <c r="EO207" s="30" t="str">
        <f t="shared" si="2130"/>
        <v/>
      </c>
      <c r="EP207" s="30" t="str">
        <f t="shared" si="2131"/>
        <v/>
      </c>
      <c r="EQ207" s="30" t="str">
        <f t="shared" si="2132"/>
        <v/>
      </c>
      <c r="ER207" s="30" t="str">
        <f t="shared" si="2133"/>
        <v/>
      </c>
      <c r="ES207" s="30" t="str">
        <f t="shared" si="2134"/>
        <v/>
      </c>
      <c r="ET207" s="30" t="str">
        <f t="shared" si="2135"/>
        <v/>
      </c>
      <c r="EU207" s="30" t="str">
        <f t="shared" si="2136"/>
        <v/>
      </c>
      <c r="EV207" s="30" t="str">
        <f t="shared" si="2137"/>
        <v/>
      </c>
      <c r="EW207" s="30" t="str">
        <f t="shared" si="2138"/>
        <v/>
      </c>
      <c r="EX207" s="30" t="str">
        <f t="shared" si="2139"/>
        <v/>
      </c>
      <c r="EY207" s="30" t="str">
        <f t="shared" si="2140"/>
        <v/>
      </c>
      <c r="EZ207" s="30" t="str">
        <f t="shared" si="2141"/>
        <v/>
      </c>
      <c r="FA207" s="30" t="str">
        <f t="shared" si="2142"/>
        <v/>
      </c>
      <c r="FB207" s="30" t="str">
        <f t="shared" si="2143"/>
        <v/>
      </c>
      <c r="FC207" s="30" t="str">
        <f t="shared" si="2144"/>
        <v/>
      </c>
      <c r="FD207" s="30" t="str">
        <f t="shared" si="2145"/>
        <v/>
      </c>
      <c r="FE207" s="30" t="str">
        <f t="shared" si="2146"/>
        <v/>
      </c>
      <c r="FF207" s="30" t="str">
        <f t="shared" si="2147"/>
        <v/>
      </c>
      <c r="FG207" s="30" t="str">
        <f t="shared" si="2148"/>
        <v/>
      </c>
      <c r="FH207" s="30" t="str">
        <f t="shared" si="2149"/>
        <v/>
      </c>
      <c r="FI207" s="30" t="str">
        <f t="shared" si="2150"/>
        <v/>
      </c>
      <c r="FJ207" s="30" t="str">
        <f t="shared" si="2151"/>
        <v/>
      </c>
      <c r="FK207" s="30" t="str">
        <f t="shared" si="2152"/>
        <v/>
      </c>
      <c r="FL207" s="30" t="str">
        <f t="shared" si="2153"/>
        <v/>
      </c>
      <c r="FM207" s="30" t="str">
        <f t="shared" si="2154"/>
        <v/>
      </c>
      <c r="FN207" s="30" t="str">
        <f t="shared" si="2155"/>
        <v/>
      </c>
      <c r="FO207" s="30" t="str">
        <f t="shared" si="2156"/>
        <v/>
      </c>
      <c r="FP207" s="30" t="str">
        <f t="shared" si="2157"/>
        <v/>
      </c>
      <c r="FQ207" s="30" t="str">
        <f t="shared" si="2158"/>
        <v/>
      </c>
      <c r="FR207" s="30" t="str">
        <f t="shared" si="2159"/>
        <v/>
      </c>
      <c r="FS207" s="30" t="str">
        <f t="shared" si="2160"/>
        <v/>
      </c>
    </row>
    <row r="208" spans="92:175">
      <c r="CN208" s="7" t="str">
        <f t="shared" si="2085"/>
        <v>InitUnitState('',,,,,,,,,,)</v>
      </c>
      <c r="CO208" s="7" t="str">
        <f t="shared" si="2086"/>
        <v>InitUnitNormal('',,,,,,,,,,)</v>
      </c>
      <c r="CP208" s="7" t="str">
        <f t="shared" si="2087"/>
        <v>InitUnitMagic('',,,,,,,,,,)</v>
      </c>
      <c r="CQ208" s="7" t="str">
        <f t="shared" si="2088"/>
        <v>InitUnitAdd('',,,,,,,,,,)</v>
      </c>
      <c r="CR208" s="7" t="str">
        <f t="shared" si="2089"/>
        <v>InitEquipData('',,"",,,,,'','','','','','',"")</v>
      </c>
      <c r="CU208" s="29" t="str">
        <f t="shared" si="2161"/>
        <v>|n</v>
      </c>
      <c r="CW208" s="24"/>
      <c r="CX208" s="24"/>
      <c r="CY208" s="24"/>
      <c r="CZ208" s="24"/>
      <c r="DA208" s="24"/>
      <c r="DB208" s="30" t="str">
        <f t="shared" si="2091"/>
        <v/>
      </c>
      <c r="DC208" s="30" t="str">
        <f t="shared" si="2092"/>
        <v/>
      </c>
      <c r="DD208" s="30" t="str">
        <f t="shared" si="2093"/>
        <v/>
      </c>
      <c r="DE208" s="30" t="str">
        <f t="shared" si="2094"/>
        <v/>
      </c>
      <c r="DF208" s="30" t="str">
        <f t="shared" si="2095"/>
        <v/>
      </c>
      <c r="DG208" s="30" t="str">
        <f t="shared" si="2096"/>
        <v/>
      </c>
      <c r="DH208" s="30" t="str">
        <f t="shared" si="2097"/>
        <v/>
      </c>
      <c r="DI208" s="30" t="str">
        <f t="shared" si="2098"/>
        <v/>
      </c>
      <c r="DJ208" s="30" t="str">
        <f t="shared" si="2099"/>
        <v/>
      </c>
      <c r="DK208" s="30" t="str">
        <f t="shared" si="2100"/>
        <v/>
      </c>
      <c r="DL208" s="30" t="str">
        <f t="shared" si="2101"/>
        <v/>
      </c>
      <c r="DM208" s="30" t="str">
        <f t="shared" si="2102"/>
        <v/>
      </c>
      <c r="DN208" s="30" t="str">
        <f t="shared" si="2103"/>
        <v/>
      </c>
      <c r="DO208" s="30" t="str">
        <f t="shared" si="2104"/>
        <v/>
      </c>
      <c r="DP208" s="30" t="str">
        <f t="shared" si="2105"/>
        <v/>
      </c>
      <c r="DQ208" s="30" t="str">
        <f t="shared" si="2106"/>
        <v/>
      </c>
      <c r="DR208" s="30" t="str">
        <f t="shared" si="2107"/>
        <v/>
      </c>
      <c r="DS208" s="30" t="str">
        <f t="shared" si="2108"/>
        <v/>
      </c>
      <c r="DT208" s="30" t="str">
        <f t="shared" si="2109"/>
        <v/>
      </c>
      <c r="DU208" s="30" t="str">
        <f t="shared" si="2110"/>
        <v/>
      </c>
      <c r="DV208" s="30" t="str">
        <f t="shared" si="2111"/>
        <v/>
      </c>
      <c r="DW208" s="30" t="str">
        <f t="shared" si="2112"/>
        <v/>
      </c>
      <c r="DX208" s="30" t="str">
        <f t="shared" si="2113"/>
        <v/>
      </c>
      <c r="DY208" s="30" t="str">
        <f t="shared" si="2114"/>
        <v/>
      </c>
      <c r="DZ208" s="30" t="str">
        <f t="shared" si="2115"/>
        <v/>
      </c>
      <c r="EA208" s="30" t="str">
        <f t="shared" si="2116"/>
        <v/>
      </c>
      <c r="EB208" s="30" t="str">
        <f t="shared" si="2117"/>
        <v/>
      </c>
      <c r="EC208" s="30" t="str">
        <f t="shared" si="2118"/>
        <v/>
      </c>
      <c r="ED208" s="30" t="str">
        <f t="shared" si="2119"/>
        <v/>
      </c>
      <c r="EE208" s="30" t="str">
        <f t="shared" si="2120"/>
        <v/>
      </c>
      <c r="EF208" s="30" t="str">
        <f t="shared" si="2121"/>
        <v/>
      </c>
      <c r="EG208" s="30" t="str">
        <f t="shared" si="2122"/>
        <v/>
      </c>
      <c r="EH208" s="30" t="str">
        <f t="shared" si="2123"/>
        <v/>
      </c>
      <c r="EI208" s="30" t="str">
        <f t="shared" si="2124"/>
        <v/>
      </c>
      <c r="EJ208" s="30" t="str">
        <f t="shared" si="2125"/>
        <v/>
      </c>
      <c r="EK208" s="30" t="str">
        <f t="shared" si="2126"/>
        <v/>
      </c>
      <c r="EL208" s="30" t="str">
        <f t="shared" si="2127"/>
        <v/>
      </c>
      <c r="EM208" s="30" t="str">
        <f t="shared" si="2128"/>
        <v/>
      </c>
      <c r="EN208" s="30" t="str">
        <f t="shared" si="2129"/>
        <v/>
      </c>
      <c r="EO208" s="30" t="str">
        <f t="shared" si="2130"/>
        <v/>
      </c>
      <c r="EP208" s="30" t="str">
        <f t="shared" si="2131"/>
        <v/>
      </c>
      <c r="EQ208" s="30" t="str">
        <f t="shared" si="2132"/>
        <v/>
      </c>
      <c r="ER208" s="30" t="str">
        <f t="shared" si="2133"/>
        <v/>
      </c>
      <c r="ES208" s="30" t="str">
        <f t="shared" si="2134"/>
        <v/>
      </c>
      <c r="ET208" s="30" t="str">
        <f t="shared" si="2135"/>
        <v/>
      </c>
      <c r="EU208" s="30" t="str">
        <f t="shared" si="2136"/>
        <v/>
      </c>
      <c r="EV208" s="30" t="str">
        <f t="shared" si="2137"/>
        <v/>
      </c>
      <c r="EW208" s="30" t="str">
        <f t="shared" si="2138"/>
        <v/>
      </c>
      <c r="EX208" s="30" t="str">
        <f t="shared" si="2139"/>
        <v/>
      </c>
      <c r="EY208" s="30" t="str">
        <f t="shared" si="2140"/>
        <v/>
      </c>
      <c r="EZ208" s="30" t="str">
        <f t="shared" si="2141"/>
        <v/>
      </c>
      <c r="FA208" s="30" t="str">
        <f t="shared" si="2142"/>
        <v/>
      </c>
      <c r="FB208" s="30" t="str">
        <f t="shared" si="2143"/>
        <v/>
      </c>
      <c r="FC208" s="30" t="str">
        <f t="shared" si="2144"/>
        <v/>
      </c>
      <c r="FD208" s="30" t="str">
        <f t="shared" si="2145"/>
        <v/>
      </c>
      <c r="FE208" s="30" t="str">
        <f t="shared" si="2146"/>
        <v/>
      </c>
      <c r="FF208" s="30" t="str">
        <f t="shared" si="2147"/>
        <v/>
      </c>
      <c r="FG208" s="30" t="str">
        <f t="shared" si="2148"/>
        <v/>
      </c>
      <c r="FH208" s="30" t="str">
        <f t="shared" si="2149"/>
        <v/>
      </c>
      <c r="FI208" s="30" t="str">
        <f t="shared" si="2150"/>
        <v/>
      </c>
      <c r="FJ208" s="30" t="str">
        <f t="shared" si="2151"/>
        <v/>
      </c>
      <c r="FK208" s="30" t="str">
        <f t="shared" si="2152"/>
        <v/>
      </c>
      <c r="FL208" s="30" t="str">
        <f t="shared" si="2153"/>
        <v/>
      </c>
      <c r="FM208" s="30" t="str">
        <f t="shared" si="2154"/>
        <v/>
      </c>
      <c r="FN208" s="30" t="str">
        <f t="shared" si="2155"/>
        <v/>
      </c>
      <c r="FO208" s="30" t="str">
        <f t="shared" si="2156"/>
        <v/>
      </c>
      <c r="FP208" s="30" t="str">
        <f t="shared" si="2157"/>
        <v/>
      </c>
      <c r="FQ208" s="30" t="str">
        <f t="shared" si="2158"/>
        <v/>
      </c>
      <c r="FR208" s="30" t="str">
        <f t="shared" si="2159"/>
        <v/>
      </c>
      <c r="FS208" s="30" t="str">
        <f t="shared" si="2160"/>
        <v/>
      </c>
    </row>
    <row r="209" spans="92:175">
      <c r="CN209" s="7" t="str">
        <f t="shared" si="2085"/>
        <v>InitUnitState('',,,,,,,,,,)</v>
      </c>
      <c r="CO209" s="7" t="str">
        <f t="shared" si="2086"/>
        <v>InitUnitNormal('',,,,,,,,,,)</v>
      </c>
      <c r="CP209" s="7" t="str">
        <f t="shared" si="2087"/>
        <v>InitUnitMagic('',,,,,,,,,,)</v>
      </c>
      <c r="CQ209" s="7" t="str">
        <f t="shared" si="2088"/>
        <v>InitUnitAdd('',,,,,,,,,,)</v>
      </c>
      <c r="CR209" s="7" t="str">
        <f t="shared" si="2089"/>
        <v>InitEquipData('',,"",,,,,'','','','','','',"")</v>
      </c>
      <c r="CU209" s="29" t="str">
        <f t="shared" si="2161"/>
        <v>|n</v>
      </c>
      <c r="CW209" s="24"/>
      <c r="CX209" s="24"/>
      <c r="CY209" s="24"/>
      <c r="CZ209" s="24"/>
      <c r="DA209" s="24"/>
      <c r="DB209" s="30" t="str">
        <f t="shared" si="2091"/>
        <v/>
      </c>
      <c r="DC209" s="30" t="str">
        <f t="shared" si="2092"/>
        <v/>
      </c>
      <c r="DD209" s="30" t="str">
        <f t="shared" si="2093"/>
        <v/>
      </c>
      <c r="DE209" s="30" t="str">
        <f t="shared" si="2094"/>
        <v/>
      </c>
      <c r="DF209" s="30" t="str">
        <f t="shared" si="2095"/>
        <v/>
      </c>
      <c r="DG209" s="30" t="str">
        <f t="shared" si="2096"/>
        <v/>
      </c>
      <c r="DH209" s="30" t="str">
        <f t="shared" si="2097"/>
        <v/>
      </c>
      <c r="DI209" s="30" t="str">
        <f t="shared" si="2098"/>
        <v/>
      </c>
      <c r="DJ209" s="30" t="str">
        <f t="shared" si="2099"/>
        <v/>
      </c>
      <c r="DK209" s="30" t="str">
        <f t="shared" si="2100"/>
        <v/>
      </c>
      <c r="DL209" s="30" t="str">
        <f t="shared" si="2101"/>
        <v/>
      </c>
      <c r="DM209" s="30" t="str">
        <f t="shared" si="2102"/>
        <v/>
      </c>
      <c r="DN209" s="30" t="str">
        <f t="shared" si="2103"/>
        <v/>
      </c>
      <c r="DO209" s="30" t="str">
        <f t="shared" si="2104"/>
        <v/>
      </c>
      <c r="DP209" s="30" t="str">
        <f t="shared" si="2105"/>
        <v/>
      </c>
      <c r="DQ209" s="30" t="str">
        <f t="shared" si="2106"/>
        <v/>
      </c>
      <c r="DR209" s="30" t="str">
        <f t="shared" si="2107"/>
        <v/>
      </c>
      <c r="DS209" s="30" t="str">
        <f t="shared" si="2108"/>
        <v/>
      </c>
      <c r="DT209" s="30" t="str">
        <f t="shared" si="2109"/>
        <v/>
      </c>
      <c r="DU209" s="30" t="str">
        <f t="shared" si="2110"/>
        <v/>
      </c>
      <c r="DV209" s="30" t="str">
        <f t="shared" si="2111"/>
        <v/>
      </c>
      <c r="DW209" s="30" t="str">
        <f t="shared" si="2112"/>
        <v/>
      </c>
      <c r="DX209" s="30" t="str">
        <f t="shared" si="2113"/>
        <v/>
      </c>
      <c r="DY209" s="30" t="str">
        <f t="shared" si="2114"/>
        <v/>
      </c>
      <c r="DZ209" s="30" t="str">
        <f t="shared" si="2115"/>
        <v/>
      </c>
      <c r="EA209" s="30" t="str">
        <f t="shared" si="2116"/>
        <v/>
      </c>
      <c r="EB209" s="30" t="str">
        <f t="shared" si="2117"/>
        <v/>
      </c>
      <c r="EC209" s="30" t="str">
        <f t="shared" si="2118"/>
        <v/>
      </c>
      <c r="ED209" s="30" t="str">
        <f t="shared" si="2119"/>
        <v/>
      </c>
      <c r="EE209" s="30" t="str">
        <f t="shared" si="2120"/>
        <v/>
      </c>
      <c r="EF209" s="30" t="str">
        <f t="shared" si="2121"/>
        <v/>
      </c>
      <c r="EG209" s="30" t="str">
        <f t="shared" si="2122"/>
        <v/>
      </c>
      <c r="EH209" s="30" t="str">
        <f t="shared" si="2123"/>
        <v/>
      </c>
      <c r="EI209" s="30" t="str">
        <f t="shared" si="2124"/>
        <v/>
      </c>
      <c r="EJ209" s="30" t="str">
        <f t="shared" si="2125"/>
        <v/>
      </c>
      <c r="EK209" s="30" t="str">
        <f t="shared" si="2126"/>
        <v/>
      </c>
      <c r="EL209" s="30" t="str">
        <f t="shared" si="2127"/>
        <v/>
      </c>
      <c r="EM209" s="30" t="str">
        <f t="shared" si="2128"/>
        <v/>
      </c>
      <c r="EN209" s="30" t="str">
        <f t="shared" si="2129"/>
        <v/>
      </c>
      <c r="EO209" s="30" t="str">
        <f t="shared" si="2130"/>
        <v/>
      </c>
      <c r="EP209" s="30" t="str">
        <f t="shared" si="2131"/>
        <v/>
      </c>
      <c r="EQ209" s="30" t="str">
        <f t="shared" si="2132"/>
        <v/>
      </c>
      <c r="ER209" s="30" t="str">
        <f t="shared" si="2133"/>
        <v/>
      </c>
      <c r="ES209" s="30" t="str">
        <f t="shared" si="2134"/>
        <v/>
      </c>
      <c r="ET209" s="30" t="str">
        <f t="shared" si="2135"/>
        <v/>
      </c>
      <c r="EU209" s="30" t="str">
        <f t="shared" si="2136"/>
        <v/>
      </c>
      <c r="EV209" s="30" t="str">
        <f t="shared" si="2137"/>
        <v/>
      </c>
      <c r="EW209" s="30" t="str">
        <f t="shared" si="2138"/>
        <v/>
      </c>
      <c r="EX209" s="30" t="str">
        <f t="shared" si="2139"/>
        <v/>
      </c>
      <c r="EY209" s="30" t="str">
        <f t="shared" si="2140"/>
        <v/>
      </c>
      <c r="EZ209" s="30" t="str">
        <f t="shared" si="2141"/>
        <v/>
      </c>
      <c r="FA209" s="30" t="str">
        <f t="shared" si="2142"/>
        <v/>
      </c>
      <c r="FB209" s="30" t="str">
        <f t="shared" si="2143"/>
        <v/>
      </c>
      <c r="FC209" s="30" t="str">
        <f t="shared" si="2144"/>
        <v/>
      </c>
      <c r="FD209" s="30" t="str">
        <f t="shared" si="2145"/>
        <v/>
      </c>
      <c r="FE209" s="30" t="str">
        <f t="shared" si="2146"/>
        <v/>
      </c>
      <c r="FF209" s="30" t="str">
        <f t="shared" si="2147"/>
        <v/>
      </c>
      <c r="FG209" s="30" t="str">
        <f t="shared" si="2148"/>
        <v/>
      </c>
      <c r="FH209" s="30" t="str">
        <f t="shared" si="2149"/>
        <v/>
      </c>
      <c r="FI209" s="30" t="str">
        <f t="shared" si="2150"/>
        <v/>
      </c>
      <c r="FJ209" s="30" t="str">
        <f t="shared" si="2151"/>
        <v/>
      </c>
      <c r="FK209" s="30" t="str">
        <f t="shared" si="2152"/>
        <v/>
      </c>
      <c r="FL209" s="30" t="str">
        <f t="shared" si="2153"/>
        <v/>
      </c>
      <c r="FM209" s="30" t="str">
        <f t="shared" si="2154"/>
        <v/>
      </c>
      <c r="FN209" s="30" t="str">
        <f t="shared" si="2155"/>
        <v/>
      </c>
      <c r="FO209" s="30" t="str">
        <f t="shared" si="2156"/>
        <v/>
      </c>
      <c r="FP209" s="30" t="str">
        <f t="shared" si="2157"/>
        <v/>
      </c>
      <c r="FQ209" s="30" t="str">
        <f t="shared" si="2158"/>
        <v/>
      </c>
      <c r="FR209" s="30" t="str">
        <f t="shared" si="2159"/>
        <v/>
      </c>
      <c r="FS209" s="30" t="str">
        <f t="shared" si="2160"/>
        <v/>
      </c>
    </row>
    <row r="210" spans="92:175">
      <c r="CN210" s="7" t="str">
        <f t="shared" si="2085"/>
        <v>InitUnitState('',,,,,,,,,,)</v>
      </c>
      <c r="CO210" s="7" t="str">
        <f t="shared" si="2086"/>
        <v>InitUnitNormal('',,,,,,,,,,)</v>
      </c>
      <c r="CP210" s="7" t="str">
        <f t="shared" si="2087"/>
        <v>InitUnitMagic('',,,,,,,,,,)</v>
      </c>
      <c r="CQ210" s="7" t="str">
        <f t="shared" si="2088"/>
        <v>InitUnitAdd('',,,,,,,,,,)</v>
      </c>
      <c r="CR210" s="7" t="str">
        <f t="shared" si="2089"/>
        <v>InitEquipData('',,"",,,,,'','','','','','',"")</v>
      </c>
      <c r="CU210" s="29" t="str">
        <f t="shared" si="2161"/>
        <v>|n</v>
      </c>
      <c r="CW210" s="24"/>
      <c r="CX210" s="24"/>
      <c r="CY210" s="24"/>
      <c r="CZ210" s="24"/>
      <c r="DA210" s="24"/>
      <c r="DB210" s="30" t="str">
        <f t="shared" si="2091"/>
        <v/>
      </c>
      <c r="DC210" s="30" t="str">
        <f t="shared" si="2092"/>
        <v/>
      </c>
      <c r="DD210" s="30" t="str">
        <f t="shared" si="2093"/>
        <v/>
      </c>
      <c r="DE210" s="30" t="str">
        <f t="shared" si="2094"/>
        <v/>
      </c>
      <c r="DF210" s="30" t="str">
        <f t="shared" si="2095"/>
        <v/>
      </c>
      <c r="DG210" s="30" t="str">
        <f t="shared" si="2096"/>
        <v/>
      </c>
      <c r="DH210" s="30" t="str">
        <f t="shared" si="2097"/>
        <v/>
      </c>
      <c r="DI210" s="30" t="str">
        <f t="shared" si="2098"/>
        <v/>
      </c>
      <c r="DJ210" s="30" t="str">
        <f t="shared" si="2099"/>
        <v/>
      </c>
      <c r="DK210" s="30" t="str">
        <f t="shared" si="2100"/>
        <v/>
      </c>
      <c r="DL210" s="30" t="str">
        <f t="shared" si="2101"/>
        <v/>
      </c>
      <c r="DM210" s="30" t="str">
        <f t="shared" si="2102"/>
        <v/>
      </c>
      <c r="DN210" s="30" t="str">
        <f t="shared" si="2103"/>
        <v/>
      </c>
      <c r="DO210" s="30" t="str">
        <f t="shared" si="2104"/>
        <v/>
      </c>
      <c r="DP210" s="30" t="str">
        <f t="shared" si="2105"/>
        <v/>
      </c>
      <c r="DQ210" s="30" t="str">
        <f t="shared" si="2106"/>
        <v/>
      </c>
      <c r="DR210" s="30" t="str">
        <f t="shared" si="2107"/>
        <v/>
      </c>
      <c r="DS210" s="30" t="str">
        <f t="shared" si="2108"/>
        <v/>
      </c>
      <c r="DT210" s="30" t="str">
        <f t="shared" si="2109"/>
        <v/>
      </c>
      <c r="DU210" s="30" t="str">
        <f t="shared" si="2110"/>
        <v/>
      </c>
      <c r="DV210" s="30" t="str">
        <f t="shared" si="2111"/>
        <v/>
      </c>
      <c r="DW210" s="30" t="str">
        <f t="shared" si="2112"/>
        <v/>
      </c>
      <c r="DX210" s="30" t="str">
        <f t="shared" si="2113"/>
        <v/>
      </c>
      <c r="DY210" s="30" t="str">
        <f t="shared" si="2114"/>
        <v/>
      </c>
      <c r="DZ210" s="30" t="str">
        <f t="shared" si="2115"/>
        <v/>
      </c>
      <c r="EA210" s="30" t="str">
        <f t="shared" si="2116"/>
        <v/>
      </c>
      <c r="EB210" s="30" t="str">
        <f t="shared" si="2117"/>
        <v/>
      </c>
      <c r="EC210" s="30" t="str">
        <f t="shared" si="2118"/>
        <v/>
      </c>
      <c r="ED210" s="30" t="str">
        <f t="shared" si="2119"/>
        <v/>
      </c>
      <c r="EE210" s="30" t="str">
        <f t="shared" si="2120"/>
        <v/>
      </c>
      <c r="EF210" s="30" t="str">
        <f t="shared" si="2121"/>
        <v/>
      </c>
      <c r="EG210" s="30" t="str">
        <f t="shared" si="2122"/>
        <v/>
      </c>
      <c r="EH210" s="30" t="str">
        <f t="shared" si="2123"/>
        <v/>
      </c>
      <c r="EI210" s="30" t="str">
        <f t="shared" si="2124"/>
        <v/>
      </c>
      <c r="EJ210" s="30" t="str">
        <f t="shared" si="2125"/>
        <v/>
      </c>
      <c r="EK210" s="30" t="str">
        <f t="shared" si="2126"/>
        <v/>
      </c>
      <c r="EL210" s="30" t="str">
        <f t="shared" si="2127"/>
        <v/>
      </c>
      <c r="EM210" s="30" t="str">
        <f t="shared" si="2128"/>
        <v/>
      </c>
      <c r="EN210" s="30" t="str">
        <f t="shared" si="2129"/>
        <v/>
      </c>
      <c r="EO210" s="30" t="str">
        <f t="shared" si="2130"/>
        <v/>
      </c>
      <c r="EP210" s="30" t="str">
        <f t="shared" si="2131"/>
        <v/>
      </c>
      <c r="EQ210" s="30" t="str">
        <f t="shared" si="2132"/>
        <v/>
      </c>
      <c r="ER210" s="30" t="str">
        <f t="shared" si="2133"/>
        <v/>
      </c>
      <c r="ES210" s="30" t="str">
        <f t="shared" si="2134"/>
        <v/>
      </c>
      <c r="ET210" s="30" t="str">
        <f t="shared" si="2135"/>
        <v/>
      </c>
      <c r="EU210" s="30" t="str">
        <f t="shared" si="2136"/>
        <v/>
      </c>
      <c r="EV210" s="30" t="str">
        <f t="shared" si="2137"/>
        <v/>
      </c>
      <c r="EW210" s="30" t="str">
        <f t="shared" si="2138"/>
        <v/>
      </c>
      <c r="EX210" s="30" t="str">
        <f t="shared" si="2139"/>
        <v/>
      </c>
      <c r="EY210" s="30" t="str">
        <f t="shared" si="2140"/>
        <v/>
      </c>
      <c r="EZ210" s="30" t="str">
        <f t="shared" si="2141"/>
        <v/>
      </c>
      <c r="FA210" s="30" t="str">
        <f t="shared" si="2142"/>
        <v/>
      </c>
      <c r="FB210" s="30" t="str">
        <f t="shared" si="2143"/>
        <v/>
      </c>
      <c r="FC210" s="30" t="str">
        <f t="shared" si="2144"/>
        <v/>
      </c>
      <c r="FD210" s="30" t="str">
        <f t="shared" si="2145"/>
        <v/>
      </c>
      <c r="FE210" s="30" t="str">
        <f t="shared" si="2146"/>
        <v/>
      </c>
      <c r="FF210" s="30" t="str">
        <f t="shared" si="2147"/>
        <v/>
      </c>
      <c r="FG210" s="30" t="str">
        <f t="shared" si="2148"/>
        <v/>
      </c>
      <c r="FH210" s="30" t="str">
        <f t="shared" si="2149"/>
        <v/>
      </c>
      <c r="FI210" s="30" t="str">
        <f t="shared" si="2150"/>
        <v/>
      </c>
      <c r="FJ210" s="30" t="str">
        <f t="shared" si="2151"/>
        <v/>
      </c>
      <c r="FK210" s="30" t="str">
        <f t="shared" si="2152"/>
        <v/>
      </c>
      <c r="FL210" s="30" t="str">
        <f t="shared" si="2153"/>
        <v/>
      </c>
      <c r="FM210" s="30" t="str">
        <f t="shared" si="2154"/>
        <v/>
      </c>
      <c r="FN210" s="30" t="str">
        <f t="shared" si="2155"/>
        <v/>
      </c>
      <c r="FO210" s="30" t="str">
        <f t="shared" si="2156"/>
        <v/>
      </c>
      <c r="FP210" s="30" t="str">
        <f t="shared" si="2157"/>
        <v/>
      </c>
      <c r="FQ210" s="30" t="str">
        <f t="shared" si="2158"/>
        <v/>
      </c>
      <c r="FR210" s="30" t="str">
        <f t="shared" si="2159"/>
        <v/>
      </c>
      <c r="FS210" s="30" t="str">
        <f t="shared" si="2160"/>
        <v/>
      </c>
    </row>
    <row r="211" spans="92:175">
      <c r="CN211" s="7" t="str">
        <f t="shared" si="2085"/>
        <v>InitUnitState('',,,,,,,,,,)</v>
      </c>
      <c r="CO211" s="7" t="str">
        <f t="shared" si="2086"/>
        <v>InitUnitNormal('',,,,,,,,,,)</v>
      </c>
      <c r="CP211" s="7" t="str">
        <f t="shared" si="2087"/>
        <v>InitUnitMagic('',,,,,,,,,,)</v>
      </c>
      <c r="CQ211" s="7" t="str">
        <f t="shared" si="2088"/>
        <v>InitUnitAdd('',,,,,,,,,,)</v>
      </c>
      <c r="CR211" s="7" t="str">
        <f t="shared" si="2089"/>
        <v>InitEquipData('',,"",,,,,'','','','','','',"")</v>
      </c>
      <c r="CU211" s="29" t="str">
        <f t="shared" si="2161"/>
        <v>|n</v>
      </c>
      <c r="CW211" s="24"/>
      <c r="CX211" s="24"/>
      <c r="CY211" s="24"/>
      <c r="CZ211" s="24"/>
      <c r="DA211" s="24"/>
      <c r="DB211" s="30" t="str">
        <f t="shared" si="2091"/>
        <v/>
      </c>
      <c r="DC211" s="30" t="str">
        <f t="shared" si="2092"/>
        <v/>
      </c>
      <c r="DD211" s="30" t="str">
        <f t="shared" si="2093"/>
        <v/>
      </c>
      <c r="DE211" s="30" t="str">
        <f t="shared" si="2094"/>
        <v/>
      </c>
      <c r="DF211" s="30" t="str">
        <f t="shared" si="2095"/>
        <v/>
      </c>
      <c r="DG211" s="30" t="str">
        <f t="shared" si="2096"/>
        <v/>
      </c>
      <c r="DH211" s="30" t="str">
        <f t="shared" si="2097"/>
        <v/>
      </c>
      <c r="DI211" s="30" t="str">
        <f t="shared" si="2098"/>
        <v/>
      </c>
      <c r="DJ211" s="30" t="str">
        <f t="shared" si="2099"/>
        <v/>
      </c>
      <c r="DK211" s="30" t="str">
        <f t="shared" si="2100"/>
        <v/>
      </c>
      <c r="DL211" s="30" t="str">
        <f t="shared" si="2101"/>
        <v/>
      </c>
      <c r="DM211" s="30" t="str">
        <f t="shared" si="2102"/>
        <v/>
      </c>
      <c r="DN211" s="30" t="str">
        <f t="shared" si="2103"/>
        <v/>
      </c>
      <c r="DO211" s="30" t="str">
        <f t="shared" si="2104"/>
        <v/>
      </c>
      <c r="DP211" s="30" t="str">
        <f t="shared" si="2105"/>
        <v/>
      </c>
      <c r="DQ211" s="30" t="str">
        <f t="shared" si="2106"/>
        <v/>
      </c>
      <c r="DR211" s="30" t="str">
        <f t="shared" si="2107"/>
        <v/>
      </c>
      <c r="DS211" s="30" t="str">
        <f t="shared" si="2108"/>
        <v/>
      </c>
      <c r="DT211" s="30" t="str">
        <f t="shared" si="2109"/>
        <v/>
      </c>
      <c r="DU211" s="30" t="str">
        <f t="shared" si="2110"/>
        <v/>
      </c>
      <c r="DV211" s="30" t="str">
        <f t="shared" si="2111"/>
        <v/>
      </c>
      <c r="DW211" s="30" t="str">
        <f t="shared" si="2112"/>
        <v/>
      </c>
      <c r="DX211" s="30" t="str">
        <f t="shared" si="2113"/>
        <v/>
      </c>
      <c r="DY211" s="30" t="str">
        <f t="shared" si="2114"/>
        <v/>
      </c>
      <c r="DZ211" s="30" t="str">
        <f t="shared" si="2115"/>
        <v/>
      </c>
      <c r="EA211" s="30" t="str">
        <f t="shared" si="2116"/>
        <v/>
      </c>
      <c r="EB211" s="30" t="str">
        <f t="shared" si="2117"/>
        <v/>
      </c>
      <c r="EC211" s="30" t="str">
        <f t="shared" si="2118"/>
        <v/>
      </c>
      <c r="ED211" s="30" t="str">
        <f t="shared" si="2119"/>
        <v/>
      </c>
      <c r="EE211" s="30" t="str">
        <f t="shared" si="2120"/>
        <v/>
      </c>
      <c r="EF211" s="30" t="str">
        <f t="shared" si="2121"/>
        <v/>
      </c>
      <c r="EG211" s="30" t="str">
        <f t="shared" si="2122"/>
        <v/>
      </c>
      <c r="EH211" s="30" t="str">
        <f t="shared" si="2123"/>
        <v/>
      </c>
      <c r="EI211" s="30" t="str">
        <f t="shared" si="2124"/>
        <v/>
      </c>
      <c r="EJ211" s="30" t="str">
        <f t="shared" si="2125"/>
        <v/>
      </c>
      <c r="EK211" s="30" t="str">
        <f t="shared" si="2126"/>
        <v/>
      </c>
      <c r="EL211" s="30" t="str">
        <f t="shared" si="2127"/>
        <v/>
      </c>
      <c r="EM211" s="30" t="str">
        <f t="shared" si="2128"/>
        <v/>
      </c>
      <c r="EN211" s="30" t="str">
        <f t="shared" si="2129"/>
        <v/>
      </c>
      <c r="EO211" s="30" t="str">
        <f t="shared" si="2130"/>
        <v/>
      </c>
      <c r="EP211" s="30" t="str">
        <f t="shared" si="2131"/>
        <v/>
      </c>
      <c r="EQ211" s="30" t="str">
        <f t="shared" si="2132"/>
        <v/>
      </c>
      <c r="ER211" s="30" t="str">
        <f t="shared" si="2133"/>
        <v/>
      </c>
      <c r="ES211" s="30" t="str">
        <f t="shared" si="2134"/>
        <v/>
      </c>
      <c r="ET211" s="30" t="str">
        <f t="shared" si="2135"/>
        <v/>
      </c>
      <c r="EU211" s="30" t="str">
        <f t="shared" si="2136"/>
        <v/>
      </c>
      <c r="EV211" s="30" t="str">
        <f t="shared" si="2137"/>
        <v/>
      </c>
      <c r="EW211" s="30" t="str">
        <f t="shared" si="2138"/>
        <v/>
      </c>
      <c r="EX211" s="30" t="str">
        <f t="shared" si="2139"/>
        <v/>
      </c>
      <c r="EY211" s="30" t="str">
        <f t="shared" si="2140"/>
        <v/>
      </c>
      <c r="EZ211" s="30" t="str">
        <f t="shared" si="2141"/>
        <v/>
      </c>
      <c r="FA211" s="30" t="str">
        <f t="shared" si="2142"/>
        <v/>
      </c>
      <c r="FB211" s="30" t="str">
        <f t="shared" si="2143"/>
        <v/>
      </c>
      <c r="FC211" s="30" t="str">
        <f t="shared" si="2144"/>
        <v/>
      </c>
      <c r="FD211" s="30" t="str">
        <f t="shared" si="2145"/>
        <v/>
      </c>
      <c r="FE211" s="30" t="str">
        <f t="shared" si="2146"/>
        <v/>
      </c>
      <c r="FF211" s="30" t="str">
        <f t="shared" si="2147"/>
        <v/>
      </c>
      <c r="FG211" s="30" t="str">
        <f t="shared" si="2148"/>
        <v/>
      </c>
      <c r="FH211" s="30" t="str">
        <f t="shared" si="2149"/>
        <v/>
      </c>
      <c r="FI211" s="30" t="str">
        <f t="shared" si="2150"/>
        <v/>
      </c>
      <c r="FJ211" s="30" t="str">
        <f t="shared" si="2151"/>
        <v/>
      </c>
      <c r="FK211" s="30" t="str">
        <f t="shared" si="2152"/>
        <v/>
      </c>
      <c r="FL211" s="30" t="str">
        <f t="shared" si="2153"/>
        <v/>
      </c>
      <c r="FM211" s="30" t="str">
        <f t="shared" si="2154"/>
        <v/>
      </c>
      <c r="FN211" s="30" t="str">
        <f t="shared" si="2155"/>
        <v/>
      </c>
      <c r="FO211" s="30" t="str">
        <f t="shared" si="2156"/>
        <v/>
      </c>
      <c r="FP211" s="30" t="str">
        <f t="shared" si="2157"/>
        <v/>
      </c>
      <c r="FQ211" s="30" t="str">
        <f t="shared" si="2158"/>
        <v/>
      </c>
      <c r="FR211" s="30" t="str">
        <f t="shared" si="2159"/>
        <v/>
      </c>
      <c r="FS211" s="30" t="str">
        <f t="shared" si="2160"/>
        <v/>
      </c>
    </row>
    <row r="212" spans="92:175">
      <c r="CN212" s="7" t="str">
        <f t="shared" si="2085"/>
        <v>InitUnitState('',,,,,,,,,,)</v>
      </c>
      <c r="CO212" s="7" t="str">
        <f t="shared" si="2086"/>
        <v>InitUnitNormal('',,,,,,,,,,)</v>
      </c>
      <c r="CP212" s="7" t="str">
        <f t="shared" si="2087"/>
        <v>InitUnitMagic('',,,,,,,,,,)</v>
      </c>
      <c r="CQ212" s="7" t="str">
        <f t="shared" si="2088"/>
        <v>InitUnitAdd('',,,,,,,,,,)</v>
      </c>
      <c r="CR212" s="7" t="str">
        <f t="shared" si="2089"/>
        <v>InitEquipData('',,"",,,,,'','','','','','',"")</v>
      </c>
      <c r="CU212" s="29" t="str">
        <f t="shared" si="2161"/>
        <v>|n</v>
      </c>
      <c r="CW212" s="24"/>
      <c r="CX212" s="24"/>
      <c r="CY212" s="24"/>
      <c r="CZ212" s="24"/>
      <c r="DA212" s="24"/>
      <c r="DB212" s="30" t="str">
        <f t="shared" si="2091"/>
        <v/>
      </c>
      <c r="DC212" s="30" t="str">
        <f t="shared" si="2092"/>
        <v/>
      </c>
      <c r="DD212" s="30" t="str">
        <f t="shared" si="2093"/>
        <v/>
      </c>
      <c r="DE212" s="30" t="str">
        <f t="shared" si="2094"/>
        <v/>
      </c>
      <c r="DF212" s="30" t="str">
        <f t="shared" si="2095"/>
        <v/>
      </c>
      <c r="DG212" s="30" t="str">
        <f t="shared" si="2096"/>
        <v/>
      </c>
      <c r="DH212" s="30" t="str">
        <f t="shared" si="2097"/>
        <v/>
      </c>
      <c r="DI212" s="30" t="str">
        <f t="shared" si="2098"/>
        <v/>
      </c>
      <c r="DJ212" s="30" t="str">
        <f t="shared" si="2099"/>
        <v/>
      </c>
      <c r="DK212" s="30" t="str">
        <f t="shared" si="2100"/>
        <v/>
      </c>
      <c r="DL212" s="30" t="str">
        <f t="shared" si="2101"/>
        <v/>
      </c>
      <c r="DM212" s="30" t="str">
        <f t="shared" si="2102"/>
        <v/>
      </c>
      <c r="DN212" s="30" t="str">
        <f t="shared" si="2103"/>
        <v/>
      </c>
      <c r="DO212" s="30" t="str">
        <f t="shared" si="2104"/>
        <v/>
      </c>
      <c r="DP212" s="30" t="str">
        <f t="shared" si="2105"/>
        <v/>
      </c>
      <c r="DQ212" s="30" t="str">
        <f t="shared" si="2106"/>
        <v/>
      </c>
      <c r="DR212" s="30" t="str">
        <f t="shared" si="2107"/>
        <v/>
      </c>
      <c r="DS212" s="30" t="str">
        <f t="shared" si="2108"/>
        <v/>
      </c>
      <c r="DT212" s="30" t="str">
        <f t="shared" si="2109"/>
        <v/>
      </c>
      <c r="DU212" s="30" t="str">
        <f t="shared" si="2110"/>
        <v/>
      </c>
      <c r="DV212" s="30" t="str">
        <f t="shared" si="2111"/>
        <v/>
      </c>
      <c r="DW212" s="30" t="str">
        <f t="shared" si="2112"/>
        <v/>
      </c>
      <c r="DX212" s="30" t="str">
        <f t="shared" si="2113"/>
        <v/>
      </c>
      <c r="DY212" s="30" t="str">
        <f t="shared" si="2114"/>
        <v/>
      </c>
      <c r="DZ212" s="30" t="str">
        <f t="shared" si="2115"/>
        <v/>
      </c>
      <c r="EA212" s="30" t="str">
        <f t="shared" si="2116"/>
        <v/>
      </c>
      <c r="EB212" s="30" t="str">
        <f t="shared" si="2117"/>
        <v/>
      </c>
      <c r="EC212" s="30" t="str">
        <f t="shared" si="2118"/>
        <v/>
      </c>
      <c r="ED212" s="30" t="str">
        <f t="shared" si="2119"/>
        <v/>
      </c>
      <c r="EE212" s="30" t="str">
        <f t="shared" si="2120"/>
        <v/>
      </c>
      <c r="EF212" s="30" t="str">
        <f t="shared" si="2121"/>
        <v/>
      </c>
      <c r="EG212" s="30" t="str">
        <f t="shared" si="2122"/>
        <v/>
      </c>
      <c r="EH212" s="30" t="str">
        <f t="shared" si="2123"/>
        <v/>
      </c>
      <c r="EI212" s="30" t="str">
        <f t="shared" si="2124"/>
        <v/>
      </c>
      <c r="EJ212" s="30" t="str">
        <f t="shared" si="2125"/>
        <v/>
      </c>
      <c r="EK212" s="30" t="str">
        <f t="shared" si="2126"/>
        <v/>
      </c>
      <c r="EL212" s="30" t="str">
        <f t="shared" si="2127"/>
        <v/>
      </c>
      <c r="EM212" s="30" t="str">
        <f t="shared" si="2128"/>
        <v/>
      </c>
      <c r="EN212" s="30" t="str">
        <f t="shared" si="2129"/>
        <v/>
      </c>
      <c r="EO212" s="30" t="str">
        <f t="shared" si="2130"/>
        <v/>
      </c>
      <c r="EP212" s="30" t="str">
        <f t="shared" si="2131"/>
        <v/>
      </c>
      <c r="EQ212" s="30" t="str">
        <f t="shared" si="2132"/>
        <v/>
      </c>
      <c r="ER212" s="30" t="str">
        <f t="shared" si="2133"/>
        <v/>
      </c>
      <c r="ES212" s="30" t="str">
        <f t="shared" si="2134"/>
        <v/>
      </c>
      <c r="ET212" s="30" t="str">
        <f t="shared" si="2135"/>
        <v/>
      </c>
      <c r="EU212" s="30" t="str">
        <f t="shared" si="2136"/>
        <v/>
      </c>
      <c r="EV212" s="30" t="str">
        <f t="shared" si="2137"/>
        <v/>
      </c>
      <c r="EW212" s="30" t="str">
        <f t="shared" si="2138"/>
        <v/>
      </c>
      <c r="EX212" s="30" t="str">
        <f t="shared" si="2139"/>
        <v/>
      </c>
      <c r="EY212" s="30" t="str">
        <f t="shared" si="2140"/>
        <v/>
      </c>
      <c r="EZ212" s="30" t="str">
        <f t="shared" si="2141"/>
        <v/>
      </c>
      <c r="FA212" s="30" t="str">
        <f t="shared" si="2142"/>
        <v/>
      </c>
      <c r="FB212" s="30" t="str">
        <f t="shared" si="2143"/>
        <v/>
      </c>
      <c r="FC212" s="30" t="str">
        <f t="shared" si="2144"/>
        <v/>
      </c>
      <c r="FD212" s="30" t="str">
        <f t="shared" si="2145"/>
        <v/>
      </c>
      <c r="FE212" s="30" t="str">
        <f t="shared" si="2146"/>
        <v/>
      </c>
      <c r="FF212" s="30" t="str">
        <f t="shared" si="2147"/>
        <v/>
      </c>
      <c r="FG212" s="30" t="str">
        <f t="shared" si="2148"/>
        <v/>
      </c>
      <c r="FH212" s="30" t="str">
        <f t="shared" si="2149"/>
        <v/>
      </c>
      <c r="FI212" s="30" t="str">
        <f t="shared" si="2150"/>
        <v/>
      </c>
      <c r="FJ212" s="30" t="str">
        <f t="shared" si="2151"/>
        <v/>
      </c>
      <c r="FK212" s="30" t="str">
        <f t="shared" si="2152"/>
        <v/>
      </c>
      <c r="FL212" s="30" t="str">
        <f t="shared" si="2153"/>
        <v/>
      </c>
      <c r="FM212" s="30" t="str">
        <f t="shared" si="2154"/>
        <v/>
      </c>
      <c r="FN212" s="30" t="str">
        <f t="shared" si="2155"/>
        <v/>
      </c>
      <c r="FO212" s="30" t="str">
        <f t="shared" si="2156"/>
        <v/>
      </c>
      <c r="FP212" s="30" t="str">
        <f t="shared" si="2157"/>
        <v/>
      </c>
      <c r="FQ212" s="30" t="str">
        <f t="shared" si="2158"/>
        <v/>
      </c>
      <c r="FR212" s="30" t="str">
        <f t="shared" si="2159"/>
        <v/>
      </c>
      <c r="FS212" s="30" t="str">
        <f t="shared" si="2160"/>
        <v/>
      </c>
    </row>
    <row r="213" spans="92:175">
      <c r="CN213" s="7" t="str">
        <f t="shared" si="2085"/>
        <v>InitUnitState('',,,,,,,,,,)</v>
      </c>
      <c r="CO213" s="7" t="str">
        <f t="shared" si="2086"/>
        <v>InitUnitNormal('',,,,,,,,,,)</v>
      </c>
      <c r="CP213" s="7" t="str">
        <f t="shared" si="2087"/>
        <v>InitUnitMagic('',,,,,,,,,,)</v>
      </c>
      <c r="CQ213" s="7" t="str">
        <f t="shared" si="2088"/>
        <v>InitUnitAdd('',,,,,,,,,,)</v>
      </c>
      <c r="CR213" s="7" t="str">
        <f t="shared" si="2089"/>
        <v>InitEquipData('',,"",,,,,'','','','','','',"")</v>
      </c>
      <c r="CU213" s="29" t="str">
        <f t="shared" si="2161"/>
        <v>|n</v>
      </c>
      <c r="CW213" s="24"/>
      <c r="CX213" s="24"/>
      <c r="CY213" s="24"/>
      <c r="CZ213" s="24"/>
      <c r="DA213" s="24"/>
      <c r="DB213" s="30" t="str">
        <f t="shared" si="2091"/>
        <v/>
      </c>
      <c r="DC213" s="30" t="str">
        <f t="shared" si="2092"/>
        <v/>
      </c>
      <c r="DD213" s="30" t="str">
        <f t="shared" si="2093"/>
        <v/>
      </c>
      <c r="DE213" s="30" t="str">
        <f t="shared" si="2094"/>
        <v/>
      </c>
      <c r="DF213" s="30" t="str">
        <f t="shared" si="2095"/>
        <v/>
      </c>
      <c r="DG213" s="30" t="str">
        <f t="shared" si="2096"/>
        <v/>
      </c>
      <c r="DH213" s="30" t="str">
        <f t="shared" si="2097"/>
        <v/>
      </c>
      <c r="DI213" s="30" t="str">
        <f t="shared" si="2098"/>
        <v/>
      </c>
      <c r="DJ213" s="30" t="str">
        <f t="shared" si="2099"/>
        <v/>
      </c>
      <c r="DK213" s="30" t="str">
        <f t="shared" si="2100"/>
        <v/>
      </c>
      <c r="DL213" s="30" t="str">
        <f t="shared" si="2101"/>
        <v/>
      </c>
      <c r="DM213" s="30" t="str">
        <f t="shared" si="2102"/>
        <v/>
      </c>
      <c r="DN213" s="30" t="str">
        <f t="shared" si="2103"/>
        <v/>
      </c>
      <c r="DO213" s="30" t="str">
        <f t="shared" si="2104"/>
        <v/>
      </c>
      <c r="DP213" s="30" t="str">
        <f t="shared" si="2105"/>
        <v/>
      </c>
      <c r="DQ213" s="30" t="str">
        <f t="shared" si="2106"/>
        <v/>
      </c>
      <c r="DR213" s="30" t="str">
        <f t="shared" si="2107"/>
        <v/>
      </c>
      <c r="DS213" s="30" t="str">
        <f t="shared" si="2108"/>
        <v/>
      </c>
      <c r="DT213" s="30" t="str">
        <f t="shared" si="2109"/>
        <v/>
      </c>
      <c r="DU213" s="30" t="str">
        <f t="shared" si="2110"/>
        <v/>
      </c>
      <c r="DV213" s="30" t="str">
        <f t="shared" si="2111"/>
        <v/>
      </c>
      <c r="DW213" s="30" t="str">
        <f t="shared" si="2112"/>
        <v/>
      </c>
      <c r="DX213" s="30" t="str">
        <f t="shared" si="2113"/>
        <v/>
      </c>
      <c r="DY213" s="30" t="str">
        <f t="shared" si="2114"/>
        <v/>
      </c>
      <c r="DZ213" s="30" t="str">
        <f t="shared" si="2115"/>
        <v/>
      </c>
      <c r="EA213" s="30" t="str">
        <f t="shared" si="2116"/>
        <v/>
      </c>
      <c r="EB213" s="30" t="str">
        <f t="shared" si="2117"/>
        <v/>
      </c>
      <c r="EC213" s="30" t="str">
        <f t="shared" si="2118"/>
        <v/>
      </c>
      <c r="ED213" s="30" t="str">
        <f t="shared" si="2119"/>
        <v/>
      </c>
      <c r="EE213" s="30" t="str">
        <f t="shared" si="2120"/>
        <v/>
      </c>
      <c r="EF213" s="30" t="str">
        <f t="shared" si="2121"/>
        <v/>
      </c>
      <c r="EG213" s="30" t="str">
        <f t="shared" si="2122"/>
        <v/>
      </c>
      <c r="EH213" s="30" t="str">
        <f t="shared" si="2123"/>
        <v/>
      </c>
      <c r="EI213" s="30" t="str">
        <f t="shared" si="2124"/>
        <v/>
      </c>
      <c r="EJ213" s="30" t="str">
        <f t="shared" si="2125"/>
        <v/>
      </c>
      <c r="EK213" s="30" t="str">
        <f t="shared" si="2126"/>
        <v/>
      </c>
      <c r="EL213" s="30" t="str">
        <f t="shared" si="2127"/>
        <v/>
      </c>
      <c r="EM213" s="30" t="str">
        <f t="shared" si="2128"/>
        <v/>
      </c>
      <c r="EN213" s="30" t="str">
        <f t="shared" si="2129"/>
        <v/>
      </c>
      <c r="EO213" s="30" t="str">
        <f t="shared" si="2130"/>
        <v/>
      </c>
      <c r="EP213" s="30" t="str">
        <f t="shared" si="2131"/>
        <v/>
      </c>
      <c r="EQ213" s="30" t="str">
        <f t="shared" si="2132"/>
        <v/>
      </c>
      <c r="ER213" s="30" t="str">
        <f t="shared" si="2133"/>
        <v/>
      </c>
      <c r="ES213" s="30" t="str">
        <f t="shared" si="2134"/>
        <v/>
      </c>
      <c r="ET213" s="30" t="str">
        <f t="shared" si="2135"/>
        <v/>
      </c>
      <c r="EU213" s="30" t="str">
        <f t="shared" si="2136"/>
        <v/>
      </c>
      <c r="EV213" s="30" t="str">
        <f t="shared" si="2137"/>
        <v/>
      </c>
      <c r="EW213" s="30" t="str">
        <f t="shared" si="2138"/>
        <v/>
      </c>
      <c r="EX213" s="30" t="str">
        <f t="shared" si="2139"/>
        <v/>
      </c>
      <c r="EY213" s="30" t="str">
        <f t="shared" si="2140"/>
        <v/>
      </c>
      <c r="EZ213" s="30" t="str">
        <f t="shared" si="2141"/>
        <v/>
      </c>
      <c r="FA213" s="30" t="str">
        <f t="shared" si="2142"/>
        <v/>
      </c>
      <c r="FB213" s="30" t="str">
        <f t="shared" si="2143"/>
        <v/>
      </c>
      <c r="FC213" s="30" t="str">
        <f t="shared" si="2144"/>
        <v/>
      </c>
      <c r="FD213" s="30" t="str">
        <f t="shared" si="2145"/>
        <v/>
      </c>
      <c r="FE213" s="30" t="str">
        <f t="shared" si="2146"/>
        <v/>
      </c>
      <c r="FF213" s="30" t="str">
        <f t="shared" si="2147"/>
        <v/>
      </c>
      <c r="FG213" s="30" t="str">
        <f t="shared" si="2148"/>
        <v/>
      </c>
      <c r="FH213" s="30" t="str">
        <f t="shared" si="2149"/>
        <v/>
      </c>
      <c r="FI213" s="30" t="str">
        <f t="shared" si="2150"/>
        <v/>
      </c>
      <c r="FJ213" s="30" t="str">
        <f t="shared" si="2151"/>
        <v/>
      </c>
      <c r="FK213" s="30" t="str">
        <f t="shared" si="2152"/>
        <v/>
      </c>
      <c r="FL213" s="30" t="str">
        <f t="shared" si="2153"/>
        <v/>
      </c>
      <c r="FM213" s="30" t="str">
        <f t="shared" si="2154"/>
        <v/>
      </c>
      <c r="FN213" s="30" t="str">
        <f t="shared" si="2155"/>
        <v/>
      </c>
      <c r="FO213" s="30" t="str">
        <f t="shared" si="2156"/>
        <v/>
      </c>
      <c r="FP213" s="30" t="str">
        <f t="shared" si="2157"/>
        <v/>
      </c>
      <c r="FQ213" s="30" t="str">
        <f t="shared" si="2158"/>
        <v/>
      </c>
      <c r="FR213" s="30" t="str">
        <f t="shared" si="2159"/>
        <v/>
      </c>
      <c r="FS213" s="30" t="str">
        <f t="shared" si="2160"/>
        <v/>
      </c>
    </row>
    <row r="214" spans="92:175">
      <c r="CN214" s="7" t="str">
        <f t="shared" si="2085"/>
        <v>InitUnitState('',,,,,,,,,,)</v>
      </c>
      <c r="CO214" s="7" t="str">
        <f t="shared" si="2086"/>
        <v>InitUnitNormal('',,,,,,,,,,)</v>
      </c>
      <c r="CP214" s="7" t="str">
        <f t="shared" si="2087"/>
        <v>InitUnitMagic('',,,,,,,,,,)</v>
      </c>
      <c r="CQ214" s="7" t="str">
        <f t="shared" si="2088"/>
        <v>InitUnitAdd('',,,,,,,,,,)</v>
      </c>
      <c r="CR214" s="7" t="str">
        <f t="shared" si="2089"/>
        <v>InitEquipData('',,"",,,,,'','','','','','',"")</v>
      </c>
      <c r="CU214" s="29" t="str">
        <f t="shared" si="2161"/>
        <v>|n</v>
      </c>
      <c r="DB214" s="30" t="str">
        <f>IF(V214="","","|n"&amp;#REF!&amp;"+"&amp;V214)</f>
        <v/>
      </c>
      <c r="DC214" s="30" t="str">
        <f>IF(W214="","","|n"&amp;#REF!&amp;"+"&amp;W214)</f>
        <v/>
      </c>
      <c r="DD214" s="30" t="str">
        <f>IF(X214="","","|n"&amp;#REF!&amp;"+"&amp;X214)</f>
        <v/>
      </c>
      <c r="DE214" s="30" t="str">
        <f>IF(Y214="","","|n"&amp;#REF!&amp;"+"&amp;Y214)</f>
        <v/>
      </c>
      <c r="DF214" s="30" t="str">
        <f>IF(Z214="","","|n"&amp;#REF!&amp;"+"&amp;Z214)</f>
        <v/>
      </c>
      <c r="DG214" s="30" t="str">
        <f>IF(AA214="","","|n"&amp;#REF!&amp;"+"&amp;AA214)</f>
        <v/>
      </c>
      <c r="DH214" s="30" t="str">
        <f>IF(AB214="","","|n"&amp;#REF!&amp;"+"&amp;AB214)</f>
        <v/>
      </c>
      <c r="DI214" s="30" t="str">
        <f>IF(AC214="","","|n"&amp;#REF!&amp;"+"&amp;AC214&amp;"%")</f>
        <v/>
      </c>
      <c r="DJ214" s="30" t="str">
        <f>IF(AD214="","","|n"&amp;#REF!&amp;"+"&amp;AD214)</f>
        <v/>
      </c>
      <c r="DK214" s="30" t="str">
        <f>IF(AE214="","","|n"&amp;#REF!&amp;"+"&amp;AE214)</f>
        <v/>
      </c>
      <c r="DL214" s="30" t="str">
        <f>IF(AF214="","","|n"&amp;#REF!&amp;"+"&amp;AF214)</f>
        <v/>
      </c>
      <c r="DM214" s="30" t="str">
        <f>IF(AG214="","","|n"&amp;#REF!&amp;"+"&amp;AG214&amp;"%")</f>
        <v/>
      </c>
      <c r="DN214" s="30" t="str">
        <f>IF(AH214="","","|n"&amp;#REF!&amp;"+"&amp;AH214)</f>
        <v/>
      </c>
      <c r="DO214" s="30" t="str">
        <f>IF(AI214="","","|n"&amp;#REF!&amp;"+"&amp;AI214)</f>
        <v/>
      </c>
      <c r="DP214" s="30" t="str">
        <f>IF(AJ214="","","|n"&amp;#REF!&amp;"+"&amp;AJ214)</f>
        <v/>
      </c>
    </row>
    <row r="215" spans="92:175">
      <c r="CN215" s="7" t="str">
        <f t="shared" si="2085"/>
        <v>InitUnitState('',,,,,,,,,,)</v>
      </c>
      <c r="CO215" s="7" t="str">
        <f t="shared" si="2086"/>
        <v>InitUnitNormal('',,,,,,,,,,)</v>
      </c>
      <c r="CP215" s="7" t="str">
        <f t="shared" si="2087"/>
        <v>InitUnitMagic('',,,,,,,,,,)</v>
      </c>
      <c r="CQ215" s="7" t="str">
        <f t="shared" si="2088"/>
        <v>InitUnitAdd('',,,,,,,,,,)</v>
      </c>
      <c r="CR215" s="7" t="str">
        <f t="shared" si="2089"/>
        <v>InitEquipData('',,"",,,,,'','','','','','',"")</v>
      </c>
      <c r="CU215" s="29" t="str">
        <f t="shared" si="2161"/>
        <v>|n</v>
      </c>
      <c r="DB215" s="30" t="str">
        <f>IF(V215="","","|n"&amp;#REF!&amp;"+"&amp;V215)</f>
        <v/>
      </c>
      <c r="DC215" s="30" t="str">
        <f>IF(W215="","","|n"&amp;#REF!&amp;"+"&amp;W215)</f>
        <v/>
      </c>
      <c r="DD215" s="30" t="str">
        <f>IF(X215="","","|n"&amp;#REF!&amp;"+"&amp;X215)</f>
        <v/>
      </c>
      <c r="DE215" s="30" t="str">
        <f>IF(Y215="","","|n"&amp;#REF!&amp;"+"&amp;Y215)</f>
        <v/>
      </c>
      <c r="DF215" s="30" t="str">
        <f>IF(Z215="","","|n"&amp;#REF!&amp;"+"&amp;Z215)</f>
        <v/>
      </c>
      <c r="DG215" s="30" t="str">
        <f>IF(AA215="","","|n"&amp;#REF!&amp;"+"&amp;AA215)</f>
        <v/>
      </c>
      <c r="DH215" s="30" t="str">
        <f>IF(AB215="","","|n"&amp;#REF!&amp;"+"&amp;AB215)</f>
        <v/>
      </c>
      <c r="DI215" s="30" t="str">
        <f>IF(AC215="","","|n"&amp;#REF!&amp;"+"&amp;AC215&amp;"%")</f>
        <v/>
      </c>
      <c r="DJ215" s="30" t="str">
        <f>IF(AD215="","","|n"&amp;#REF!&amp;"+"&amp;AD215)</f>
        <v/>
      </c>
      <c r="DK215" s="30" t="str">
        <f>IF(AE215="","","|n"&amp;#REF!&amp;"+"&amp;AE215)</f>
        <v/>
      </c>
      <c r="DL215" s="30" t="str">
        <f>IF(AF215="","","|n"&amp;#REF!&amp;"+"&amp;AF215)</f>
        <v/>
      </c>
      <c r="DM215" s="30" t="str">
        <f>IF(AG215="","","|n"&amp;#REF!&amp;"+"&amp;AG215&amp;"%")</f>
        <v/>
      </c>
      <c r="DN215" s="30" t="str">
        <f>IF(AH215="","","|n"&amp;#REF!&amp;"+"&amp;AH215)</f>
        <v/>
      </c>
      <c r="DO215" s="30" t="str">
        <f>IF(AI215="","","|n"&amp;#REF!&amp;"+"&amp;AI215)</f>
        <v/>
      </c>
      <c r="DP215" s="30" t="str">
        <f>IF(AJ215="","","|n"&amp;#REF!&amp;"+"&amp;AJ215)</f>
        <v/>
      </c>
    </row>
    <row r="216" spans="92:175">
      <c r="CN216" s="7" t="str">
        <f t="shared" si="2085"/>
        <v>InitUnitState('',,,,,,,,,,)</v>
      </c>
      <c r="CO216" s="7" t="str">
        <f t="shared" si="2086"/>
        <v>InitUnitNormal('',,,,,,,,,,)</v>
      </c>
      <c r="CP216" s="7" t="str">
        <f t="shared" si="2087"/>
        <v>InitUnitMagic('',,,,,,,,,,)</v>
      </c>
      <c r="CQ216" s="7" t="str">
        <f t="shared" si="2088"/>
        <v>InitUnitAdd('',,,,,,,,,,)</v>
      </c>
      <c r="CR216" s="7" t="str">
        <f t="shared" si="2089"/>
        <v>InitEquipData('',,"",,,,,'','','','','','',"")</v>
      </c>
      <c r="CU216" s="29" t="str">
        <f t="shared" si="2161"/>
        <v>|n</v>
      </c>
      <c r="DB216" s="30" t="str">
        <f>IF(V216="","","|n"&amp;#REF!&amp;"+"&amp;V216)</f>
        <v/>
      </c>
      <c r="DC216" s="30" t="str">
        <f>IF(W216="","","|n"&amp;#REF!&amp;"+"&amp;W216)</f>
        <v/>
      </c>
      <c r="DD216" s="30" t="str">
        <f>IF(X216="","","|n"&amp;#REF!&amp;"+"&amp;X216)</f>
        <v/>
      </c>
      <c r="DE216" s="30" t="str">
        <f>IF(Y216="","","|n"&amp;#REF!&amp;"+"&amp;Y216)</f>
        <v/>
      </c>
      <c r="DF216" s="30" t="str">
        <f>IF(Z216="","","|n"&amp;#REF!&amp;"+"&amp;Z216)</f>
        <v/>
      </c>
      <c r="DG216" s="30" t="str">
        <f>IF(AA216="","","|n"&amp;#REF!&amp;"+"&amp;AA216)</f>
        <v/>
      </c>
      <c r="DH216" s="30" t="str">
        <f>IF(AB216="","","|n"&amp;#REF!&amp;"+"&amp;AB216)</f>
        <v/>
      </c>
      <c r="DI216" s="30" t="str">
        <f>IF(AC216="","","|n"&amp;#REF!&amp;"+"&amp;AC216&amp;"%")</f>
        <v/>
      </c>
      <c r="DJ216" s="30" t="str">
        <f>IF(AD216="","","|n"&amp;#REF!&amp;"+"&amp;AD216)</f>
        <v/>
      </c>
      <c r="DK216" s="30" t="str">
        <f>IF(AE216="","","|n"&amp;#REF!&amp;"+"&amp;AE216)</f>
        <v/>
      </c>
      <c r="DL216" s="30" t="str">
        <f>IF(AF216="","","|n"&amp;#REF!&amp;"+"&amp;AF216)</f>
        <v/>
      </c>
      <c r="DM216" s="30" t="str">
        <f>IF(AG216="","","|n"&amp;#REF!&amp;"+"&amp;AG216&amp;"%")</f>
        <v/>
      </c>
      <c r="DN216" s="30" t="str">
        <f>IF(AH216="","","|n"&amp;#REF!&amp;"+"&amp;AH216)</f>
        <v/>
      </c>
      <c r="DO216" s="30" t="str">
        <f>IF(AI216="","","|n"&amp;#REF!&amp;"+"&amp;AI216)</f>
        <v/>
      </c>
      <c r="DP216" s="30" t="str">
        <f>IF(AJ216="","","|n"&amp;#REF!&amp;"+"&amp;AJ216)</f>
        <v/>
      </c>
    </row>
    <row r="217" spans="92:175">
      <c r="CN217" s="7" t="str">
        <f t="shared" si="2085"/>
        <v>InitUnitState('',,,,,,,,,,)</v>
      </c>
      <c r="CO217" s="7" t="str">
        <f t="shared" si="2086"/>
        <v>InitUnitNormal('',,,,,,,,,,)</v>
      </c>
      <c r="CP217" s="7" t="str">
        <f t="shared" si="2087"/>
        <v>InitUnitMagic('',,,,,,,,,,)</v>
      </c>
      <c r="CQ217" s="7" t="str">
        <f t="shared" si="2088"/>
        <v>InitUnitAdd('',,,,,,,,,,)</v>
      </c>
      <c r="CR217" s="7" t="str">
        <f t="shared" si="2089"/>
        <v>InitEquipData('',,"",,,,,'','','','','','',"")</v>
      </c>
      <c r="CU217" s="29" t="str">
        <f t="shared" si="2161"/>
        <v>|n</v>
      </c>
      <c r="DB217" s="30" t="str">
        <f>IF(V217="","","|n"&amp;#REF!&amp;"+"&amp;V217)</f>
        <v/>
      </c>
      <c r="DC217" s="30" t="str">
        <f>IF(W217="","","|n"&amp;#REF!&amp;"+"&amp;W217)</f>
        <v/>
      </c>
      <c r="DD217" s="30" t="str">
        <f>IF(X217="","","|n"&amp;#REF!&amp;"+"&amp;X217)</f>
        <v/>
      </c>
      <c r="DE217" s="30" t="str">
        <f>IF(Y217="","","|n"&amp;#REF!&amp;"+"&amp;Y217)</f>
        <v/>
      </c>
      <c r="DF217" s="30" t="str">
        <f>IF(Z217="","","|n"&amp;#REF!&amp;"+"&amp;Z217)</f>
        <v/>
      </c>
      <c r="DG217" s="30" t="str">
        <f>IF(AA217="","","|n"&amp;#REF!&amp;"+"&amp;AA217)</f>
        <v/>
      </c>
      <c r="DH217" s="30" t="str">
        <f>IF(AB217="","","|n"&amp;#REF!&amp;"+"&amp;AB217)</f>
        <v/>
      </c>
      <c r="DI217" s="30" t="str">
        <f>IF(AC217="","","|n"&amp;#REF!&amp;"+"&amp;AC217&amp;"%")</f>
        <v/>
      </c>
      <c r="DJ217" s="30" t="str">
        <f>IF(AD217="","","|n"&amp;#REF!&amp;"+"&amp;AD217)</f>
        <v/>
      </c>
      <c r="DK217" s="30" t="str">
        <f>IF(AE217="","","|n"&amp;#REF!&amp;"+"&amp;AE217)</f>
        <v/>
      </c>
      <c r="DL217" s="30" t="str">
        <f>IF(AF217="","","|n"&amp;#REF!&amp;"+"&amp;AF217)</f>
        <v/>
      </c>
      <c r="DM217" s="30" t="str">
        <f>IF(AG217="","","|n"&amp;#REF!&amp;"+"&amp;AG217&amp;"%")</f>
        <v/>
      </c>
      <c r="DN217" s="30" t="str">
        <f>IF(AH217="","","|n"&amp;#REF!&amp;"+"&amp;AH217)</f>
        <v/>
      </c>
      <c r="DO217" s="30" t="str">
        <f>IF(AI217="","","|n"&amp;#REF!&amp;"+"&amp;AI217)</f>
        <v/>
      </c>
      <c r="DP217" s="30" t="str">
        <f>IF(AJ217="","","|n"&amp;#REF!&amp;"+"&amp;AJ217)</f>
        <v/>
      </c>
    </row>
    <row r="218" spans="92:175">
      <c r="CN218" s="7" t="str">
        <f t="shared" si="2085"/>
        <v>InitUnitState('',,,,,,,,,,)</v>
      </c>
      <c r="CO218" s="7" t="str">
        <f t="shared" si="2086"/>
        <v>InitUnitNormal('',,,,,,,,,,)</v>
      </c>
      <c r="CP218" s="7" t="str">
        <f t="shared" si="2087"/>
        <v>InitUnitMagic('',,,,,,,,,,)</v>
      </c>
      <c r="CQ218" s="7" t="str">
        <f t="shared" si="2088"/>
        <v>InitUnitAdd('',,,,,,,,,,)</v>
      </c>
      <c r="CR218" s="7" t="str">
        <f t="shared" si="2089"/>
        <v>InitEquipData('',,"",,,,,'','','','','','',"")</v>
      </c>
      <c r="CU218" s="29" t="str">
        <f t="shared" si="2161"/>
        <v>|n</v>
      </c>
      <c r="DB218" s="30" t="str">
        <f>IF(V218="","","|n"&amp;#REF!&amp;"+"&amp;V218)</f>
        <v/>
      </c>
      <c r="DC218" s="30" t="str">
        <f>IF(W218="","","|n"&amp;#REF!&amp;"+"&amp;W218)</f>
        <v/>
      </c>
      <c r="DD218" s="30" t="str">
        <f>IF(X218="","","|n"&amp;#REF!&amp;"+"&amp;X218)</f>
        <v/>
      </c>
      <c r="DE218" s="30" t="str">
        <f>IF(Y218="","","|n"&amp;#REF!&amp;"+"&amp;Y218)</f>
        <v/>
      </c>
      <c r="DF218" s="30" t="str">
        <f>IF(Z218="","","|n"&amp;#REF!&amp;"+"&amp;Z218)</f>
        <v/>
      </c>
      <c r="DG218" s="30" t="str">
        <f>IF(AA218="","","|n"&amp;#REF!&amp;"+"&amp;AA218)</f>
        <v/>
      </c>
      <c r="DH218" s="30" t="str">
        <f>IF(AB218="","","|n"&amp;#REF!&amp;"+"&amp;AB218)</f>
        <v/>
      </c>
      <c r="DI218" s="30" t="str">
        <f>IF(AC218="","","|n"&amp;#REF!&amp;"+"&amp;AC218&amp;"%")</f>
        <v/>
      </c>
      <c r="DJ218" s="30" t="str">
        <f>IF(AD218="","","|n"&amp;#REF!&amp;"+"&amp;AD218)</f>
        <v/>
      </c>
      <c r="DK218" s="30" t="str">
        <f>IF(AE218="","","|n"&amp;#REF!&amp;"+"&amp;AE218)</f>
        <v/>
      </c>
      <c r="DL218" s="30" t="str">
        <f>IF(AF218="","","|n"&amp;#REF!&amp;"+"&amp;AF218)</f>
        <v/>
      </c>
      <c r="DM218" s="30" t="str">
        <f>IF(AG218="","","|n"&amp;#REF!&amp;"+"&amp;AG218&amp;"%")</f>
        <v/>
      </c>
      <c r="DN218" s="30" t="str">
        <f>IF(AH218="","","|n"&amp;#REF!&amp;"+"&amp;AH218)</f>
        <v/>
      </c>
      <c r="DO218" s="30" t="str">
        <f>IF(AI218="","","|n"&amp;#REF!&amp;"+"&amp;AI218)</f>
        <v/>
      </c>
      <c r="DP218" s="30" t="str">
        <f>IF(AJ218="","","|n"&amp;#REF!&amp;"+"&amp;AJ218)</f>
        <v/>
      </c>
    </row>
    <row r="219" spans="92:175">
      <c r="CN219" s="7" t="str">
        <f t="shared" si="2085"/>
        <v>InitUnitState('',,,,,,,,,,)</v>
      </c>
      <c r="CO219" s="7" t="str">
        <f t="shared" si="2086"/>
        <v>InitUnitNormal('',,,,,,,,,,)</v>
      </c>
      <c r="CP219" s="7" t="str">
        <f t="shared" si="2087"/>
        <v>InitUnitMagic('',,,,,,,,,,)</v>
      </c>
      <c r="CQ219" s="7" t="str">
        <f t="shared" si="2088"/>
        <v>InitUnitAdd('',,,,,,,,,,)</v>
      </c>
      <c r="CR219" s="7" t="str">
        <f t="shared" si="2089"/>
        <v>InitEquipData('',,"",,,,,'','','','','','',"")</v>
      </c>
      <c r="CU219" s="29" t="str">
        <f t="shared" si="2161"/>
        <v>|n</v>
      </c>
      <c r="DB219" s="30" t="str">
        <f>IF(V219="","","|n"&amp;#REF!&amp;"+"&amp;V219)</f>
        <v/>
      </c>
      <c r="DC219" s="30" t="str">
        <f>IF(W219="","","|n"&amp;#REF!&amp;"+"&amp;W219)</f>
        <v/>
      </c>
      <c r="DD219" s="30" t="str">
        <f>IF(X219="","","|n"&amp;#REF!&amp;"+"&amp;X219)</f>
        <v/>
      </c>
      <c r="DE219" s="30" t="str">
        <f>IF(Y219="","","|n"&amp;#REF!&amp;"+"&amp;Y219)</f>
        <v/>
      </c>
      <c r="DF219" s="30" t="str">
        <f>IF(Z219="","","|n"&amp;#REF!&amp;"+"&amp;Z219)</f>
        <v/>
      </c>
      <c r="DG219" s="30" t="str">
        <f>IF(AA219="","","|n"&amp;#REF!&amp;"+"&amp;AA219)</f>
        <v/>
      </c>
      <c r="DH219" s="30" t="str">
        <f>IF(AB219="","","|n"&amp;#REF!&amp;"+"&amp;AB219)</f>
        <v/>
      </c>
      <c r="DI219" s="30" t="str">
        <f>IF(AC219="","","|n"&amp;#REF!&amp;"+"&amp;AC219&amp;"%")</f>
        <v/>
      </c>
      <c r="DJ219" s="30" t="str">
        <f>IF(AD219="","","|n"&amp;#REF!&amp;"+"&amp;AD219)</f>
        <v/>
      </c>
      <c r="DK219" s="30" t="str">
        <f>IF(AE219="","","|n"&amp;#REF!&amp;"+"&amp;AE219)</f>
        <v/>
      </c>
      <c r="DL219" s="30" t="str">
        <f>IF(AF219="","","|n"&amp;#REF!&amp;"+"&amp;AF219)</f>
        <v/>
      </c>
      <c r="DM219" s="30" t="str">
        <f>IF(AG219="","","|n"&amp;#REF!&amp;"+"&amp;AG219&amp;"%")</f>
        <v/>
      </c>
      <c r="DN219" s="30" t="str">
        <f>IF(AH219="","","|n"&amp;#REF!&amp;"+"&amp;AH219)</f>
        <v/>
      </c>
      <c r="DO219" s="30" t="str">
        <f>IF(AI219="","","|n"&amp;#REF!&amp;"+"&amp;AI219)</f>
        <v/>
      </c>
      <c r="DP219" s="30" t="str">
        <f>IF(AJ219="","","|n"&amp;#REF!&amp;"+"&amp;AJ219)</f>
        <v/>
      </c>
    </row>
    <row r="220" spans="92:175">
      <c r="CN220" s="7" t="str">
        <f t="shared" si="2085"/>
        <v>InitUnitState('',,,,,,,,,,)</v>
      </c>
      <c r="CO220" s="7" t="str">
        <f t="shared" si="2086"/>
        <v>InitUnitNormal('',,,,,,,,,,)</v>
      </c>
      <c r="CP220" s="7" t="str">
        <f t="shared" si="2087"/>
        <v>InitUnitMagic('',,,,,,,,,,)</v>
      </c>
      <c r="CQ220" s="7" t="str">
        <f t="shared" si="2088"/>
        <v>InitUnitAdd('',,,,,,,,,,)</v>
      </c>
      <c r="CR220" s="7" t="str">
        <f t="shared" si="2089"/>
        <v>InitEquipData('',,"",,,,,'','','','','','',"")</v>
      </c>
      <c r="CU220" s="29" t="str">
        <f t="shared" si="2161"/>
        <v>|n</v>
      </c>
      <c r="DB220" s="30" t="str">
        <f>IF(V220="","","|n"&amp;#REF!&amp;"+"&amp;V220)</f>
        <v/>
      </c>
      <c r="DC220" s="30" t="str">
        <f>IF(W220="","","|n"&amp;#REF!&amp;"+"&amp;W220)</f>
        <v/>
      </c>
      <c r="DD220" s="30" t="str">
        <f>IF(X220="","","|n"&amp;#REF!&amp;"+"&amp;X220)</f>
        <v/>
      </c>
      <c r="DE220" s="30" t="str">
        <f>IF(Y220="","","|n"&amp;#REF!&amp;"+"&amp;Y220)</f>
        <v/>
      </c>
      <c r="DF220" s="30" t="str">
        <f>IF(Z220="","","|n"&amp;#REF!&amp;"+"&amp;Z220)</f>
        <v/>
      </c>
      <c r="DG220" s="30" t="str">
        <f>IF(AA220="","","|n"&amp;#REF!&amp;"+"&amp;AA220)</f>
        <v/>
      </c>
      <c r="DH220" s="30" t="str">
        <f>IF(AB220="","","|n"&amp;#REF!&amp;"+"&amp;AB220)</f>
        <v/>
      </c>
      <c r="DI220" s="30" t="str">
        <f>IF(AC220="","","|n"&amp;#REF!&amp;"+"&amp;AC220&amp;"%")</f>
        <v/>
      </c>
      <c r="DJ220" s="30" t="str">
        <f>IF(AD220="","","|n"&amp;#REF!&amp;"+"&amp;AD220)</f>
        <v/>
      </c>
      <c r="DK220" s="30" t="str">
        <f>IF(AE220="","","|n"&amp;#REF!&amp;"+"&amp;AE220)</f>
        <v/>
      </c>
      <c r="DL220" s="30" t="str">
        <f>IF(AF220="","","|n"&amp;#REF!&amp;"+"&amp;AF220)</f>
        <v/>
      </c>
      <c r="DM220" s="30" t="str">
        <f>IF(AG220="","","|n"&amp;#REF!&amp;"+"&amp;AG220&amp;"%")</f>
        <v/>
      </c>
      <c r="DN220" s="30" t="str">
        <f>IF(AH220="","","|n"&amp;#REF!&amp;"+"&amp;AH220)</f>
        <v/>
      </c>
      <c r="DO220" s="30" t="str">
        <f>IF(AI220="","","|n"&amp;#REF!&amp;"+"&amp;AI220)</f>
        <v/>
      </c>
      <c r="DP220" s="30" t="str">
        <f>IF(AJ220="","","|n"&amp;#REF!&amp;"+"&amp;AJ220)</f>
        <v/>
      </c>
    </row>
    <row r="221" spans="92:175">
      <c r="CN221" s="7" t="str">
        <f t="shared" si="2085"/>
        <v>InitUnitState('',,,,,,,,,,)</v>
      </c>
      <c r="CO221" s="7" t="str">
        <f t="shared" si="2086"/>
        <v>InitUnitNormal('',,,,,,,,,,)</v>
      </c>
      <c r="CP221" s="7" t="str">
        <f t="shared" si="2087"/>
        <v>InitUnitMagic('',,,,,,,,,,)</v>
      </c>
      <c r="CQ221" s="7" t="str">
        <f t="shared" si="2088"/>
        <v>InitUnitAdd('',,,,,,,,,,)</v>
      </c>
      <c r="CR221" s="7" t="str">
        <f t="shared" si="2089"/>
        <v>InitEquipData('',,"",,,,,'','','','','','',"")</v>
      </c>
      <c r="CU221" s="29" t="str">
        <f t="shared" si="2161"/>
        <v>|n</v>
      </c>
      <c r="DB221" s="30" t="str">
        <f>IF(V221="","","|n"&amp;#REF!&amp;"+"&amp;V221)</f>
        <v/>
      </c>
      <c r="DC221" s="30" t="str">
        <f>IF(W221="","","|n"&amp;#REF!&amp;"+"&amp;W221)</f>
        <v/>
      </c>
      <c r="DD221" s="30" t="str">
        <f>IF(X221="","","|n"&amp;#REF!&amp;"+"&amp;X221)</f>
        <v/>
      </c>
      <c r="DE221" s="30" t="str">
        <f>IF(Y221="","","|n"&amp;#REF!&amp;"+"&amp;Y221)</f>
        <v/>
      </c>
      <c r="DF221" s="30" t="str">
        <f>IF(Z221="","","|n"&amp;#REF!&amp;"+"&amp;Z221)</f>
        <v/>
      </c>
      <c r="DG221" s="30" t="str">
        <f>IF(AA221="","","|n"&amp;#REF!&amp;"+"&amp;AA221)</f>
        <v/>
      </c>
      <c r="DH221" s="30" t="str">
        <f>IF(AB221="","","|n"&amp;#REF!&amp;"+"&amp;AB221)</f>
        <v/>
      </c>
      <c r="DI221" s="30" t="str">
        <f>IF(AC221="","","|n"&amp;#REF!&amp;"+"&amp;AC221&amp;"%")</f>
        <v/>
      </c>
      <c r="DJ221" s="30" t="str">
        <f>IF(AD221="","","|n"&amp;#REF!&amp;"+"&amp;AD221)</f>
        <v/>
      </c>
      <c r="DK221" s="30" t="str">
        <f>IF(AE221="","","|n"&amp;#REF!&amp;"+"&amp;AE221)</f>
        <v/>
      </c>
      <c r="DL221" s="30" t="str">
        <f>IF(AF221="","","|n"&amp;#REF!&amp;"+"&amp;AF221)</f>
        <v/>
      </c>
      <c r="DM221" s="30" t="str">
        <f>IF(AG221="","","|n"&amp;#REF!&amp;"+"&amp;AG221&amp;"%")</f>
        <v/>
      </c>
      <c r="DN221" s="30" t="str">
        <f>IF(AH221="","","|n"&amp;#REF!&amp;"+"&amp;AH221)</f>
        <v/>
      </c>
      <c r="DO221" s="30" t="str">
        <f>IF(AI221="","","|n"&amp;#REF!&amp;"+"&amp;AI221)</f>
        <v/>
      </c>
      <c r="DP221" s="30" t="str">
        <f>IF(AJ221="","","|n"&amp;#REF!&amp;"+"&amp;AJ221)</f>
        <v/>
      </c>
    </row>
    <row r="222" spans="92:175">
      <c r="CN222" s="7" t="str">
        <f t="shared" si="2085"/>
        <v>InitUnitState('',,,,,,,,,,)</v>
      </c>
      <c r="CO222" s="7" t="str">
        <f t="shared" si="2086"/>
        <v>InitUnitNormal('',,,,,,,,,,)</v>
      </c>
      <c r="CP222" s="7" t="str">
        <f t="shared" si="2087"/>
        <v>InitUnitMagic('',,,,,,,,,,)</v>
      </c>
      <c r="CQ222" s="7" t="str">
        <f t="shared" si="2088"/>
        <v>InitUnitAdd('',,,,,,,,,,)</v>
      </c>
      <c r="CR222" s="7" t="str">
        <f t="shared" si="2089"/>
        <v>InitEquipData('',,"",,,,,'','','','','','',"")</v>
      </c>
      <c r="CU222" s="29" t="str">
        <f t="shared" si="2161"/>
        <v>|n</v>
      </c>
      <c r="DB222" s="30" t="str">
        <f>IF(V222="","","|n"&amp;#REF!&amp;"+"&amp;V222)</f>
        <v/>
      </c>
      <c r="DC222" s="30" t="str">
        <f>IF(W222="","","|n"&amp;#REF!&amp;"+"&amp;W222)</f>
        <v/>
      </c>
      <c r="DD222" s="30" t="str">
        <f>IF(X222="","","|n"&amp;#REF!&amp;"+"&amp;X222)</f>
        <v/>
      </c>
      <c r="DE222" s="30" t="str">
        <f>IF(Y222="","","|n"&amp;#REF!&amp;"+"&amp;Y222)</f>
        <v/>
      </c>
      <c r="DF222" s="30" t="str">
        <f>IF(Z222="","","|n"&amp;#REF!&amp;"+"&amp;Z222)</f>
        <v/>
      </c>
      <c r="DG222" s="30" t="str">
        <f>IF(AA222="","","|n"&amp;#REF!&amp;"+"&amp;AA222)</f>
        <v/>
      </c>
      <c r="DH222" s="30" t="str">
        <f>IF(AB222="","","|n"&amp;#REF!&amp;"+"&amp;AB222)</f>
        <v/>
      </c>
      <c r="DI222" s="30" t="str">
        <f>IF(AC222="","","|n"&amp;#REF!&amp;"+"&amp;AC222&amp;"%")</f>
        <v/>
      </c>
      <c r="DJ222" s="30" t="str">
        <f>IF(AD222="","","|n"&amp;#REF!&amp;"+"&amp;AD222)</f>
        <v/>
      </c>
      <c r="DK222" s="30" t="str">
        <f>IF(AE222="","","|n"&amp;#REF!&amp;"+"&amp;AE222)</f>
        <v/>
      </c>
      <c r="DL222" s="30" t="str">
        <f>IF(AF222="","","|n"&amp;#REF!&amp;"+"&amp;AF222)</f>
        <v/>
      </c>
      <c r="DM222" s="30" t="str">
        <f>IF(AG222="","","|n"&amp;#REF!&amp;"+"&amp;AG222&amp;"%")</f>
        <v/>
      </c>
      <c r="DN222" s="30" t="str">
        <f>IF(AH222="","","|n"&amp;#REF!&amp;"+"&amp;AH222)</f>
        <v/>
      </c>
      <c r="DO222" s="30" t="str">
        <f>IF(AI222="","","|n"&amp;#REF!&amp;"+"&amp;AI222)</f>
        <v/>
      </c>
      <c r="DP222" s="30" t="str">
        <f>IF(AJ222="","","|n"&amp;#REF!&amp;"+"&amp;AJ222)</f>
        <v/>
      </c>
    </row>
    <row r="223" spans="92:175">
      <c r="CN223" s="7" t="str">
        <f t="shared" si="2085"/>
        <v>InitUnitState('',,,,,,,,,,)</v>
      </c>
      <c r="CO223" s="7" t="str">
        <f t="shared" si="2086"/>
        <v>InitUnitNormal('',,,,,,,,,,)</v>
      </c>
      <c r="CP223" s="7" t="str">
        <f t="shared" si="2087"/>
        <v>InitUnitMagic('',,,,,,,,,,)</v>
      </c>
      <c r="CQ223" s="7" t="str">
        <f t="shared" si="2088"/>
        <v>InitUnitAdd('',,,,,,,,,,)</v>
      </c>
      <c r="CR223" s="7" t="str">
        <f t="shared" si="2089"/>
        <v>InitEquipData('',,"",,,,,'','','','','','',"")</v>
      </c>
      <c r="CU223" s="29" t="str">
        <f t="shared" si="2161"/>
        <v>|n</v>
      </c>
      <c r="DB223" s="30" t="str">
        <f>IF(V223="","","|n"&amp;#REF!&amp;"+"&amp;V223)</f>
        <v/>
      </c>
      <c r="DC223" s="30" t="str">
        <f>IF(W223="","","|n"&amp;#REF!&amp;"+"&amp;W223)</f>
        <v/>
      </c>
      <c r="DD223" s="30" t="str">
        <f>IF(X223="","","|n"&amp;#REF!&amp;"+"&amp;X223)</f>
        <v/>
      </c>
      <c r="DE223" s="30" t="str">
        <f>IF(Y223="","","|n"&amp;#REF!&amp;"+"&amp;Y223)</f>
        <v/>
      </c>
      <c r="DF223" s="30" t="str">
        <f>IF(Z223="","","|n"&amp;#REF!&amp;"+"&amp;Z223)</f>
        <v/>
      </c>
      <c r="DG223" s="30" t="str">
        <f>IF(AA223="","","|n"&amp;#REF!&amp;"+"&amp;AA223)</f>
        <v/>
      </c>
      <c r="DH223" s="30" t="str">
        <f>IF(AB223="","","|n"&amp;#REF!&amp;"+"&amp;AB223)</f>
        <v/>
      </c>
      <c r="DI223" s="30" t="str">
        <f>IF(AC223="","","|n"&amp;#REF!&amp;"+"&amp;AC223&amp;"%")</f>
        <v/>
      </c>
      <c r="DJ223" s="30" t="str">
        <f>IF(AD223="","","|n"&amp;#REF!&amp;"+"&amp;AD223)</f>
        <v/>
      </c>
      <c r="DK223" s="30" t="str">
        <f>IF(AE223="","","|n"&amp;#REF!&amp;"+"&amp;AE223)</f>
        <v/>
      </c>
      <c r="DL223" s="30" t="str">
        <f>IF(AF223="","","|n"&amp;#REF!&amp;"+"&amp;AF223)</f>
        <v/>
      </c>
      <c r="DM223" s="30" t="str">
        <f>IF(AG223="","","|n"&amp;#REF!&amp;"+"&amp;AG223&amp;"%")</f>
        <v/>
      </c>
      <c r="DN223" s="30" t="str">
        <f>IF(AH223="","","|n"&amp;#REF!&amp;"+"&amp;AH223)</f>
        <v/>
      </c>
      <c r="DO223" s="30" t="str">
        <f>IF(AI223="","","|n"&amp;#REF!&amp;"+"&amp;AI223)</f>
        <v/>
      </c>
      <c r="DP223" s="30" t="str">
        <f>IF(AJ223="","","|n"&amp;#REF!&amp;"+"&amp;AJ223)</f>
        <v/>
      </c>
    </row>
    <row r="224" spans="92:175">
      <c r="CN224" s="7" t="str">
        <f t="shared" si="2085"/>
        <v>InitUnitState('',,,,,,,,,,)</v>
      </c>
      <c r="CO224" s="7" t="str">
        <f t="shared" si="2086"/>
        <v>InitUnitNormal('',,,,,,,,,,)</v>
      </c>
      <c r="CP224" s="7" t="str">
        <f t="shared" si="2087"/>
        <v>InitUnitMagic('',,,,,,,,,,)</v>
      </c>
      <c r="CQ224" s="7" t="str">
        <f t="shared" si="2088"/>
        <v>InitUnitAdd('',,,,,,,,,,)</v>
      </c>
      <c r="CR224" s="7" t="str">
        <f t="shared" si="2089"/>
        <v>InitEquipData('',,"",,,,,'','','','','','',"")</v>
      </c>
      <c r="CU224" s="29" t="str">
        <f t="shared" si="2161"/>
        <v>|n</v>
      </c>
      <c r="DB224" s="30" t="str">
        <f>IF(V224="","","|n"&amp;#REF!&amp;"+"&amp;V224)</f>
        <v/>
      </c>
      <c r="DC224" s="30" t="str">
        <f>IF(W224="","","|n"&amp;#REF!&amp;"+"&amp;W224)</f>
        <v/>
      </c>
      <c r="DD224" s="30" t="str">
        <f>IF(X224="","","|n"&amp;#REF!&amp;"+"&amp;X224)</f>
        <v/>
      </c>
      <c r="DE224" s="30" t="str">
        <f>IF(Y224="","","|n"&amp;#REF!&amp;"+"&amp;Y224)</f>
        <v/>
      </c>
      <c r="DF224" s="30" t="str">
        <f>IF(Z224="","","|n"&amp;#REF!&amp;"+"&amp;Z224)</f>
        <v/>
      </c>
      <c r="DG224" s="30" t="str">
        <f>IF(AA224="","","|n"&amp;#REF!&amp;"+"&amp;AA224)</f>
        <v/>
      </c>
      <c r="DH224" s="30" t="str">
        <f>IF(AB224="","","|n"&amp;#REF!&amp;"+"&amp;AB224)</f>
        <v/>
      </c>
      <c r="DI224" s="30" t="str">
        <f>IF(AC224="","","|n"&amp;#REF!&amp;"+"&amp;AC224&amp;"%")</f>
        <v/>
      </c>
      <c r="DJ224" s="30" t="str">
        <f>IF(AD224="","","|n"&amp;#REF!&amp;"+"&amp;AD224)</f>
        <v/>
      </c>
      <c r="DK224" s="30" t="str">
        <f>IF(AE224="","","|n"&amp;#REF!&amp;"+"&amp;AE224)</f>
        <v/>
      </c>
      <c r="DL224" s="30" t="str">
        <f>IF(AF224="","","|n"&amp;#REF!&amp;"+"&amp;AF224)</f>
        <v/>
      </c>
      <c r="DM224" s="30" t="str">
        <f>IF(AG224="","","|n"&amp;#REF!&amp;"+"&amp;AG224&amp;"%")</f>
        <v/>
      </c>
      <c r="DN224" s="30" t="str">
        <f>IF(AH224="","","|n"&amp;#REF!&amp;"+"&amp;AH224)</f>
        <v/>
      </c>
      <c r="DO224" s="30" t="str">
        <f>IF(AI224="","","|n"&amp;#REF!&amp;"+"&amp;AI224)</f>
        <v/>
      </c>
      <c r="DP224" s="30" t="str">
        <f>IF(AJ224="","","|n"&amp;#REF!&amp;"+"&amp;AJ224)</f>
        <v/>
      </c>
    </row>
    <row r="225" spans="92:120">
      <c r="CN225" s="7" t="str">
        <f t="shared" ref="CN225:CN244" si="2162">"InitUnitState('"&amp;B225&amp;"',"&amp;V225&amp;","&amp;W225&amp;","&amp;X225&amp;","&amp;Y225&amp;","&amp;Z225&amp;","&amp;AA225&amp;","&amp;AB225&amp;","&amp;AC225&amp;","&amp;AD225&amp;","&amp;AE225&amp;")"</f>
        <v>InitUnitState('',,,,,,,,,,)</v>
      </c>
      <c r="CO225" s="7" t="str">
        <f t="shared" ref="CO225:CO244" si="2163">"InitUnitNormal('"&amp;B225&amp;"',"&amp;AF225&amp;","&amp;AG225&amp;","&amp;AH225&amp;","&amp;AI225&amp;","&amp;AJ225&amp;","&amp;AK225&amp;","&amp;AL225&amp;","&amp;AM225&amp;","&amp;AN225&amp;","&amp;AO225&amp;")"</f>
        <v>InitUnitNormal('',,,,,,,,,,)</v>
      </c>
      <c r="CP225" s="7" t="str">
        <f t="shared" ref="CP225:CP244" si="2164">"InitUnitMagic('"&amp;B225&amp;"',"&amp;AP225&amp;","&amp;AQ225&amp;","&amp;AR225&amp;","&amp;AS225&amp;","&amp;AT225&amp;","&amp;AU225&amp;","&amp;AV225&amp;","&amp;AW225&amp;","&amp;BI225&amp;","&amp;BJ225&amp;")"</f>
        <v>InitUnitMagic('',,,,,,,,,,)</v>
      </c>
      <c r="CQ225" s="7" t="str">
        <f t="shared" ref="CQ225:CQ244" si="2165">"InitUnitAdd('"&amp;B225&amp;"',"&amp;BK225&amp;","&amp;BL225&amp;","&amp;BM225&amp;","&amp;BN225&amp;","&amp;BO225&amp;","&amp;BP225&amp;","&amp;BQ225&amp;","&amp;BR225&amp;","&amp;BS225&amp;","&amp;BT225&amp;")"</f>
        <v>InitUnitAdd('',,,,,,,,,,)</v>
      </c>
      <c r="CR225" s="7" t="str">
        <f t="shared" ref="CR225:CR244" si="2166"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InitEquipData('',,"",,,,,'','','','','','',"")</v>
      </c>
      <c r="CU225" s="29" t="str">
        <f t="shared" si="2161"/>
        <v>|n</v>
      </c>
      <c r="DB225" s="30" t="str">
        <f>IF(V225="","","|n"&amp;#REF!&amp;"+"&amp;V225)</f>
        <v/>
      </c>
      <c r="DC225" s="30" t="str">
        <f>IF(W225="","","|n"&amp;#REF!&amp;"+"&amp;W225)</f>
        <v/>
      </c>
      <c r="DD225" s="30" t="str">
        <f>IF(X225="","","|n"&amp;#REF!&amp;"+"&amp;X225)</f>
        <v/>
      </c>
      <c r="DE225" s="30" t="str">
        <f>IF(Y225="","","|n"&amp;#REF!&amp;"+"&amp;Y225)</f>
        <v/>
      </c>
      <c r="DF225" s="30" t="str">
        <f>IF(Z225="","","|n"&amp;#REF!&amp;"+"&amp;Z225)</f>
        <v/>
      </c>
      <c r="DG225" s="30" t="str">
        <f>IF(AA225="","","|n"&amp;#REF!&amp;"+"&amp;AA225)</f>
        <v/>
      </c>
      <c r="DH225" s="30" t="str">
        <f>IF(AB225="","","|n"&amp;#REF!&amp;"+"&amp;AB225)</f>
        <v/>
      </c>
      <c r="DI225" s="30" t="str">
        <f>IF(AC225="","","|n"&amp;#REF!&amp;"+"&amp;AC225&amp;"%")</f>
        <v/>
      </c>
      <c r="DJ225" s="30" t="str">
        <f>IF(AD225="","","|n"&amp;#REF!&amp;"+"&amp;AD225)</f>
        <v/>
      </c>
      <c r="DK225" s="30" t="str">
        <f>IF(AE225="","","|n"&amp;#REF!&amp;"+"&amp;AE225)</f>
        <v/>
      </c>
      <c r="DL225" s="30" t="str">
        <f>IF(AF225="","","|n"&amp;#REF!&amp;"+"&amp;AF225)</f>
        <v/>
      </c>
      <c r="DM225" s="30" t="str">
        <f>IF(AG225="","","|n"&amp;#REF!&amp;"+"&amp;AG225&amp;"%")</f>
        <v/>
      </c>
      <c r="DN225" s="30" t="str">
        <f>IF(AH225="","","|n"&amp;#REF!&amp;"+"&amp;AH225)</f>
        <v/>
      </c>
      <c r="DO225" s="30" t="str">
        <f>IF(AI225="","","|n"&amp;#REF!&amp;"+"&amp;AI225)</f>
        <v/>
      </c>
      <c r="DP225" s="30" t="str">
        <f>IF(AJ225="","","|n"&amp;#REF!&amp;"+"&amp;AJ225)</f>
        <v/>
      </c>
    </row>
    <row r="226" spans="92:120">
      <c r="CN226" s="7" t="str">
        <f t="shared" si="2162"/>
        <v>InitUnitState('',,,,,,,,,,)</v>
      </c>
      <c r="CO226" s="7" t="str">
        <f t="shared" si="2163"/>
        <v>InitUnitNormal('',,,,,,,,,,)</v>
      </c>
      <c r="CP226" s="7" t="str">
        <f t="shared" si="2164"/>
        <v>InitUnitMagic('',,,,,,,,,,)</v>
      </c>
      <c r="CQ226" s="7" t="str">
        <f t="shared" si="2165"/>
        <v>InitUnitAdd('',,,,,,,,,,)</v>
      </c>
      <c r="CR226" s="7" t="str">
        <f t="shared" si="2166"/>
        <v>InitEquipData('',,"",,,,,'','','','','','',"")</v>
      </c>
      <c r="CU226" s="29" t="str">
        <f t="shared" si="2161"/>
        <v>|n</v>
      </c>
      <c r="DB226" s="30" t="str">
        <f>IF(V226="","","|n"&amp;#REF!&amp;"+"&amp;V226)</f>
        <v/>
      </c>
      <c r="DC226" s="30" t="str">
        <f>IF(W226="","","|n"&amp;#REF!&amp;"+"&amp;W226)</f>
        <v/>
      </c>
      <c r="DD226" s="30" t="str">
        <f>IF(X226="","","|n"&amp;#REF!&amp;"+"&amp;X226)</f>
        <v/>
      </c>
      <c r="DE226" s="30" t="str">
        <f>IF(Y226="","","|n"&amp;#REF!&amp;"+"&amp;Y226)</f>
        <v/>
      </c>
      <c r="DF226" s="30" t="str">
        <f>IF(Z226="","","|n"&amp;#REF!&amp;"+"&amp;Z226)</f>
        <v/>
      </c>
      <c r="DG226" s="30" t="str">
        <f>IF(AA226="","","|n"&amp;#REF!&amp;"+"&amp;AA226)</f>
        <v/>
      </c>
      <c r="DH226" s="30" t="str">
        <f>IF(AB226="","","|n"&amp;#REF!&amp;"+"&amp;AB226)</f>
        <v/>
      </c>
      <c r="DI226" s="30" t="str">
        <f>IF(AC226="","","|n"&amp;#REF!&amp;"+"&amp;AC226&amp;"%")</f>
        <v/>
      </c>
      <c r="DJ226" s="30" t="str">
        <f>IF(AD226="","","|n"&amp;#REF!&amp;"+"&amp;AD226)</f>
        <v/>
      </c>
      <c r="DK226" s="30" t="str">
        <f>IF(AE226="","","|n"&amp;#REF!&amp;"+"&amp;AE226)</f>
        <v/>
      </c>
      <c r="DL226" s="30" t="str">
        <f>IF(AF226="","","|n"&amp;#REF!&amp;"+"&amp;AF226)</f>
        <v/>
      </c>
      <c r="DM226" s="30" t="str">
        <f>IF(AG226="","","|n"&amp;#REF!&amp;"+"&amp;AG226&amp;"%")</f>
        <v/>
      </c>
      <c r="DN226" s="30" t="str">
        <f>IF(AH226="","","|n"&amp;#REF!&amp;"+"&amp;AH226)</f>
        <v/>
      </c>
      <c r="DO226" s="30" t="str">
        <f>IF(AI226="","","|n"&amp;#REF!&amp;"+"&amp;AI226)</f>
        <v/>
      </c>
      <c r="DP226" s="30" t="str">
        <f>IF(AJ226="","","|n"&amp;#REF!&amp;"+"&amp;AJ226)</f>
        <v/>
      </c>
    </row>
    <row r="227" spans="92:120">
      <c r="CN227" s="7" t="str">
        <f t="shared" si="2162"/>
        <v>InitUnitState('',,,,,,,,,,)</v>
      </c>
      <c r="CO227" s="7" t="str">
        <f t="shared" si="2163"/>
        <v>InitUnitNormal('',,,,,,,,,,)</v>
      </c>
      <c r="CP227" s="7" t="str">
        <f t="shared" si="2164"/>
        <v>InitUnitMagic('',,,,,,,,,,)</v>
      </c>
      <c r="CQ227" s="7" t="str">
        <f t="shared" si="2165"/>
        <v>InitUnitAdd('',,,,,,,,,,)</v>
      </c>
      <c r="CR227" s="7" t="str">
        <f t="shared" si="2166"/>
        <v>InitEquipData('',,"",,,,,'','','','','','',"")</v>
      </c>
      <c r="CU227" s="29" t="str">
        <f t="shared" si="2161"/>
        <v>|n</v>
      </c>
      <c r="DB227" s="30" t="str">
        <f>IF(V227="","","|n"&amp;#REF!&amp;"+"&amp;V227)</f>
        <v/>
      </c>
      <c r="DC227" s="30" t="str">
        <f>IF(W227="","","|n"&amp;#REF!&amp;"+"&amp;W227)</f>
        <v/>
      </c>
      <c r="DD227" s="30" t="str">
        <f>IF(X227="","","|n"&amp;#REF!&amp;"+"&amp;X227)</f>
        <v/>
      </c>
      <c r="DE227" s="30" t="str">
        <f>IF(Y227="","","|n"&amp;#REF!&amp;"+"&amp;Y227)</f>
        <v/>
      </c>
      <c r="DF227" s="30" t="str">
        <f>IF(Z227="","","|n"&amp;#REF!&amp;"+"&amp;Z227)</f>
        <v/>
      </c>
      <c r="DG227" s="30" t="str">
        <f>IF(AA227="","","|n"&amp;#REF!&amp;"+"&amp;AA227)</f>
        <v/>
      </c>
      <c r="DH227" s="30" t="str">
        <f>IF(AB227="","","|n"&amp;#REF!&amp;"+"&amp;AB227)</f>
        <v/>
      </c>
      <c r="DI227" s="30" t="str">
        <f>IF(AC227="","","|n"&amp;#REF!&amp;"+"&amp;AC227&amp;"%")</f>
        <v/>
      </c>
      <c r="DJ227" s="30" t="str">
        <f>IF(AD227="","","|n"&amp;#REF!&amp;"+"&amp;AD227)</f>
        <v/>
      </c>
      <c r="DK227" s="30" t="str">
        <f>IF(AE227="","","|n"&amp;#REF!&amp;"+"&amp;AE227)</f>
        <v/>
      </c>
      <c r="DL227" s="30" t="str">
        <f>IF(AF227="","","|n"&amp;#REF!&amp;"+"&amp;AF227)</f>
        <v/>
      </c>
      <c r="DM227" s="30" t="str">
        <f>IF(AG227="","","|n"&amp;#REF!&amp;"+"&amp;AG227&amp;"%")</f>
        <v/>
      </c>
      <c r="DN227" s="30" t="str">
        <f>IF(AH227="","","|n"&amp;#REF!&amp;"+"&amp;AH227)</f>
        <v/>
      </c>
      <c r="DO227" s="30" t="str">
        <f>IF(AI227="","","|n"&amp;#REF!&amp;"+"&amp;AI227)</f>
        <v/>
      </c>
      <c r="DP227" s="30" t="str">
        <f>IF(AJ227="","","|n"&amp;#REF!&amp;"+"&amp;AJ227)</f>
        <v/>
      </c>
    </row>
    <row r="228" spans="92:120">
      <c r="CN228" s="7" t="str">
        <f t="shared" si="2162"/>
        <v>InitUnitState('',,,,,,,,,,)</v>
      </c>
      <c r="CO228" s="7" t="str">
        <f t="shared" si="2163"/>
        <v>InitUnitNormal('',,,,,,,,,,)</v>
      </c>
      <c r="CP228" s="7" t="str">
        <f t="shared" si="2164"/>
        <v>InitUnitMagic('',,,,,,,,,,)</v>
      </c>
      <c r="CQ228" s="7" t="str">
        <f t="shared" si="2165"/>
        <v>InitUnitAdd('',,,,,,,,,,)</v>
      </c>
      <c r="CR228" s="7" t="str">
        <f t="shared" si="2166"/>
        <v>InitEquipData('',,"",,,,,'','','','','','',"")</v>
      </c>
      <c r="CU228" s="29" t="str">
        <f t="shared" si="2161"/>
        <v>|n</v>
      </c>
      <c r="DB228" s="30" t="str">
        <f>IF(V228="","","|n"&amp;#REF!&amp;"+"&amp;V228)</f>
        <v/>
      </c>
      <c r="DC228" s="30" t="str">
        <f>IF(W228="","","|n"&amp;#REF!&amp;"+"&amp;W228)</f>
        <v/>
      </c>
      <c r="DD228" s="30" t="str">
        <f>IF(X228="","","|n"&amp;#REF!&amp;"+"&amp;X228)</f>
        <v/>
      </c>
      <c r="DE228" s="30" t="str">
        <f>IF(Y228="","","|n"&amp;#REF!&amp;"+"&amp;Y228)</f>
        <v/>
      </c>
      <c r="DF228" s="30" t="str">
        <f>IF(Z228="","","|n"&amp;#REF!&amp;"+"&amp;Z228)</f>
        <v/>
      </c>
      <c r="DG228" s="30" t="str">
        <f>IF(AA228="","","|n"&amp;#REF!&amp;"+"&amp;AA228)</f>
        <v/>
      </c>
      <c r="DH228" s="30" t="str">
        <f>IF(AB228="","","|n"&amp;#REF!&amp;"+"&amp;AB228)</f>
        <v/>
      </c>
      <c r="DI228" s="30" t="str">
        <f>IF(AC228="","","|n"&amp;#REF!&amp;"+"&amp;AC228&amp;"%")</f>
        <v/>
      </c>
      <c r="DJ228" s="30" t="str">
        <f>IF(AD228="","","|n"&amp;#REF!&amp;"+"&amp;AD228)</f>
        <v/>
      </c>
      <c r="DK228" s="30" t="str">
        <f>IF(AE228="","","|n"&amp;#REF!&amp;"+"&amp;AE228)</f>
        <v/>
      </c>
      <c r="DL228" s="30" t="str">
        <f>IF(AF228="","","|n"&amp;#REF!&amp;"+"&amp;AF228)</f>
        <v/>
      </c>
      <c r="DM228" s="30" t="str">
        <f>IF(AG228="","","|n"&amp;#REF!&amp;"+"&amp;AG228&amp;"%")</f>
        <v/>
      </c>
      <c r="DN228" s="30" t="str">
        <f>IF(AH228="","","|n"&amp;#REF!&amp;"+"&amp;AH228)</f>
        <v/>
      </c>
      <c r="DO228" s="30" t="str">
        <f>IF(AI228="","","|n"&amp;#REF!&amp;"+"&amp;AI228)</f>
        <v/>
      </c>
      <c r="DP228" s="30" t="str">
        <f>IF(AJ228="","","|n"&amp;#REF!&amp;"+"&amp;AJ228)</f>
        <v/>
      </c>
    </row>
    <row r="229" spans="92:120">
      <c r="CN229" s="7" t="str">
        <f t="shared" si="2162"/>
        <v>InitUnitState('',,,,,,,,,,)</v>
      </c>
      <c r="CO229" s="7" t="str">
        <f t="shared" si="2163"/>
        <v>InitUnitNormal('',,,,,,,,,,)</v>
      </c>
      <c r="CP229" s="7" t="str">
        <f t="shared" si="2164"/>
        <v>InitUnitMagic('',,,,,,,,,,)</v>
      </c>
      <c r="CQ229" s="7" t="str">
        <f t="shared" si="2165"/>
        <v>InitUnitAdd('',,,,,,,,,,)</v>
      </c>
      <c r="CR229" s="7" t="str">
        <f t="shared" si="2166"/>
        <v>InitEquipData('',,"",,,,,'','','','','','',"")</v>
      </c>
      <c r="CU229" s="29" t="str">
        <f t="shared" si="2161"/>
        <v>|n</v>
      </c>
      <c r="DB229" s="30" t="str">
        <f>IF(V229="","","|n"&amp;#REF!&amp;"+"&amp;V229)</f>
        <v/>
      </c>
      <c r="DC229" s="30" t="str">
        <f>IF(W229="","","|n"&amp;#REF!&amp;"+"&amp;W229)</f>
        <v/>
      </c>
      <c r="DD229" s="30" t="str">
        <f>IF(X229="","","|n"&amp;#REF!&amp;"+"&amp;X229)</f>
        <v/>
      </c>
      <c r="DE229" s="30" t="str">
        <f>IF(Y229="","","|n"&amp;#REF!&amp;"+"&amp;Y229)</f>
        <v/>
      </c>
      <c r="DF229" s="30" t="str">
        <f>IF(Z229="","","|n"&amp;#REF!&amp;"+"&amp;Z229)</f>
        <v/>
      </c>
      <c r="DG229" s="30" t="str">
        <f>IF(AA229="","","|n"&amp;#REF!&amp;"+"&amp;AA229)</f>
        <v/>
      </c>
      <c r="DH229" s="30" t="str">
        <f>IF(AB229="","","|n"&amp;#REF!&amp;"+"&amp;AB229)</f>
        <v/>
      </c>
      <c r="DI229" s="30" t="str">
        <f>IF(AC229="","","|n"&amp;#REF!&amp;"+"&amp;AC229&amp;"%")</f>
        <v/>
      </c>
      <c r="DJ229" s="30" t="str">
        <f>IF(AD229="","","|n"&amp;#REF!&amp;"+"&amp;AD229)</f>
        <v/>
      </c>
      <c r="DK229" s="30" t="str">
        <f>IF(AE229="","","|n"&amp;#REF!&amp;"+"&amp;AE229)</f>
        <v/>
      </c>
      <c r="DL229" s="30" t="str">
        <f>IF(AF229="","","|n"&amp;#REF!&amp;"+"&amp;AF229)</f>
        <v/>
      </c>
      <c r="DM229" s="30" t="str">
        <f>IF(AG229="","","|n"&amp;#REF!&amp;"+"&amp;AG229&amp;"%")</f>
        <v/>
      </c>
      <c r="DN229" s="30" t="str">
        <f>IF(AH229="","","|n"&amp;#REF!&amp;"+"&amp;AH229)</f>
        <v/>
      </c>
      <c r="DO229" s="30" t="str">
        <f>IF(AI229="","","|n"&amp;#REF!&amp;"+"&amp;AI229)</f>
        <v/>
      </c>
      <c r="DP229" s="30" t="str">
        <f>IF(AJ229="","","|n"&amp;#REF!&amp;"+"&amp;AJ229)</f>
        <v/>
      </c>
    </row>
    <row r="230" spans="92:120">
      <c r="CN230" s="7" t="str">
        <f t="shared" si="2162"/>
        <v>InitUnitState('',,,,,,,,,,)</v>
      </c>
      <c r="CO230" s="7" t="str">
        <f t="shared" si="2163"/>
        <v>InitUnitNormal('',,,,,,,,,,)</v>
      </c>
      <c r="CP230" s="7" t="str">
        <f t="shared" si="2164"/>
        <v>InitUnitMagic('',,,,,,,,,,)</v>
      </c>
      <c r="CQ230" s="7" t="str">
        <f t="shared" si="2165"/>
        <v>InitUnitAdd('',,,,,,,,,,)</v>
      </c>
      <c r="CR230" s="7" t="str">
        <f t="shared" si="2166"/>
        <v>InitEquipData('',,"",,,,,'','','','','','',"")</v>
      </c>
      <c r="CU230" s="29" t="str">
        <f t="shared" si="2161"/>
        <v>|n</v>
      </c>
      <c r="DB230" s="30" t="str">
        <f>IF(V230="","","|n"&amp;#REF!&amp;"+"&amp;V230)</f>
        <v/>
      </c>
      <c r="DC230" s="30" t="str">
        <f>IF(W230="","","|n"&amp;#REF!&amp;"+"&amp;W230)</f>
        <v/>
      </c>
      <c r="DD230" s="30" t="str">
        <f>IF(X230="","","|n"&amp;#REF!&amp;"+"&amp;X230)</f>
        <v/>
      </c>
      <c r="DE230" s="30" t="str">
        <f>IF(Y230="","","|n"&amp;#REF!&amp;"+"&amp;Y230)</f>
        <v/>
      </c>
      <c r="DF230" s="30" t="str">
        <f>IF(Z230="","","|n"&amp;#REF!&amp;"+"&amp;Z230)</f>
        <v/>
      </c>
      <c r="DG230" s="30" t="str">
        <f>IF(AA230="","","|n"&amp;#REF!&amp;"+"&amp;AA230)</f>
        <v/>
      </c>
      <c r="DH230" s="30" t="str">
        <f>IF(AB230="","","|n"&amp;#REF!&amp;"+"&amp;AB230)</f>
        <v/>
      </c>
      <c r="DI230" s="30" t="str">
        <f>IF(AC230="","","|n"&amp;#REF!&amp;"+"&amp;AC230&amp;"%")</f>
        <v/>
      </c>
      <c r="DJ230" s="30" t="str">
        <f>IF(AD230="","","|n"&amp;#REF!&amp;"+"&amp;AD230)</f>
        <v/>
      </c>
      <c r="DK230" s="30" t="str">
        <f>IF(AE230="","","|n"&amp;#REF!&amp;"+"&amp;AE230)</f>
        <v/>
      </c>
      <c r="DL230" s="30" t="str">
        <f>IF(AF230="","","|n"&amp;#REF!&amp;"+"&amp;AF230)</f>
        <v/>
      </c>
      <c r="DM230" s="30" t="str">
        <f>IF(AG230="","","|n"&amp;#REF!&amp;"+"&amp;AG230&amp;"%")</f>
        <v/>
      </c>
      <c r="DN230" s="30" t="str">
        <f>IF(AH230="","","|n"&amp;#REF!&amp;"+"&amp;AH230)</f>
        <v/>
      </c>
      <c r="DO230" s="30" t="str">
        <f>IF(AI230="","","|n"&amp;#REF!&amp;"+"&amp;AI230)</f>
        <v/>
      </c>
      <c r="DP230" s="30" t="str">
        <f>IF(AJ230="","","|n"&amp;#REF!&amp;"+"&amp;AJ230)</f>
        <v/>
      </c>
    </row>
    <row r="231" spans="92:120">
      <c r="CN231" s="7" t="str">
        <f t="shared" si="2162"/>
        <v>InitUnitState('',,,,,,,,,,)</v>
      </c>
      <c r="CO231" s="7" t="str">
        <f t="shared" si="2163"/>
        <v>InitUnitNormal('',,,,,,,,,,)</v>
      </c>
      <c r="CP231" s="7" t="str">
        <f t="shared" si="2164"/>
        <v>InitUnitMagic('',,,,,,,,,,)</v>
      </c>
      <c r="CQ231" s="7" t="str">
        <f t="shared" si="2165"/>
        <v>InitUnitAdd('',,,,,,,,,,)</v>
      </c>
      <c r="CR231" s="7" t="str">
        <f t="shared" si="2166"/>
        <v>InitEquipData('',,"",,,,,'','','','','','',"")</v>
      </c>
      <c r="CU231" s="29" t="str">
        <f t="shared" si="2161"/>
        <v>|n</v>
      </c>
      <c r="DB231" s="30" t="str">
        <f>IF(V231="","","|n"&amp;#REF!&amp;"+"&amp;V231)</f>
        <v/>
      </c>
      <c r="DC231" s="30" t="str">
        <f>IF(W231="","","|n"&amp;#REF!&amp;"+"&amp;W231)</f>
        <v/>
      </c>
      <c r="DD231" s="30" t="str">
        <f>IF(X231="","","|n"&amp;#REF!&amp;"+"&amp;X231)</f>
        <v/>
      </c>
      <c r="DE231" s="30" t="str">
        <f>IF(Y231="","","|n"&amp;#REF!&amp;"+"&amp;Y231)</f>
        <v/>
      </c>
      <c r="DF231" s="30" t="str">
        <f>IF(Z231="","","|n"&amp;#REF!&amp;"+"&amp;Z231)</f>
        <v/>
      </c>
      <c r="DG231" s="30" t="str">
        <f>IF(AA231="","","|n"&amp;#REF!&amp;"+"&amp;AA231)</f>
        <v/>
      </c>
      <c r="DH231" s="30" t="str">
        <f>IF(AB231="","","|n"&amp;#REF!&amp;"+"&amp;AB231)</f>
        <v/>
      </c>
      <c r="DI231" s="30" t="str">
        <f>IF(AC231="","","|n"&amp;#REF!&amp;"+"&amp;AC231&amp;"%")</f>
        <v/>
      </c>
      <c r="DJ231" s="30" t="str">
        <f>IF(AD231="","","|n"&amp;#REF!&amp;"+"&amp;AD231)</f>
        <v/>
      </c>
      <c r="DK231" s="30" t="str">
        <f>IF(AE231="","","|n"&amp;#REF!&amp;"+"&amp;AE231)</f>
        <v/>
      </c>
      <c r="DL231" s="30" t="str">
        <f>IF(AF231="","","|n"&amp;#REF!&amp;"+"&amp;AF231)</f>
        <v/>
      </c>
      <c r="DM231" s="30" t="str">
        <f>IF(AG231="","","|n"&amp;#REF!&amp;"+"&amp;AG231&amp;"%")</f>
        <v/>
      </c>
      <c r="DN231" s="30" t="str">
        <f>IF(AH231="","","|n"&amp;#REF!&amp;"+"&amp;AH231)</f>
        <v/>
      </c>
      <c r="DO231" s="30" t="str">
        <f>IF(AI231="","","|n"&amp;#REF!&amp;"+"&amp;AI231)</f>
        <v/>
      </c>
      <c r="DP231" s="30" t="str">
        <f>IF(AJ231="","","|n"&amp;#REF!&amp;"+"&amp;AJ231)</f>
        <v/>
      </c>
    </row>
    <row r="232" spans="92:120">
      <c r="CN232" s="7" t="str">
        <f t="shared" si="2162"/>
        <v>InitUnitState('',,,,,,,,,,)</v>
      </c>
      <c r="CO232" s="7" t="str">
        <f t="shared" si="2163"/>
        <v>InitUnitNormal('',,,,,,,,,,)</v>
      </c>
      <c r="CP232" s="7" t="str">
        <f t="shared" si="2164"/>
        <v>InitUnitMagic('',,,,,,,,,,)</v>
      </c>
      <c r="CQ232" s="7" t="str">
        <f t="shared" si="2165"/>
        <v>InitUnitAdd('',,,,,,,,,,)</v>
      </c>
      <c r="CR232" s="7" t="str">
        <f t="shared" si="2166"/>
        <v>InitEquipData('',,"",,,,,'','','','','','',"")</v>
      </c>
      <c r="CU232" s="29" t="str">
        <f t="shared" si="2161"/>
        <v>|n</v>
      </c>
      <c r="DB232" s="30" t="str">
        <f>IF(V232="","","|n"&amp;#REF!&amp;"+"&amp;V232)</f>
        <v/>
      </c>
      <c r="DC232" s="30" t="str">
        <f>IF(W232="","","|n"&amp;#REF!&amp;"+"&amp;W232)</f>
        <v/>
      </c>
      <c r="DD232" s="30" t="str">
        <f>IF(X232="","","|n"&amp;#REF!&amp;"+"&amp;X232)</f>
        <v/>
      </c>
      <c r="DE232" s="30" t="str">
        <f>IF(Y232="","","|n"&amp;#REF!&amp;"+"&amp;Y232)</f>
        <v/>
      </c>
      <c r="DF232" s="30" t="str">
        <f>IF(Z232="","","|n"&amp;#REF!&amp;"+"&amp;Z232)</f>
        <v/>
      </c>
      <c r="DG232" s="30" t="str">
        <f>IF(AA232="","","|n"&amp;#REF!&amp;"+"&amp;AA232)</f>
        <v/>
      </c>
      <c r="DH232" s="30" t="str">
        <f>IF(AB232="","","|n"&amp;#REF!&amp;"+"&amp;AB232)</f>
        <v/>
      </c>
      <c r="DI232" s="30" t="str">
        <f>IF(AC232="","","|n"&amp;#REF!&amp;"+"&amp;AC232&amp;"%")</f>
        <v/>
      </c>
      <c r="DJ232" s="30" t="str">
        <f>IF(AD232="","","|n"&amp;#REF!&amp;"+"&amp;AD232)</f>
        <v/>
      </c>
      <c r="DK232" s="30" t="str">
        <f>IF(AE232="","","|n"&amp;#REF!&amp;"+"&amp;AE232)</f>
        <v/>
      </c>
      <c r="DL232" s="30" t="str">
        <f>IF(AF232="","","|n"&amp;#REF!&amp;"+"&amp;AF232)</f>
        <v/>
      </c>
      <c r="DM232" s="30" t="str">
        <f>IF(AG232="","","|n"&amp;#REF!&amp;"+"&amp;AG232&amp;"%")</f>
        <v/>
      </c>
      <c r="DN232" s="30" t="str">
        <f>IF(AH232="","","|n"&amp;#REF!&amp;"+"&amp;AH232)</f>
        <v/>
      </c>
      <c r="DO232" s="30" t="str">
        <f>IF(AI232="","","|n"&amp;#REF!&amp;"+"&amp;AI232)</f>
        <v/>
      </c>
      <c r="DP232" s="30" t="str">
        <f>IF(AJ232="","","|n"&amp;#REF!&amp;"+"&amp;AJ232)</f>
        <v/>
      </c>
    </row>
    <row r="233" spans="92:120">
      <c r="CN233" s="7" t="str">
        <f t="shared" si="2162"/>
        <v>InitUnitState('',,,,,,,,,,)</v>
      </c>
      <c r="CO233" s="7" t="str">
        <f t="shared" si="2163"/>
        <v>InitUnitNormal('',,,,,,,,,,)</v>
      </c>
      <c r="CP233" s="7" t="str">
        <f t="shared" si="2164"/>
        <v>InitUnitMagic('',,,,,,,,,,)</v>
      </c>
      <c r="CQ233" s="7" t="str">
        <f t="shared" si="2165"/>
        <v>InitUnitAdd('',,,,,,,,,,)</v>
      </c>
      <c r="CR233" s="7" t="str">
        <f t="shared" si="2166"/>
        <v>InitEquipData('',,"",,,,,'','','','','','',"")</v>
      </c>
      <c r="CU233" s="29" t="str">
        <f t="shared" si="2161"/>
        <v>|n</v>
      </c>
      <c r="DB233" s="30" t="str">
        <f>IF(V233="","","|n"&amp;#REF!&amp;"+"&amp;V233)</f>
        <v/>
      </c>
      <c r="DC233" s="30" t="str">
        <f>IF(W233="","","|n"&amp;#REF!&amp;"+"&amp;W233)</f>
        <v/>
      </c>
      <c r="DD233" s="30" t="str">
        <f>IF(X233="","","|n"&amp;#REF!&amp;"+"&amp;X233)</f>
        <v/>
      </c>
      <c r="DE233" s="30" t="str">
        <f>IF(Y233="","","|n"&amp;#REF!&amp;"+"&amp;Y233)</f>
        <v/>
      </c>
      <c r="DF233" s="30" t="str">
        <f>IF(Z233="","","|n"&amp;#REF!&amp;"+"&amp;Z233)</f>
        <v/>
      </c>
      <c r="DG233" s="30" t="str">
        <f>IF(AA233="","","|n"&amp;#REF!&amp;"+"&amp;AA233)</f>
        <v/>
      </c>
      <c r="DH233" s="30" t="str">
        <f>IF(AB233="","","|n"&amp;#REF!&amp;"+"&amp;AB233)</f>
        <v/>
      </c>
      <c r="DI233" s="30" t="str">
        <f>IF(AC233="","","|n"&amp;#REF!&amp;"+"&amp;AC233&amp;"%")</f>
        <v/>
      </c>
      <c r="DJ233" s="30" t="str">
        <f>IF(AD233="","","|n"&amp;#REF!&amp;"+"&amp;AD233)</f>
        <v/>
      </c>
      <c r="DK233" s="30" t="str">
        <f>IF(AE233="","","|n"&amp;#REF!&amp;"+"&amp;AE233)</f>
        <v/>
      </c>
      <c r="DL233" s="30" t="str">
        <f>IF(AF233="","","|n"&amp;#REF!&amp;"+"&amp;AF233)</f>
        <v/>
      </c>
      <c r="DM233" s="30" t="str">
        <f>IF(AG233="","","|n"&amp;#REF!&amp;"+"&amp;AG233&amp;"%")</f>
        <v/>
      </c>
      <c r="DN233" s="30" t="str">
        <f>IF(AH233="","","|n"&amp;#REF!&amp;"+"&amp;AH233)</f>
        <v/>
      </c>
      <c r="DO233" s="30" t="str">
        <f>IF(AI233="","","|n"&amp;#REF!&amp;"+"&amp;AI233)</f>
        <v/>
      </c>
      <c r="DP233" s="30" t="str">
        <f>IF(AJ233="","","|n"&amp;#REF!&amp;"+"&amp;AJ233)</f>
        <v/>
      </c>
    </row>
    <row r="234" spans="92:120">
      <c r="CN234" s="7" t="str">
        <f t="shared" si="2162"/>
        <v>InitUnitState('',,,,,,,,,,)</v>
      </c>
      <c r="CO234" s="7" t="str">
        <f t="shared" si="2163"/>
        <v>InitUnitNormal('',,,,,,,,,,)</v>
      </c>
      <c r="CP234" s="7" t="str">
        <f t="shared" si="2164"/>
        <v>InitUnitMagic('',,,,,,,,,,)</v>
      </c>
      <c r="CQ234" s="7" t="str">
        <f t="shared" si="2165"/>
        <v>InitUnitAdd('',,,,,,,,,,)</v>
      </c>
      <c r="CR234" s="7" t="str">
        <f t="shared" si="2166"/>
        <v>InitEquipData('',,"",,,,,'','','','','','',"")</v>
      </c>
      <c r="CU234" s="29" t="str">
        <f t="shared" si="2161"/>
        <v>|n</v>
      </c>
      <c r="DB234" s="30" t="str">
        <f>IF(V234="","","|n"&amp;#REF!&amp;"+"&amp;V234)</f>
        <v/>
      </c>
      <c r="DC234" s="30" t="str">
        <f>IF(W234="","","|n"&amp;#REF!&amp;"+"&amp;W234)</f>
        <v/>
      </c>
      <c r="DD234" s="30" t="str">
        <f>IF(X234="","","|n"&amp;#REF!&amp;"+"&amp;X234)</f>
        <v/>
      </c>
      <c r="DE234" s="30" t="str">
        <f>IF(Y234="","","|n"&amp;#REF!&amp;"+"&amp;Y234)</f>
        <v/>
      </c>
      <c r="DF234" s="30" t="str">
        <f>IF(Z234="","","|n"&amp;#REF!&amp;"+"&amp;Z234)</f>
        <v/>
      </c>
      <c r="DG234" s="30" t="str">
        <f>IF(AA234="","","|n"&amp;#REF!&amp;"+"&amp;AA234)</f>
        <v/>
      </c>
      <c r="DH234" s="30" t="str">
        <f>IF(AB234="","","|n"&amp;#REF!&amp;"+"&amp;AB234)</f>
        <v/>
      </c>
      <c r="DI234" s="30" t="str">
        <f>IF(AC234="","","|n"&amp;#REF!&amp;"+"&amp;AC234&amp;"%")</f>
        <v/>
      </c>
      <c r="DJ234" s="30" t="str">
        <f>IF(AD234="","","|n"&amp;#REF!&amp;"+"&amp;AD234)</f>
        <v/>
      </c>
      <c r="DK234" s="30" t="str">
        <f>IF(AE234="","","|n"&amp;#REF!&amp;"+"&amp;AE234)</f>
        <v/>
      </c>
      <c r="DL234" s="30" t="str">
        <f>IF(AF234="","","|n"&amp;#REF!&amp;"+"&amp;AF234)</f>
        <v/>
      </c>
      <c r="DM234" s="30" t="str">
        <f>IF(AG234="","","|n"&amp;#REF!&amp;"+"&amp;AG234&amp;"%")</f>
        <v/>
      </c>
      <c r="DN234" s="30" t="str">
        <f>IF(AH234="","","|n"&amp;#REF!&amp;"+"&amp;AH234)</f>
        <v/>
      </c>
      <c r="DO234" s="30" t="str">
        <f>IF(AI234="","","|n"&amp;#REF!&amp;"+"&amp;AI234)</f>
        <v/>
      </c>
      <c r="DP234" s="30" t="str">
        <f>IF(AJ234="","","|n"&amp;#REF!&amp;"+"&amp;AJ234)</f>
        <v/>
      </c>
    </row>
    <row r="235" spans="92:120">
      <c r="CN235" s="7" t="str">
        <f t="shared" si="2162"/>
        <v>InitUnitState('',,,,,,,,,,)</v>
      </c>
      <c r="CO235" s="7" t="str">
        <f t="shared" si="2163"/>
        <v>InitUnitNormal('',,,,,,,,,,)</v>
      </c>
      <c r="CP235" s="7" t="str">
        <f t="shared" si="2164"/>
        <v>InitUnitMagic('',,,,,,,,,,)</v>
      </c>
      <c r="CQ235" s="7" t="str">
        <f t="shared" si="2165"/>
        <v>InitUnitAdd('',,,,,,,,,,)</v>
      </c>
      <c r="CR235" s="7" t="str">
        <f t="shared" si="2166"/>
        <v>InitEquipData('',,"",,,,,'','','','','','',"")</v>
      </c>
      <c r="CU235" s="29" t="str">
        <f t="shared" si="2161"/>
        <v>|n</v>
      </c>
      <c r="DB235" s="30" t="str">
        <f>IF(V235="","","|n"&amp;#REF!&amp;"+"&amp;V235)</f>
        <v/>
      </c>
      <c r="DC235" s="30" t="str">
        <f>IF(W235="","","|n"&amp;#REF!&amp;"+"&amp;W235)</f>
        <v/>
      </c>
      <c r="DD235" s="30" t="str">
        <f>IF(X235="","","|n"&amp;#REF!&amp;"+"&amp;X235)</f>
        <v/>
      </c>
      <c r="DE235" s="30" t="str">
        <f>IF(Y235="","","|n"&amp;#REF!&amp;"+"&amp;Y235)</f>
        <v/>
      </c>
      <c r="DF235" s="30" t="str">
        <f>IF(Z235="","","|n"&amp;#REF!&amp;"+"&amp;Z235)</f>
        <v/>
      </c>
      <c r="DG235" s="30" t="str">
        <f>IF(AA235="","","|n"&amp;#REF!&amp;"+"&amp;AA235)</f>
        <v/>
      </c>
      <c r="DH235" s="30" t="str">
        <f>IF(AB235="","","|n"&amp;#REF!&amp;"+"&amp;AB235)</f>
        <v/>
      </c>
      <c r="DI235" s="30" t="str">
        <f>IF(AC235="","","|n"&amp;#REF!&amp;"+"&amp;AC235&amp;"%")</f>
        <v/>
      </c>
      <c r="DJ235" s="30" t="str">
        <f>IF(AD235="","","|n"&amp;#REF!&amp;"+"&amp;AD235)</f>
        <v/>
      </c>
      <c r="DK235" s="30" t="str">
        <f>IF(AE235="","","|n"&amp;#REF!&amp;"+"&amp;AE235)</f>
        <v/>
      </c>
      <c r="DL235" s="30" t="str">
        <f>IF(AF235="","","|n"&amp;#REF!&amp;"+"&amp;AF235)</f>
        <v/>
      </c>
      <c r="DM235" s="30" t="str">
        <f>IF(AG235="","","|n"&amp;#REF!&amp;"+"&amp;AG235&amp;"%")</f>
        <v/>
      </c>
      <c r="DN235" s="30" t="str">
        <f>IF(AH235="","","|n"&amp;#REF!&amp;"+"&amp;AH235)</f>
        <v/>
      </c>
      <c r="DO235" s="30" t="str">
        <f>IF(AI235="","","|n"&amp;#REF!&amp;"+"&amp;AI235)</f>
        <v/>
      </c>
      <c r="DP235" s="30" t="str">
        <f>IF(AJ235="","","|n"&amp;#REF!&amp;"+"&amp;AJ235)</f>
        <v/>
      </c>
    </row>
    <row r="236" spans="92:120">
      <c r="CN236" s="7" t="str">
        <f t="shared" si="2162"/>
        <v>InitUnitState('',,,,,,,,,,)</v>
      </c>
      <c r="CO236" s="7" t="str">
        <f t="shared" si="2163"/>
        <v>InitUnitNormal('',,,,,,,,,,)</v>
      </c>
      <c r="CP236" s="7" t="str">
        <f t="shared" si="2164"/>
        <v>InitUnitMagic('',,,,,,,,,,)</v>
      </c>
      <c r="CQ236" s="7" t="str">
        <f t="shared" si="2165"/>
        <v>InitUnitAdd('',,,,,,,,,,)</v>
      </c>
      <c r="CR236" s="7" t="str">
        <f t="shared" si="2166"/>
        <v>InitEquipData('',,"",,,,,'','','','','','',"")</v>
      </c>
      <c r="CU236" s="29" t="str">
        <f t="shared" si="2161"/>
        <v>|n</v>
      </c>
      <c r="DB236" s="30" t="str">
        <f>IF(V236="","","|n"&amp;#REF!&amp;"+"&amp;V236)</f>
        <v/>
      </c>
      <c r="DC236" s="30" t="str">
        <f>IF(W236="","","|n"&amp;#REF!&amp;"+"&amp;W236)</f>
        <v/>
      </c>
      <c r="DD236" s="30" t="str">
        <f>IF(X236="","","|n"&amp;#REF!&amp;"+"&amp;X236)</f>
        <v/>
      </c>
      <c r="DE236" s="30" t="str">
        <f>IF(Y236="","","|n"&amp;#REF!&amp;"+"&amp;Y236)</f>
        <v/>
      </c>
      <c r="DF236" s="30" t="str">
        <f>IF(Z236="","","|n"&amp;#REF!&amp;"+"&amp;Z236)</f>
        <v/>
      </c>
      <c r="DG236" s="30" t="str">
        <f>IF(AA236="","","|n"&amp;#REF!&amp;"+"&amp;AA236)</f>
        <v/>
      </c>
      <c r="DH236" s="30" t="str">
        <f>IF(AB236="","","|n"&amp;#REF!&amp;"+"&amp;AB236)</f>
        <v/>
      </c>
      <c r="DI236" s="30" t="str">
        <f>IF(AC236="","","|n"&amp;#REF!&amp;"+"&amp;AC236&amp;"%")</f>
        <v/>
      </c>
      <c r="DJ236" s="30" t="str">
        <f>IF(AD236="","","|n"&amp;#REF!&amp;"+"&amp;AD236)</f>
        <v/>
      </c>
      <c r="DK236" s="30" t="str">
        <f>IF(AE236="","","|n"&amp;#REF!&amp;"+"&amp;AE236)</f>
        <v/>
      </c>
      <c r="DL236" s="30" t="str">
        <f>IF(AF236="","","|n"&amp;#REF!&amp;"+"&amp;AF236)</f>
        <v/>
      </c>
      <c r="DM236" s="30" t="str">
        <f>IF(AG236="","","|n"&amp;#REF!&amp;"+"&amp;AG236&amp;"%")</f>
        <v/>
      </c>
      <c r="DN236" s="30" t="str">
        <f>IF(AH236="","","|n"&amp;#REF!&amp;"+"&amp;AH236)</f>
        <v/>
      </c>
      <c r="DO236" s="30" t="str">
        <f>IF(AI236="","","|n"&amp;#REF!&amp;"+"&amp;AI236)</f>
        <v/>
      </c>
      <c r="DP236" s="30" t="str">
        <f>IF(AJ236="","","|n"&amp;#REF!&amp;"+"&amp;AJ236)</f>
        <v/>
      </c>
    </row>
    <row r="237" spans="92:120">
      <c r="CN237" s="7" t="str">
        <f t="shared" si="2162"/>
        <v>InitUnitState('',,,,,,,,,,)</v>
      </c>
      <c r="CO237" s="7" t="str">
        <f t="shared" si="2163"/>
        <v>InitUnitNormal('',,,,,,,,,,)</v>
      </c>
      <c r="CP237" s="7" t="str">
        <f t="shared" si="2164"/>
        <v>InitUnitMagic('',,,,,,,,,,)</v>
      </c>
      <c r="CQ237" s="7" t="str">
        <f t="shared" si="2165"/>
        <v>InitUnitAdd('',,,,,,,,,,)</v>
      </c>
      <c r="CR237" s="7" t="str">
        <f t="shared" si="2166"/>
        <v>InitEquipData('',,"",,,,,'','','','','','',"")</v>
      </c>
      <c r="CU237" s="29" t="str">
        <f t="shared" si="2161"/>
        <v>|n</v>
      </c>
      <c r="DB237" s="30" t="str">
        <f>IF(V237="","","|n"&amp;#REF!&amp;"+"&amp;V237)</f>
        <v/>
      </c>
      <c r="DC237" s="30" t="str">
        <f>IF(W237="","","|n"&amp;#REF!&amp;"+"&amp;W237)</f>
        <v/>
      </c>
      <c r="DD237" s="30" t="str">
        <f>IF(X237="","","|n"&amp;#REF!&amp;"+"&amp;X237)</f>
        <v/>
      </c>
      <c r="DE237" s="30" t="str">
        <f>IF(Y237="","","|n"&amp;#REF!&amp;"+"&amp;Y237)</f>
        <v/>
      </c>
      <c r="DF237" s="30" t="str">
        <f>IF(Z237="","","|n"&amp;#REF!&amp;"+"&amp;Z237)</f>
        <v/>
      </c>
      <c r="DG237" s="30" t="str">
        <f>IF(AA237="","","|n"&amp;#REF!&amp;"+"&amp;AA237)</f>
        <v/>
      </c>
      <c r="DH237" s="30" t="str">
        <f>IF(AB237="","","|n"&amp;#REF!&amp;"+"&amp;AB237)</f>
        <v/>
      </c>
      <c r="DI237" s="30" t="str">
        <f>IF(AC237="","","|n"&amp;#REF!&amp;"+"&amp;AC237&amp;"%")</f>
        <v/>
      </c>
      <c r="DJ237" s="30" t="str">
        <f>IF(AD237="","","|n"&amp;#REF!&amp;"+"&amp;AD237)</f>
        <v/>
      </c>
      <c r="DK237" s="30" t="str">
        <f>IF(AE237="","","|n"&amp;#REF!&amp;"+"&amp;AE237)</f>
        <v/>
      </c>
      <c r="DL237" s="30" t="str">
        <f>IF(AF237="","","|n"&amp;#REF!&amp;"+"&amp;AF237)</f>
        <v/>
      </c>
      <c r="DM237" s="30" t="str">
        <f>IF(AG237="","","|n"&amp;#REF!&amp;"+"&amp;AG237&amp;"%")</f>
        <v/>
      </c>
      <c r="DN237" s="30" t="str">
        <f>IF(AH237="","","|n"&amp;#REF!&amp;"+"&amp;AH237)</f>
        <v/>
      </c>
      <c r="DO237" s="30" t="str">
        <f>IF(AI237="","","|n"&amp;#REF!&amp;"+"&amp;AI237)</f>
        <v/>
      </c>
      <c r="DP237" s="30" t="str">
        <f>IF(AJ237="","","|n"&amp;#REF!&amp;"+"&amp;AJ237)</f>
        <v/>
      </c>
    </row>
    <row r="238" spans="92:120">
      <c r="CN238" s="7" t="str">
        <f t="shared" si="2162"/>
        <v>InitUnitState('',,,,,,,,,,)</v>
      </c>
      <c r="CO238" s="7" t="str">
        <f t="shared" si="2163"/>
        <v>InitUnitNormal('',,,,,,,,,,)</v>
      </c>
      <c r="CP238" s="7" t="str">
        <f t="shared" si="2164"/>
        <v>InitUnitMagic('',,,,,,,,,,)</v>
      </c>
      <c r="CQ238" s="7" t="str">
        <f t="shared" si="2165"/>
        <v>InitUnitAdd('',,,,,,,,,,)</v>
      </c>
      <c r="CR238" s="7" t="str">
        <f t="shared" si="2166"/>
        <v>InitEquipData('',,"",,,,,'','','','','','',"")</v>
      </c>
      <c r="CU238" s="29" t="str">
        <f t="shared" si="2161"/>
        <v>|n</v>
      </c>
      <c r="DB238" s="30" t="str">
        <f>IF(V238="","","|n"&amp;#REF!&amp;"+"&amp;V238)</f>
        <v/>
      </c>
      <c r="DC238" s="30" t="str">
        <f>IF(W238="","","|n"&amp;#REF!&amp;"+"&amp;W238)</f>
        <v/>
      </c>
      <c r="DD238" s="30" t="str">
        <f>IF(X238="","","|n"&amp;#REF!&amp;"+"&amp;X238)</f>
        <v/>
      </c>
      <c r="DE238" s="30" t="str">
        <f>IF(Y238="","","|n"&amp;#REF!&amp;"+"&amp;Y238)</f>
        <v/>
      </c>
      <c r="DF238" s="30" t="str">
        <f>IF(Z238="","","|n"&amp;#REF!&amp;"+"&amp;Z238)</f>
        <v/>
      </c>
      <c r="DG238" s="30" t="str">
        <f>IF(AA238="","","|n"&amp;#REF!&amp;"+"&amp;AA238)</f>
        <v/>
      </c>
      <c r="DH238" s="30" t="str">
        <f>IF(AB238="","","|n"&amp;#REF!&amp;"+"&amp;AB238)</f>
        <v/>
      </c>
      <c r="DI238" s="30" t="str">
        <f>IF(AC238="","","|n"&amp;#REF!&amp;"+"&amp;AC238&amp;"%")</f>
        <v/>
      </c>
      <c r="DJ238" s="30" t="str">
        <f>IF(AD238="","","|n"&amp;#REF!&amp;"+"&amp;AD238)</f>
        <v/>
      </c>
      <c r="DK238" s="30" t="str">
        <f>IF(AE238="","","|n"&amp;#REF!&amp;"+"&amp;AE238)</f>
        <v/>
      </c>
      <c r="DL238" s="30" t="str">
        <f>IF(AF238="","","|n"&amp;#REF!&amp;"+"&amp;AF238)</f>
        <v/>
      </c>
      <c r="DM238" s="30" t="str">
        <f>IF(AG238="","","|n"&amp;#REF!&amp;"+"&amp;AG238&amp;"%")</f>
        <v/>
      </c>
      <c r="DN238" s="30" t="str">
        <f>IF(AH238="","","|n"&amp;#REF!&amp;"+"&amp;AH238)</f>
        <v/>
      </c>
      <c r="DO238" s="30" t="str">
        <f>IF(AI238="","","|n"&amp;#REF!&amp;"+"&amp;AI238)</f>
        <v/>
      </c>
      <c r="DP238" s="30" t="str">
        <f>IF(AJ238="","","|n"&amp;#REF!&amp;"+"&amp;AJ238)</f>
        <v/>
      </c>
    </row>
    <row r="239" spans="92:120">
      <c r="CN239" s="7" t="str">
        <f t="shared" si="2162"/>
        <v>InitUnitState('',,,,,,,,,,)</v>
      </c>
      <c r="CO239" s="7" t="str">
        <f t="shared" si="2163"/>
        <v>InitUnitNormal('',,,,,,,,,,)</v>
      </c>
      <c r="CP239" s="7" t="str">
        <f t="shared" si="2164"/>
        <v>InitUnitMagic('',,,,,,,,,,)</v>
      </c>
      <c r="CQ239" s="7" t="str">
        <f t="shared" si="2165"/>
        <v>InitUnitAdd('',,,,,,,,,,)</v>
      </c>
      <c r="CR239" s="7" t="str">
        <f t="shared" si="2166"/>
        <v>InitEquipData('',,"",,,,,'','','','','','',"")</v>
      </c>
      <c r="CU239" s="29" t="str">
        <f t="shared" si="2161"/>
        <v>|n</v>
      </c>
      <c r="DB239" s="30" t="str">
        <f>IF(V239="","","|n"&amp;#REF!&amp;"+"&amp;V239)</f>
        <v/>
      </c>
      <c r="DC239" s="30" t="str">
        <f>IF(W239="","","|n"&amp;#REF!&amp;"+"&amp;W239)</f>
        <v/>
      </c>
      <c r="DD239" s="30" t="str">
        <f>IF(X239="","","|n"&amp;#REF!&amp;"+"&amp;X239)</f>
        <v/>
      </c>
      <c r="DE239" s="30" t="str">
        <f>IF(Y239="","","|n"&amp;#REF!&amp;"+"&amp;Y239)</f>
        <v/>
      </c>
      <c r="DF239" s="30" t="str">
        <f>IF(Z239="","","|n"&amp;#REF!&amp;"+"&amp;Z239)</f>
        <v/>
      </c>
      <c r="DG239" s="30" t="str">
        <f>IF(AA239="","","|n"&amp;#REF!&amp;"+"&amp;AA239)</f>
        <v/>
      </c>
      <c r="DH239" s="30" t="str">
        <f>IF(AB239="","","|n"&amp;#REF!&amp;"+"&amp;AB239)</f>
        <v/>
      </c>
      <c r="DI239" s="30" t="str">
        <f>IF(AC239="","","|n"&amp;#REF!&amp;"+"&amp;AC239&amp;"%")</f>
        <v/>
      </c>
      <c r="DJ239" s="30" t="str">
        <f>IF(AD239="","","|n"&amp;#REF!&amp;"+"&amp;AD239)</f>
        <v/>
      </c>
      <c r="DK239" s="30" t="str">
        <f>IF(AE239="","","|n"&amp;#REF!&amp;"+"&amp;AE239)</f>
        <v/>
      </c>
      <c r="DL239" s="30" t="str">
        <f>IF(AF239="","","|n"&amp;#REF!&amp;"+"&amp;AF239)</f>
        <v/>
      </c>
      <c r="DM239" s="30" t="str">
        <f>IF(AG239="","","|n"&amp;#REF!&amp;"+"&amp;AG239&amp;"%")</f>
        <v/>
      </c>
      <c r="DN239" s="30" t="str">
        <f>IF(AH239="","","|n"&amp;#REF!&amp;"+"&amp;AH239)</f>
        <v/>
      </c>
      <c r="DO239" s="30" t="str">
        <f>IF(AI239="","","|n"&amp;#REF!&amp;"+"&amp;AI239)</f>
        <v/>
      </c>
      <c r="DP239" s="30" t="str">
        <f>IF(AJ239="","","|n"&amp;#REF!&amp;"+"&amp;AJ239)</f>
        <v/>
      </c>
    </row>
    <row r="240" spans="92:120">
      <c r="CN240" s="7" t="str">
        <f t="shared" si="2162"/>
        <v>InitUnitState('',,,,,,,,,,)</v>
      </c>
      <c r="CO240" s="7" t="str">
        <f t="shared" si="2163"/>
        <v>InitUnitNormal('',,,,,,,,,,)</v>
      </c>
      <c r="CP240" s="7" t="str">
        <f t="shared" si="2164"/>
        <v>InitUnitMagic('',,,,,,,,,,)</v>
      </c>
      <c r="CQ240" s="7" t="str">
        <f t="shared" si="2165"/>
        <v>InitUnitAdd('',,,,,,,,,,)</v>
      </c>
      <c r="CR240" s="7" t="str">
        <f t="shared" si="2166"/>
        <v>InitEquipData('',,"",,,,,'','','','','','',"")</v>
      </c>
      <c r="CU240" s="29" t="str">
        <f t="shared" si="2161"/>
        <v>|n</v>
      </c>
      <c r="DB240" s="30" t="str">
        <f>IF(V240="","","|n"&amp;#REF!&amp;"+"&amp;V240)</f>
        <v/>
      </c>
      <c r="DC240" s="30" t="str">
        <f>IF(W240="","","|n"&amp;#REF!&amp;"+"&amp;W240)</f>
        <v/>
      </c>
      <c r="DD240" s="30" t="str">
        <f>IF(X240="","","|n"&amp;#REF!&amp;"+"&amp;X240)</f>
        <v/>
      </c>
      <c r="DE240" s="30" t="str">
        <f>IF(Y240="","","|n"&amp;#REF!&amp;"+"&amp;Y240)</f>
        <v/>
      </c>
      <c r="DF240" s="30" t="str">
        <f>IF(Z240="","","|n"&amp;#REF!&amp;"+"&amp;Z240)</f>
        <v/>
      </c>
      <c r="DG240" s="30" t="str">
        <f>IF(AA240="","","|n"&amp;#REF!&amp;"+"&amp;AA240)</f>
        <v/>
      </c>
      <c r="DH240" s="30" t="str">
        <f>IF(AB240="","","|n"&amp;#REF!&amp;"+"&amp;AB240)</f>
        <v/>
      </c>
      <c r="DI240" s="30" t="str">
        <f>IF(AC240="","","|n"&amp;#REF!&amp;"+"&amp;AC240&amp;"%")</f>
        <v/>
      </c>
      <c r="DJ240" s="30" t="str">
        <f>IF(AD240="","","|n"&amp;#REF!&amp;"+"&amp;AD240)</f>
        <v/>
      </c>
      <c r="DK240" s="30" t="str">
        <f>IF(AE240="","","|n"&amp;#REF!&amp;"+"&amp;AE240)</f>
        <v/>
      </c>
      <c r="DL240" s="30" t="str">
        <f>IF(AF240="","","|n"&amp;#REF!&amp;"+"&amp;AF240)</f>
        <v/>
      </c>
      <c r="DM240" s="30" t="str">
        <f>IF(AG240="","","|n"&amp;#REF!&amp;"+"&amp;AG240&amp;"%")</f>
        <v/>
      </c>
      <c r="DN240" s="30" t="str">
        <f>IF(AH240="","","|n"&amp;#REF!&amp;"+"&amp;AH240)</f>
        <v/>
      </c>
      <c r="DO240" s="30" t="str">
        <f>IF(AI240="","","|n"&amp;#REF!&amp;"+"&amp;AI240)</f>
        <v/>
      </c>
      <c r="DP240" s="30" t="str">
        <f>IF(AJ240="","","|n"&amp;#REF!&amp;"+"&amp;AJ240)</f>
        <v/>
      </c>
    </row>
    <row r="241" spans="92:120">
      <c r="CN241" s="7" t="str">
        <f t="shared" si="2162"/>
        <v>InitUnitState('',,,,,,,,,,)</v>
      </c>
      <c r="CO241" s="7" t="str">
        <f t="shared" si="2163"/>
        <v>InitUnitNormal('',,,,,,,,,,)</v>
      </c>
      <c r="CP241" s="7" t="str">
        <f t="shared" si="2164"/>
        <v>InitUnitMagic('',,,,,,,,,,)</v>
      </c>
      <c r="CQ241" s="7" t="str">
        <f t="shared" si="2165"/>
        <v>InitUnitAdd('',,,,,,,,,,)</v>
      </c>
      <c r="CR241" s="7" t="str">
        <f t="shared" si="2166"/>
        <v>InitEquipData('',,"",,,,,'','','','','','',"")</v>
      </c>
      <c r="CU241" s="29" t="str">
        <f t="shared" si="2161"/>
        <v>|n</v>
      </c>
      <c r="DB241" s="30" t="str">
        <f>IF(V241="","","|n"&amp;#REF!&amp;"+"&amp;V241)</f>
        <v/>
      </c>
      <c r="DC241" s="30" t="str">
        <f>IF(W241="","","|n"&amp;#REF!&amp;"+"&amp;W241)</f>
        <v/>
      </c>
      <c r="DD241" s="30" t="str">
        <f>IF(X241="","","|n"&amp;#REF!&amp;"+"&amp;X241)</f>
        <v/>
      </c>
      <c r="DE241" s="30" t="str">
        <f>IF(Y241="","","|n"&amp;#REF!&amp;"+"&amp;Y241)</f>
        <v/>
      </c>
      <c r="DF241" s="30" t="str">
        <f>IF(Z241="","","|n"&amp;#REF!&amp;"+"&amp;Z241)</f>
        <v/>
      </c>
      <c r="DG241" s="30" t="str">
        <f>IF(AA241="","","|n"&amp;#REF!&amp;"+"&amp;AA241)</f>
        <v/>
      </c>
      <c r="DH241" s="30" t="str">
        <f>IF(AB241="","","|n"&amp;#REF!&amp;"+"&amp;AB241)</f>
        <v/>
      </c>
      <c r="DI241" s="30" t="str">
        <f>IF(AC241="","","|n"&amp;#REF!&amp;"+"&amp;AC241&amp;"%")</f>
        <v/>
      </c>
      <c r="DJ241" s="30" t="str">
        <f>IF(AD241="","","|n"&amp;#REF!&amp;"+"&amp;AD241)</f>
        <v/>
      </c>
      <c r="DK241" s="30" t="str">
        <f>IF(AE241="","","|n"&amp;#REF!&amp;"+"&amp;AE241)</f>
        <v/>
      </c>
      <c r="DL241" s="30" t="str">
        <f>IF(AF241="","","|n"&amp;#REF!&amp;"+"&amp;AF241)</f>
        <v/>
      </c>
      <c r="DM241" s="30" t="str">
        <f>IF(AG241="","","|n"&amp;#REF!&amp;"+"&amp;AG241&amp;"%")</f>
        <v/>
      </c>
      <c r="DN241" s="30" t="str">
        <f>IF(AH241="","","|n"&amp;#REF!&amp;"+"&amp;AH241)</f>
        <v/>
      </c>
      <c r="DO241" s="30" t="str">
        <f>IF(AI241="","","|n"&amp;#REF!&amp;"+"&amp;AI241)</f>
        <v/>
      </c>
      <c r="DP241" s="30" t="str">
        <f>IF(AJ241="","","|n"&amp;#REF!&amp;"+"&amp;AJ241)</f>
        <v/>
      </c>
    </row>
    <row r="242" spans="92:120">
      <c r="CN242" s="7" t="str">
        <f t="shared" si="2162"/>
        <v>InitUnitState('',,,,,,,,,,)</v>
      </c>
      <c r="CO242" s="7" t="str">
        <f t="shared" si="2163"/>
        <v>InitUnitNormal('',,,,,,,,,,)</v>
      </c>
      <c r="CP242" s="7" t="str">
        <f t="shared" si="2164"/>
        <v>InitUnitMagic('',,,,,,,,,,)</v>
      </c>
      <c r="CQ242" s="7" t="str">
        <f t="shared" si="2165"/>
        <v>InitUnitAdd('',,,,,,,,,,)</v>
      </c>
      <c r="CR242" s="7" t="str">
        <f t="shared" si="2166"/>
        <v>InitEquipData('',,"",,,,,'','','','','','',"")</v>
      </c>
      <c r="CU242" s="29" t="str">
        <f t="shared" si="2161"/>
        <v>|n</v>
      </c>
      <c r="DB242" s="30" t="str">
        <f>IF(V242="","","|n"&amp;#REF!&amp;"+"&amp;V242)</f>
        <v/>
      </c>
      <c r="DC242" s="30" t="str">
        <f>IF(W242="","","|n"&amp;#REF!&amp;"+"&amp;W242)</f>
        <v/>
      </c>
      <c r="DD242" s="30" t="str">
        <f>IF(X242="","","|n"&amp;#REF!&amp;"+"&amp;X242)</f>
        <v/>
      </c>
      <c r="DE242" s="30" t="str">
        <f>IF(Y242="","","|n"&amp;#REF!&amp;"+"&amp;Y242)</f>
        <v/>
      </c>
      <c r="DF242" s="30" t="str">
        <f>IF(Z242="","","|n"&amp;#REF!&amp;"+"&amp;Z242)</f>
        <v/>
      </c>
      <c r="DG242" s="30" t="str">
        <f>IF(AA242="","","|n"&amp;#REF!&amp;"+"&amp;AA242)</f>
        <v/>
      </c>
      <c r="DH242" s="30" t="str">
        <f>IF(AB242="","","|n"&amp;#REF!&amp;"+"&amp;AB242)</f>
        <v/>
      </c>
      <c r="DI242" s="30" t="str">
        <f>IF(AC242="","","|n"&amp;#REF!&amp;"+"&amp;AC242&amp;"%")</f>
        <v/>
      </c>
      <c r="DJ242" s="30" t="str">
        <f>IF(AD242="","","|n"&amp;#REF!&amp;"+"&amp;AD242)</f>
        <v/>
      </c>
      <c r="DK242" s="30" t="str">
        <f>IF(AE242="","","|n"&amp;#REF!&amp;"+"&amp;AE242)</f>
        <v/>
      </c>
      <c r="DL242" s="30" t="str">
        <f>IF(AF242="","","|n"&amp;#REF!&amp;"+"&amp;AF242)</f>
        <v/>
      </c>
      <c r="DM242" s="30" t="str">
        <f>IF(AG242="","","|n"&amp;#REF!&amp;"+"&amp;AG242&amp;"%")</f>
        <v/>
      </c>
      <c r="DN242" s="30" t="str">
        <f>IF(AH242="","","|n"&amp;#REF!&amp;"+"&amp;AH242)</f>
        <v/>
      </c>
      <c r="DO242" s="30" t="str">
        <f>IF(AI242="","","|n"&amp;#REF!&amp;"+"&amp;AI242)</f>
        <v/>
      </c>
      <c r="DP242" s="30" t="str">
        <f>IF(AJ242="","","|n"&amp;#REF!&amp;"+"&amp;AJ242)</f>
        <v/>
      </c>
    </row>
    <row r="243" spans="92:120">
      <c r="CN243" s="7" t="str">
        <f t="shared" si="2162"/>
        <v>InitUnitState('',,,,,,,,,,)</v>
      </c>
      <c r="CO243" s="7" t="str">
        <f t="shared" si="2163"/>
        <v>InitUnitNormal('',,,,,,,,,,)</v>
      </c>
      <c r="CP243" s="7" t="str">
        <f t="shared" si="2164"/>
        <v>InitUnitMagic('',,,,,,,,,,)</v>
      </c>
      <c r="CQ243" s="7" t="str">
        <f t="shared" si="2165"/>
        <v>InitUnitAdd('',,,,,,,,,,)</v>
      </c>
      <c r="CR243" s="7" t="str">
        <f t="shared" si="2166"/>
        <v>InitEquipData('',,"",,,,,'','','','','','',"")</v>
      </c>
      <c r="CU243" s="29" t="str">
        <f t="shared" si="2161"/>
        <v>|n</v>
      </c>
      <c r="DB243" s="30" t="str">
        <f>IF(V243="","","|n"&amp;#REF!&amp;"+"&amp;V243)</f>
        <v/>
      </c>
      <c r="DC243" s="30" t="str">
        <f>IF(W243="","","|n"&amp;#REF!&amp;"+"&amp;W243)</f>
        <v/>
      </c>
      <c r="DD243" s="30" t="str">
        <f>IF(X243="","","|n"&amp;#REF!&amp;"+"&amp;X243)</f>
        <v/>
      </c>
      <c r="DE243" s="30" t="str">
        <f>IF(Y243="","","|n"&amp;#REF!&amp;"+"&amp;Y243)</f>
        <v/>
      </c>
      <c r="DF243" s="30" t="str">
        <f>IF(Z243="","","|n"&amp;#REF!&amp;"+"&amp;Z243)</f>
        <v/>
      </c>
      <c r="DG243" s="30" t="str">
        <f>IF(AA243="","","|n"&amp;#REF!&amp;"+"&amp;AA243)</f>
        <v/>
      </c>
      <c r="DH243" s="30" t="str">
        <f>IF(AB243="","","|n"&amp;#REF!&amp;"+"&amp;AB243)</f>
        <v/>
      </c>
      <c r="DI243" s="30" t="str">
        <f>IF(AC243="","","|n"&amp;#REF!&amp;"+"&amp;AC243&amp;"%")</f>
        <v/>
      </c>
      <c r="DJ243" s="30" t="str">
        <f>IF(AD243="","","|n"&amp;#REF!&amp;"+"&amp;AD243)</f>
        <v/>
      </c>
      <c r="DK243" s="30" t="str">
        <f>IF(AE243="","","|n"&amp;#REF!&amp;"+"&amp;AE243)</f>
        <v/>
      </c>
      <c r="DL243" s="30" t="str">
        <f>IF(AF243="","","|n"&amp;#REF!&amp;"+"&amp;AF243)</f>
        <v/>
      </c>
      <c r="DM243" s="30" t="str">
        <f>IF(AG243="","","|n"&amp;#REF!&amp;"+"&amp;AG243&amp;"%")</f>
        <v/>
      </c>
      <c r="DN243" s="30" t="str">
        <f>IF(AH243="","","|n"&amp;#REF!&amp;"+"&amp;AH243)</f>
        <v/>
      </c>
      <c r="DO243" s="30" t="str">
        <f>IF(AI243="","","|n"&amp;#REF!&amp;"+"&amp;AI243)</f>
        <v/>
      </c>
      <c r="DP243" s="30" t="str">
        <f>IF(AJ243="","","|n"&amp;#REF!&amp;"+"&amp;AJ243)</f>
        <v/>
      </c>
    </row>
    <row r="244" spans="92:120">
      <c r="CN244" s="7" t="str">
        <f t="shared" si="2162"/>
        <v>InitUnitState('',,,,,,,,,,)</v>
      </c>
      <c r="CO244" s="7" t="str">
        <f t="shared" si="2163"/>
        <v>InitUnitNormal('',,,,,,,,,,)</v>
      </c>
      <c r="CP244" s="7" t="str">
        <f t="shared" si="2164"/>
        <v>InitUnitMagic('',,,,,,,,,,)</v>
      </c>
      <c r="CQ244" s="7" t="str">
        <f t="shared" si="2165"/>
        <v>InitUnitAdd('',,,,,,,,,,)</v>
      </c>
      <c r="CR244" s="7" t="str">
        <f t="shared" si="2166"/>
        <v>InitEquipData('',,"",,,,,'','','','','','',"")</v>
      </c>
      <c r="CU244" s="29" t="str">
        <f t="shared" si="2161"/>
        <v>|n</v>
      </c>
      <c r="DB244" s="30" t="str">
        <f>IF(V244="","","|n"&amp;#REF!&amp;"+"&amp;V244)</f>
        <v/>
      </c>
      <c r="DC244" s="30" t="str">
        <f>IF(W244="","","|n"&amp;#REF!&amp;"+"&amp;W244)</f>
        <v/>
      </c>
      <c r="DD244" s="30" t="str">
        <f>IF(X244="","","|n"&amp;#REF!&amp;"+"&amp;X244)</f>
        <v/>
      </c>
      <c r="DE244" s="30" t="str">
        <f>IF(Y244="","","|n"&amp;#REF!&amp;"+"&amp;Y244)</f>
        <v/>
      </c>
      <c r="DF244" s="30" t="str">
        <f>IF(Z244="","","|n"&amp;#REF!&amp;"+"&amp;Z244)</f>
        <v/>
      </c>
      <c r="DG244" s="30" t="str">
        <f>IF(AA244="","","|n"&amp;#REF!&amp;"+"&amp;AA244)</f>
        <v/>
      </c>
      <c r="DH244" s="30" t="str">
        <f>IF(AB244="","","|n"&amp;#REF!&amp;"+"&amp;AB244)</f>
        <v/>
      </c>
      <c r="DI244" s="30" t="str">
        <f>IF(AC244="","","|n"&amp;#REF!&amp;"+"&amp;AC244&amp;"%")</f>
        <v/>
      </c>
      <c r="DJ244" s="30" t="str">
        <f>IF(AD244="","","|n"&amp;#REF!&amp;"+"&amp;AD244)</f>
        <v/>
      </c>
      <c r="DK244" s="30" t="str">
        <f>IF(AE244="","","|n"&amp;#REF!&amp;"+"&amp;AE244)</f>
        <v/>
      </c>
      <c r="DL244" s="30" t="str">
        <f>IF(AF244="","","|n"&amp;#REF!&amp;"+"&amp;AF244)</f>
        <v/>
      </c>
      <c r="DM244" s="30" t="str">
        <f>IF(AG244="","","|n"&amp;#REF!&amp;"+"&amp;AG244&amp;"%")</f>
        <v/>
      </c>
      <c r="DN244" s="30" t="str">
        <f>IF(AH244="","","|n"&amp;#REF!&amp;"+"&amp;AH244)</f>
        <v/>
      </c>
      <c r="DO244" s="30" t="str">
        <f>IF(AI244="","","|n"&amp;#REF!&amp;"+"&amp;AI244)</f>
        <v/>
      </c>
      <c r="DP244" s="30" t="str">
        <f>IF(AJ244="","","|n"&amp;#REF!&amp;"+"&amp;AJ244)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装备!A88</f>
        <v>0</v>
      </c>
      <c r="B170" s="19" t="str">
        <f>"'"&amp;装备!B88&amp;"'"</f>
        <v>'CS01'</v>
      </c>
      <c r="C170" s="19">
        <f>装备!J88</f>
        <v>0</v>
      </c>
      <c r="D170" s="19">
        <f>装备!K88</f>
        <v>0</v>
      </c>
      <c r="E170" s="19">
        <f>装备!L88</f>
        <v>0</v>
      </c>
      <c r="F170" s="19">
        <f>装备!M88</f>
        <v>0</v>
      </c>
      <c r="G170" s="19">
        <f>装备!N88</f>
        <v>0</v>
      </c>
      <c r="H170" s="19">
        <f>装备!O88</f>
        <v>0</v>
      </c>
      <c r="I170" s="19">
        <f>IF(装备!J88=0,0,"'"&amp;装备!J88&amp;"'")</f>
        <v>0</v>
      </c>
      <c r="J170" s="19">
        <f>IF(装备!K88=0,0,"'"&amp;装备!K88&amp;"'")</f>
        <v>0</v>
      </c>
      <c r="K170" s="19">
        <f>IF(装备!L88=0,0,"'"&amp;装备!L88&amp;"'")</f>
        <v>0</v>
      </c>
      <c r="L170" s="19">
        <f>IF(装备!M88=0,0,"'"&amp;装备!M88&amp;"'")</f>
        <v>0</v>
      </c>
      <c r="M170" s="19">
        <f>IF(装备!N88=0,0,"'"&amp;装备!N88&amp;"'")</f>
        <v>0</v>
      </c>
      <c r="N170" s="19">
        <f>IF(装备!O88=0,0,"'"&amp;装备!O88&amp;"'")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装备!A89</f>
        <v>0</v>
      </c>
      <c r="B171" s="19" t="str">
        <f>"'"&amp;装备!B89&amp;"'"</f>
        <v>'CS02'</v>
      </c>
      <c r="C171" s="19">
        <f>装备!J89</f>
        <v>0</v>
      </c>
      <c r="D171" s="19">
        <f>装备!K89</f>
        <v>0</v>
      </c>
      <c r="E171" s="19">
        <f>装备!L89</f>
        <v>0</v>
      </c>
      <c r="F171" s="19">
        <f>装备!M89</f>
        <v>0</v>
      </c>
      <c r="G171" s="19">
        <f>装备!N89</f>
        <v>0</v>
      </c>
      <c r="H171" s="19">
        <f>装备!O89</f>
        <v>0</v>
      </c>
      <c r="I171" s="19">
        <f>IF(装备!J89=0,0,"'"&amp;装备!J89&amp;"'")</f>
        <v>0</v>
      </c>
      <c r="J171" s="19">
        <f>IF(装备!K89=0,0,"'"&amp;装备!K89&amp;"'")</f>
        <v>0</v>
      </c>
      <c r="K171" s="19">
        <f>IF(装备!L89=0,0,"'"&amp;装备!L89&amp;"'")</f>
        <v>0</v>
      </c>
      <c r="L171" s="19">
        <f>IF(装备!M89=0,0,"'"&amp;装备!M89&amp;"'")</f>
        <v>0</v>
      </c>
      <c r="M171" s="19">
        <f>IF(装备!N89=0,0,"'"&amp;装备!N89&amp;"'")</f>
        <v>0</v>
      </c>
      <c r="N171" s="19">
        <f>IF(装备!O89=0,0,"'"&amp;装备!O89&amp;"'")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装备!A90</f>
        <v>0</v>
      </c>
      <c r="B172" s="19" t="str">
        <f>"'"&amp;装备!B90&amp;"'"</f>
        <v>'CS03'</v>
      </c>
      <c r="C172" s="19">
        <f>装备!J90</f>
        <v>0</v>
      </c>
      <c r="D172" s="19">
        <f>装备!K90</f>
        <v>0</v>
      </c>
      <c r="E172" s="19">
        <f>装备!L90</f>
        <v>0</v>
      </c>
      <c r="F172" s="19">
        <f>装备!M90</f>
        <v>0</v>
      </c>
      <c r="G172" s="19">
        <f>装备!N90</f>
        <v>0</v>
      </c>
      <c r="H172" s="19">
        <f>装备!O90</f>
        <v>0</v>
      </c>
      <c r="I172" s="19">
        <f>IF(装备!J90=0,0,"'"&amp;装备!J90&amp;"'")</f>
        <v>0</v>
      </c>
      <c r="J172" s="19">
        <f>IF(装备!K90=0,0,"'"&amp;装备!K90&amp;"'")</f>
        <v>0</v>
      </c>
      <c r="K172" s="19">
        <f>IF(装备!L90=0,0,"'"&amp;装备!L90&amp;"'")</f>
        <v>0</v>
      </c>
      <c r="L172" s="19">
        <f>IF(装备!M90=0,0,"'"&amp;装备!M90&amp;"'")</f>
        <v>0</v>
      </c>
      <c r="M172" s="19">
        <f>IF(装备!N90=0,0,"'"&amp;装备!N90&amp;"'")</f>
        <v>0</v>
      </c>
      <c r="N172" s="19">
        <f>IF(装备!O90=0,0,"'"&amp;装备!O90&amp;"'")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装备!A93</f>
        <v>0</v>
      </c>
      <c r="B173" s="19" t="str">
        <f>"'"&amp;装备!B93&amp;"'"</f>
        <v>'IP01'</v>
      </c>
      <c r="C173" s="19">
        <f>装备!J93</f>
        <v>0</v>
      </c>
      <c r="D173" s="19">
        <f>装备!K93</f>
        <v>0</v>
      </c>
      <c r="E173" s="19">
        <f>装备!L93</f>
        <v>0</v>
      </c>
      <c r="F173" s="19">
        <f>装备!M93</f>
        <v>0</v>
      </c>
      <c r="G173" s="19">
        <f>装备!N93</f>
        <v>0</v>
      </c>
      <c r="H173" s="19">
        <f>装备!O93</f>
        <v>0</v>
      </c>
      <c r="I173" s="19">
        <f>IF(装备!J93=0,0,"'"&amp;装备!J93&amp;"'")</f>
        <v>0</v>
      </c>
      <c r="J173" s="19">
        <f>IF(装备!K93=0,0,"'"&amp;装备!K93&amp;"'")</f>
        <v>0</v>
      </c>
      <c r="K173" s="19">
        <f>IF(装备!L93=0,0,"'"&amp;装备!L93&amp;"'")</f>
        <v>0</v>
      </c>
      <c r="L173" s="19">
        <f>IF(装备!M93=0,0,"'"&amp;装备!M93&amp;"'")</f>
        <v>0</v>
      </c>
      <c r="M173" s="19">
        <f>IF(装备!N93=0,0,"'"&amp;装备!N93&amp;"'")</f>
        <v>0</v>
      </c>
      <c r="N173" s="19">
        <f>IF(装备!O93=0,0,"'"&amp;装备!O93&amp;"'")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装备!A94</f>
        <v>0</v>
      </c>
      <c r="B174" s="19" t="str">
        <f>"'"&amp;装备!B94&amp;"'"</f>
        <v>'IP02'</v>
      </c>
      <c r="C174" s="19">
        <f>装备!J94</f>
        <v>0</v>
      </c>
      <c r="D174" s="19">
        <f>装备!K94</f>
        <v>0</v>
      </c>
      <c r="E174" s="19">
        <f>装备!L94</f>
        <v>0</v>
      </c>
      <c r="F174" s="19">
        <f>装备!M94</f>
        <v>0</v>
      </c>
      <c r="G174" s="19">
        <f>装备!N94</f>
        <v>0</v>
      </c>
      <c r="H174" s="19">
        <f>装备!O94</f>
        <v>0</v>
      </c>
      <c r="I174" s="19">
        <f>IF(装备!J94=0,0,"'"&amp;装备!J94&amp;"'")</f>
        <v>0</v>
      </c>
      <c r="J174" s="19">
        <f>IF(装备!K94=0,0,"'"&amp;装备!K94&amp;"'")</f>
        <v>0</v>
      </c>
      <c r="K174" s="19">
        <f>IF(装备!L94=0,0,"'"&amp;装备!L94&amp;"'")</f>
        <v>0</v>
      </c>
      <c r="L174" s="19">
        <f>IF(装备!M94=0,0,"'"&amp;装备!M94&amp;"'")</f>
        <v>0</v>
      </c>
      <c r="M174" s="19">
        <f>IF(装备!N94=0,0,"'"&amp;装备!N94&amp;"'")</f>
        <v>0</v>
      </c>
      <c r="N174" s="19">
        <f>IF(装备!O94=0,0,"'"&amp;装备!O94&amp;"'")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装备!A95</f>
        <v>0</v>
      </c>
      <c r="B175" s="19" t="str">
        <f>"'"&amp;装备!B95&amp;"'"</f>
        <v>'IP03'</v>
      </c>
      <c r="C175" s="19">
        <f>装备!J95</f>
        <v>0</v>
      </c>
      <c r="D175" s="19">
        <f>装备!K95</f>
        <v>0</v>
      </c>
      <c r="E175" s="19">
        <f>装备!L95</f>
        <v>0</v>
      </c>
      <c r="F175" s="19">
        <f>装备!M95</f>
        <v>0</v>
      </c>
      <c r="G175" s="19">
        <f>装备!N95</f>
        <v>0</v>
      </c>
      <c r="H175" s="19">
        <f>装备!O95</f>
        <v>0</v>
      </c>
      <c r="I175" s="19">
        <f>IF(装备!J95=0,0,"'"&amp;装备!J95&amp;"'")</f>
        <v>0</v>
      </c>
      <c r="J175" s="19">
        <f>IF(装备!K95=0,0,"'"&amp;装备!K95&amp;"'")</f>
        <v>0</v>
      </c>
      <c r="K175" s="19">
        <f>IF(装备!L95=0,0,"'"&amp;装备!L95&amp;"'")</f>
        <v>0</v>
      </c>
      <c r="L175" s="19">
        <f>IF(装备!M95=0,0,"'"&amp;装备!M95&amp;"'")</f>
        <v>0</v>
      </c>
      <c r="M175" s="19">
        <f>IF(装备!N95=0,0,"'"&amp;装备!N95&amp;"'")</f>
        <v>0</v>
      </c>
      <c r="N175" s="19">
        <f>IF(装备!O95=0,0,"'"&amp;装备!O95&amp;"'")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装备!A96</f>
        <v>0</v>
      </c>
      <c r="B176" s="19" t="str">
        <f>"'"&amp;装备!B96&amp;"'"</f>
        <v>'IT01'</v>
      </c>
      <c r="C176" s="19">
        <f>装备!J96</f>
        <v>0</v>
      </c>
      <c r="D176" s="19">
        <f>装备!K96</f>
        <v>0</v>
      </c>
      <c r="E176" s="19">
        <f>装备!L96</f>
        <v>0</v>
      </c>
      <c r="F176" s="19">
        <f>装备!M96</f>
        <v>0</v>
      </c>
      <c r="G176" s="19">
        <f>装备!N96</f>
        <v>0</v>
      </c>
      <c r="H176" s="19">
        <f>装备!O96</f>
        <v>0</v>
      </c>
      <c r="I176" s="19">
        <f>IF(装备!J96=0,0,"'"&amp;装备!J96&amp;"'")</f>
        <v>0</v>
      </c>
      <c r="J176" s="19">
        <f>IF(装备!K96=0,0,"'"&amp;装备!K96&amp;"'")</f>
        <v>0</v>
      </c>
      <c r="K176" s="19">
        <f>IF(装备!L96=0,0,"'"&amp;装备!L96&amp;"'")</f>
        <v>0</v>
      </c>
      <c r="L176" s="19">
        <f>IF(装备!M96=0,0,"'"&amp;装备!M96&amp;"'")</f>
        <v>0</v>
      </c>
      <c r="M176" s="19">
        <f>IF(装备!N96=0,0,"'"&amp;装备!N96&amp;"'")</f>
        <v>0</v>
      </c>
      <c r="N176" s="19">
        <f>IF(装备!O96=0,0,"'"&amp;装备!O96&amp;"'")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装备!A97</f>
        <v>0</v>
      </c>
      <c r="B177" s="19" t="str">
        <f>"'"&amp;装备!B97&amp;"'"</f>
        <v>'IT02'</v>
      </c>
      <c r="C177" s="19">
        <f>装备!J97</f>
        <v>0</v>
      </c>
      <c r="D177" s="19">
        <f>装备!K97</f>
        <v>0</v>
      </c>
      <c r="E177" s="19">
        <f>装备!L97</f>
        <v>0</v>
      </c>
      <c r="F177" s="19">
        <f>装备!M97</f>
        <v>0</v>
      </c>
      <c r="G177" s="19">
        <f>装备!N97</f>
        <v>0</v>
      </c>
      <c r="H177" s="19">
        <f>装备!O97</f>
        <v>0</v>
      </c>
      <c r="I177" s="19">
        <f>IF(装备!J97=0,0,"'"&amp;装备!J97&amp;"'")</f>
        <v>0</v>
      </c>
      <c r="J177" s="19">
        <f>IF(装备!K97=0,0,"'"&amp;装备!K97&amp;"'")</f>
        <v>0</v>
      </c>
      <c r="K177" s="19">
        <f>IF(装备!L97=0,0,"'"&amp;装备!L97&amp;"'")</f>
        <v>0</v>
      </c>
      <c r="L177" s="19">
        <f>IF(装备!M97=0,0,"'"&amp;装备!M97&amp;"'")</f>
        <v>0</v>
      </c>
      <c r="M177" s="19">
        <f>IF(装备!N97=0,0,"'"&amp;装备!N97&amp;"'")</f>
        <v>0</v>
      </c>
      <c r="N177" s="19">
        <f>IF(装备!O97=0,0,"'"&amp;装备!O97&amp;"'")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装备!A98</f>
        <v>0</v>
      </c>
      <c r="B178" s="19" t="str">
        <f>"'"&amp;装备!B98&amp;"'"</f>
        <v>'IT03'</v>
      </c>
      <c r="C178" s="19">
        <f>装备!J98</f>
        <v>0</v>
      </c>
      <c r="D178" s="19">
        <f>装备!K98</f>
        <v>0</v>
      </c>
      <c r="E178" s="19">
        <f>装备!L98</f>
        <v>0</v>
      </c>
      <c r="F178" s="19">
        <f>装备!M98</f>
        <v>0</v>
      </c>
      <c r="G178" s="19">
        <f>装备!N98</f>
        <v>0</v>
      </c>
      <c r="H178" s="19">
        <f>装备!O98</f>
        <v>0</v>
      </c>
      <c r="I178" s="19">
        <f>IF(装备!J98=0,0,"'"&amp;装备!J98&amp;"'")</f>
        <v>0</v>
      </c>
      <c r="J178" s="19">
        <f>IF(装备!K98=0,0,"'"&amp;装备!K98&amp;"'")</f>
        <v>0</v>
      </c>
      <c r="K178" s="19">
        <f>IF(装备!L98=0,0,"'"&amp;装备!L98&amp;"'")</f>
        <v>0</v>
      </c>
      <c r="L178" s="19">
        <f>IF(装备!M98=0,0,"'"&amp;装备!M98&amp;"'")</f>
        <v>0</v>
      </c>
      <c r="M178" s="19">
        <f>IF(装备!N98=0,0,"'"&amp;装备!N98&amp;"'")</f>
        <v>0</v>
      </c>
      <c r="N178" s="19">
        <f>IF(装备!O98=0,0,"'"&amp;装备!O98&amp;"'")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装备!A99</f>
        <v>0</v>
      </c>
      <c r="B179" s="19" t="str">
        <f>"'"&amp;装备!B99&amp;"'"</f>
        <v>'IT04'</v>
      </c>
      <c r="C179" s="19">
        <f>装备!J99</f>
        <v>0</v>
      </c>
      <c r="D179" s="19">
        <f>装备!K99</f>
        <v>0</v>
      </c>
      <c r="E179" s="19">
        <f>装备!L99</f>
        <v>0</v>
      </c>
      <c r="F179" s="19">
        <f>装备!M99</f>
        <v>0</v>
      </c>
      <c r="G179" s="19">
        <f>装备!N99</f>
        <v>0</v>
      </c>
      <c r="H179" s="19">
        <f>装备!O99</f>
        <v>0</v>
      </c>
      <c r="I179" s="19">
        <f>IF(装备!J99=0,0,"'"&amp;装备!J99&amp;"'")</f>
        <v>0</v>
      </c>
      <c r="J179" s="19">
        <f>IF(装备!K99=0,0,"'"&amp;装备!K99&amp;"'")</f>
        <v>0</v>
      </c>
      <c r="K179" s="19">
        <f>IF(装备!L99=0,0,"'"&amp;装备!L99&amp;"'")</f>
        <v>0</v>
      </c>
      <c r="L179" s="19">
        <f>IF(装备!M99=0,0,"'"&amp;装备!M99&amp;"'")</f>
        <v>0</v>
      </c>
      <c r="M179" s="19">
        <f>IF(装备!N99=0,0,"'"&amp;装备!N99&amp;"'")</f>
        <v>0</v>
      </c>
      <c r="N179" s="19">
        <f>IF(装备!O99=0,0,"'"&amp;装备!O99&amp;"'")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装备!A100</f>
        <v>0</v>
      </c>
      <c r="B180" s="19" t="str">
        <f>"'"&amp;装备!B100&amp;"'"</f>
        <v>'IT05'</v>
      </c>
      <c r="C180" s="19">
        <f>装备!J100</f>
        <v>0</v>
      </c>
      <c r="D180" s="19">
        <f>装备!K100</f>
        <v>0</v>
      </c>
      <c r="E180" s="19">
        <f>装备!L100</f>
        <v>0</v>
      </c>
      <c r="F180" s="19">
        <f>装备!M100</f>
        <v>0</v>
      </c>
      <c r="G180" s="19">
        <f>装备!N100</f>
        <v>0</v>
      </c>
      <c r="H180" s="19">
        <f>装备!O100</f>
        <v>0</v>
      </c>
      <c r="I180" s="19">
        <f>IF(装备!J100=0,0,"'"&amp;装备!J100&amp;"'")</f>
        <v>0</v>
      </c>
      <c r="J180" s="19">
        <f>IF(装备!K100=0,0,"'"&amp;装备!K100&amp;"'")</f>
        <v>0</v>
      </c>
      <c r="K180" s="19">
        <f>IF(装备!L100=0,0,"'"&amp;装备!L100&amp;"'")</f>
        <v>0</v>
      </c>
      <c r="L180" s="19">
        <f>IF(装备!M100=0,0,"'"&amp;装备!M100&amp;"'")</f>
        <v>0</v>
      </c>
      <c r="M180" s="19">
        <f>IF(装备!N100=0,0,"'"&amp;装备!N100&amp;"'")</f>
        <v>0</v>
      </c>
      <c r="N180" s="19">
        <f>IF(装备!O100=0,0,"'"&amp;装备!O100&amp;"'")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装备!A101</f>
        <v>0</v>
      </c>
      <c r="B181" s="19" t="str">
        <f>"'"&amp;装备!B101&amp;"'"</f>
        <v>'IT06'</v>
      </c>
      <c r="C181" s="19">
        <f>装备!J101</f>
        <v>0</v>
      </c>
      <c r="D181" s="19">
        <f>装备!K101</f>
        <v>0</v>
      </c>
      <c r="E181" s="19">
        <f>装备!L101</f>
        <v>0</v>
      </c>
      <c r="F181" s="19">
        <f>装备!M101</f>
        <v>0</v>
      </c>
      <c r="G181" s="19">
        <f>装备!N101</f>
        <v>0</v>
      </c>
      <c r="H181" s="19">
        <f>装备!O101</f>
        <v>0</v>
      </c>
      <c r="I181" s="19">
        <f>IF(装备!J101=0,0,"'"&amp;装备!J101&amp;"'")</f>
        <v>0</v>
      </c>
      <c r="J181" s="19">
        <f>IF(装备!K101=0,0,"'"&amp;装备!K101&amp;"'")</f>
        <v>0</v>
      </c>
      <c r="K181" s="19">
        <f>IF(装备!L101=0,0,"'"&amp;装备!L101&amp;"'")</f>
        <v>0</v>
      </c>
      <c r="L181" s="19">
        <f>IF(装备!M101=0,0,"'"&amp;装备!M101&amp;"'")</f>
        <v>0</v>
      </c>
      <c r="M181" s="19">
        <f>IF(装备!N101=0,0,"'"&amp;装备!N101&amp;"'")</f>
        <v>0</v>
      </c>
      <c r="N181" s="19">
        <f>IF(装备!O101=0,0,"'"&amp;装备!O101&amp;"'")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装备!A102</f>
        <v>0</v>
      </c>
      <c r="B182" s="19" t="str">
        <f>"'"&amp;装备!B102&amp;"'"</f>
        <v>'IT07'</v>
      </c>
      <c r="C182" s="19">
        <f>装备!J102</f>
        <v>0</v>
      </c>
      <c r="D182" s="19">
        <f>装备!K102</f>
        <v>0</v>
      </c>
      <c r="E182" s="19">
        <f>装备!L102</f>
        <v>0</v>
      </c>
      <c r="F182" s="19">
        <f>装备!M102</f>
        <v>0</v>
      </c>
      <c r="G182" s="19">
        <f>装备!N102</f>
        <v>0</v>
      </c>
      <c r="H182" s="19">
        <f>装备!O102</f>
        <v>0</v>
      </c>
      <c r="I182" s="19">
        <f>IF(装备!J102=0,0,"'"&amp;装备!J102&amp;"'")</f>
        <v>0</v>
      </c>
      <c r="J182" s="19">
        <f>IF(装备!K102=0,0,"'"&amp;装备!K102&amp;"'")</f>
        <v>0</v>
      </c>
      <c r="K182" s="19">
        <f>IF(装备!L102=0,0,"'"&amp;装备!L102&amp;"'")</f>
        <v>0</v>
      </c>
      <c r="L182" s="19">
        <f>IF(装备!M102=0,0,"'"&amp;装备!M102&amp;"'")</f>
        <v>0</v>
      </c>
      <c r="M182" s="19">
        <f>IF(装备!N102=0,0,"'"&amp;装备!N102&amp;"'")</f>
        <v>0</v>
      </c>
      <c r="N182" s="19">
        <f>IF(装备!O102=0,0,"'"&amp;装备!O102&amp;"'")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装备!A103</f>
        <v>.</v>
      </c>
      <c r="B183" s="19" t="str">
        <f>"'"&amp;装备!B103&amp;"'"</f>
        <v>'IT08'</v>
      </c>
      <c r="C183" s="19">
        <f>装备!J103</f>
        <v>0</v>
      </c>
      <c r="D183" s="19">
        <f>装备!K103</f>
        <v>0</v>
      </c>
      <c r="E183" s="19">
        <f>装备!L103</f>
        <v>0</v>
      </c>
      <c r="F183" s="19">
        <f>装备!M103</f>
        <v>0</v>
      </c>
      <c r="G183" s="19">
        <f>装备!N103</f>
        <v>0</v>
      </c>
      <c r="H183" s="19">
        <f>装备!O103</f>
        <v>0</v>
      </c>
      <c r="I183" s="19">
        <f>IF(装备!J103=0,0,"'"&amp;装备!J103&amp;"'")</f>
        <v>0</v>
      </c>
      <c r="J183" s="19">
        <f>IF(装备!K103=0,0,"'"&amp;装备!K103&amp;"'")</f>
        <v>0</v>
      </c>
      <c r="K183" s="19">
        <f>IF(装备!L103=0,0,"'"&amp;装备!L103&amp;"'")</f>
        <v>0</v>
      </c>
      <c r="L183" s="19">
        <f>IF(装备!M103=0,0,"'"&amp;装备!M103&amp;"'")</f>
        <v>0</v>
      </c>
      <c r="M183" s="19">
        <f>IF(装备!N103=0,0,"'"&amp;装备!N103&amp;"'")</f>
        <v>0</v>
      </c>
      <c r="N183" s="19">
        <f>IF(装备!O103=0,0,"'"&amp;装备!O103&amp;"'")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装备!A104</f>
        <v>0</v>
      </c>
      <c r="B184" s="19" t="str">
        <f>"'"&amp;装备!B104&amp;"'"</f>
        <v>'IT09'</v>
      </c>
      <c r="C184" s="19">
        <f>装备!J104</f>
        <v>0</v>
      </c>
      <c r="D184" s="19">
        <f>装备!K104</f>
        <v>0</v>
      </c>
      <c r="E184" s="19">
        <f>装备!L104</f>
        <v>0</v>
      </c>
      <c r="F184" s="19">
        <f>装备!M104</f>
        <v>0</v>
      </c>
      <c r="G184" s="19">
        <f>装备!N104</f>
        <v>0</v>
      </c>
      <c r="H184" s="19">
        <f>装备!O104</f>
        <v>0</v>
      </c>
      <c r="I184" s="19">
        <f>IF(装备!J104=0,0,"'"&amp;装备!J104&amp;"'")</f>
        <v>0</v>
      </c>
      <c r="J184" s="19">
        <f>IF(装备!K104=0,0,"'"&amp;装备!K104&amp;"'")</f>
        <v>0</v>
      </c>
      <c r="K184" s="19">
        <f>IF(装备!L104=0,0,"'"&amp;装备!L104&amp;"'")</f>
        <v>0</v>
      </c>
      <c r="L184" s="19">
        <f>IF(装备!M104=0,0,"'"&amp;装备!M104&amp;"'")</f>
        <v>0</v>
      </c>
      <c r="M184" s="19">
        <f>IF(装备!N104=0,0,"'"&amp;装备!N104&amp;"'")</f>
        <v>0</v>
      </c>
      <c r="N184" s="19">
        <f>IF(装备!O104=0,0,"'"&amp;装备!O104&amp;"'")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装备!A105</f>
        <v>0</v>
      </c>
      <c r="B185" s="19" t="str">
        <f>"'"&amp;装备!B105&amp;"'"</f>
        <v>'IT10'</v>
      </c>
      <c r="C185" s="19">
        <f>装备!J105</f>
        <v>0</v>
      </c>
      <c r="D185" s="19">
        <f>装备!K105</f>
        <v>0</v>
      </c>
      <c r="E185" s="19">
        <f>装备!L105</f>
        <v>0</v>
      </c>
      <c r="F185" s="19">
        <f>装备!M105</f>
        <v>0</v>
      </c>
      <c r="G185" s="19">
        <f>装备!N105</f>
        <v>0</v>
      </c>
      <c r="H185" s="19">
        <f>装备!O105</f>
        <v>0</v>
      </c>
      <c r="I185" s="19">
        <f>IF(装备!J105=0,0,"'"&amp;装备!J105&amp;"'")</f>
        <v>0</v>
      </c>
      <c r="J185" s="19">
        <f>IF(装备!K105=0,0,"'"&amp;装备!K105&amp;"'")</f>
        <v>0</v>
      </c>
      <c r="K185" s="19">
        <f>IF(装备!L105=0,0,"'"&amp;装备!L105&amp;"'")</f>
        <v>0</v>
      </c>
      <c r="L185" s="19">
        <f>IF(装备!M105=0,0,"'"&amp;装备!M105&amp;"'")</f>
        <v>0</v>
      </c>
      <c r="M185" s="19">
        <f>IF(装备!N105=0,0,"'"&amp;装备!N105&amp;"'")</f>
        <v>0</v>
      </c>
      <c r="N185" s="19">
        <f>IF(装备!O105=0,0,"'"&amp;装备!O105&amp;"'")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装备!A110</f>
        <v>0</v>
      </c>
      <c r="B186" s="19" t="str">
        <f>"'"&amp;装备!B110&amp;"'"</f>
        <v>'IS01'</v>
      </c>
      <c r="C186" s="19">
        <f>装备!J110</f>
        <v>0</v>
      </c>
      <c r="D186" s="19">
        <f>装备!K110</f>
        <v>0</v>
      </c>
      <c r="E186" s="19">
        <f>装备!L110</f>
        <v>0</v>
      </c>
      <c r="F186" s="19">
        <f>装备!M110</f>
        <v>0</v>
      </c>
      <c r="G186" s="19">
        <f>装备!N110</f>
        <v>0</v>
      </c>
      <c r="H186" s="19">
        <f>装备!O110</f>
        <v>0</v>
      </c>
      <c r="I186" s="19">
        <f>IF(装备!J110=0,0,"'"&amp;装备!J110&amp;"'")</f>
        <v>0</v>
      </c>
      <c r="J186" s="19">
        <f>IF(装备!K110=0,0,"'"&amp;装备!K110&amp;"'")</f>
        <v>0</v>
      </c>
      <c r="K186" s="19">
        <f>IF(装备!L110=0,0,"'"&amp;装备!L110&amp;"'")</f>
        <v>0</v>
      </c>
      <c r="L186" s="19">
        <f>IF(装备!M110=0,0,"'"&amp;装备!M110&amp;"'")</f>
        <v>0</v>
      </c>
      <c r="M186" s="19">
        <f>IF(装备!N110=0,0,"'"&amp;装备!N110&amp;"'")</f>
        <v>0</v>
      </c>
      <c r="N186" s="19">
        <f>IF(装备!O110=0,0,"'"&amp;装备!O110&amp;"'")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装备!A111</f>
        <v>0</v>
      </c>
      <c r="B187" s="19" t="str">
        <f>"'"&amp;装备!B111&amp;"'"</f>
        <v>'IS02'</v>
      </c>
      <c r="C187" s="19">
        <f>装备!J111</f>
        <v>0</v>
      </c>
      <c r="D187" s="19">
        <f>装备!K111</f>
        <v>0</v>
      </c>
      <c r="E187" s="19">
        <f>装备!L111</f>
        <v>0</v>
      </c>
      <c r="F187" s="19">
        <f>装备!M111</f>
        <v>0</v>
      </c>
      <c r="G187" s="19">
        <f>装备!N111</f>
        <v>0</v>
      </c>
      <c r="H187" s="19">
        <f>装备!O111</f>
        <v>0</v>
      </c>
      <c r="I187" s="19">
        <f>IF(装备!J111=0,0,"'"&amp;装备!J111&amp;"'")</f>
        <v>0</v>
      </c>
      <c r="J187" s="19">
        <f>IF(装备!K111=0,0,"'"&amp;装备!K111&amp;"'")</f>
        <v>0</v>
      </c>
      <c r="K187" s="19">
        <f>IF(装备!L111=0,0,"'"&amp;装备!L111&amp;"'")</f>
        <v>0</v>
      </c>
      <c r="L187" s="19">
        <f>IF(装备!M111=0,0,"'"&amp;装备!M111&amp;"'")</f>
        <v>0</v>
      </c>
      <c r="M187" s="19">
        <f>IF(装备!N111=0,0,"'"&amp;装备!N111&amp;"'")</f>
        <v>0</v>
      </c>
      <c r="N187" s="19">
        <f>IF(装备!O111=0,0,"'"&amp;装备!O111&amp;"'")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装备!A112</f>
        <v>0</v>
      </c>
      <c r="B188" s="19" t="str">
        <f>"'"&amp;装备!B112&amp;"'"</f>
        <v>'IS03'</v>
      </c>
      <c r="C188" s="19">
        <f>装备!J112</f>
        <v>0</v>
      </c>
      <c r="D188" s="19">
        <f>装备!K112</f>
        <v>0</v>
      </c>
      <c r="E188" s="19">
        <f>装备!L112</f>
        <v>0</v>
      </c>
      <c r="F188" s="19">
        <f>装备!M112</f>
        <v>0</v>
      </c>
      <c r="G188" s="19">
        <f>装备!N112</f>
        <v>0</v>
      </c>
      <c r="H188" s="19">
        <f>装备!O112</f>
        <v>0</v>
      </c>
      <c r="I188" s="19">
        <f>IF(装备!J112=0,0,"'"&amp;装备!J112&amp;"'")</f>
        <v>0</v>
      </c>
      <c r="J188" s="19">
        <f>IF(装备!K112=0,0,"'"&amp;装备!K112&amp;"'")</f>
        <v>0</v>
      </c>
      <c r="K188" s="19">
        <f>IF(装备!L112=0,0,"'"&amp;装备!L112&amp;"'")</f>
        <v>0</v>
      </c>
      <c r="L188" s="19">
        <f>IF(装备!M112=0,0,"'"&amp;装备!M112&amp;"'")</f>
        <v>0</v>
      </c>
      <c r="M188" s="19">
        <f>IF(装备!N112=0,0,"'"&amp;装备!N112&amp;"'")</f>
        <v>0</v>
      </c>
      <c r="N188" s="19">
        <f>IF(装备!O112=0,0,"'"&amp;装备!O112&amp;"'")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装备!A113</f>
        <v>0</v>
      </c>
      <c r="B189" s="19" t="str">
        <f>"'"&amp;装备!B113&amp;"'"</f>
        <v>'IS04'</v>
      </c>
      <c r="C189" s="19">
        <f>装备!J113</f>
        <v>0</v>
      </c>
      <c r="D189" s="19">
        <f>装备!K113</f>
        <v>0</v>
      </c>
      <c r="E189" s="19">
        <f>装备!L113</f>
        <v>0</v>
      </c>
      <c r="F189" s="19">
        <f>装备!M113</f>
        <v>0</v>
      </c>
      <c r="G189" s="19">
        <f>装备!N113</f>
        <v>0</v>
      </c>
      <c r="H189" s="19">
        <f>装备!O113</f>
        <v>0</v>
      </c>
      <c r="I189" s="19">
        <f>IF(装备!J113=0,0,"'"&amp;装备!J113&amp;"'")</f>
        <v>0</v>
      </c>
      <c r="J189" s="19">
        <f>IF(装备!K113=0,0,"'"&amp;装备!K113&amp;"'")</f>
        <v>0</v>
      </c>
      <c r="K189" s="19">
        <f>IF(装备!L113=0,0,"'"&amp;装备!L113&amp;"'")</f>
        <v>0</v>
      </c>
      <c r="L189" s="19">
        <f>IF(装备!M113=0,0,"'"&amp;装备!M113&amp;"'")</f>
        <v>0</v>
      </c>
      <c r="M189" s="19">
        <f>IF(装备!N113=0,0,"'"&amp;装备!N113&amp;"'")</f>
        <v>0</v>
      </c>
      <c r="N189" s="19">
        <f>IF(装备!O113=0,0,"'"&amp;装备!O113&amp;"'")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装备!A114</f>
        <v>0</v>
      </c>
      <c r="B190" s="19" t="str">
        <f>"'"&amp;装备!B114&amp;"'"</f>
        <v>'IH00'</v>
      </c>
      <c r="C190" s="19">
        <f>装备!J114</f>
        <v>0</v>
      </c>
      <c r="D190" s="19">
        <f>装备!K114</f>
        <v>0</v>
      </c>
      <c r="E190" s="19">
        <f>装备!L114</f>
        <v>0</v>
      </c>
      <c r="F190" s="19">
        <f>装备!M114</f>
        <v>0</v>
      </c>
      <c r="G190" s="19">
        <f>装备!N114</f>
        <v>0</v>
      </c>
      <c r="H190" s="19">
        <f>装备!O114</f>
        <v>0</v>
      </c>
      <c r="I190" s="19">
        <f>IF(装备!J114=0,0,"'"&amp;装备!J114&amp;"'")</f>
        <v>0</v>
      </c>
      <c r="J190" s="19">
        <f>IF(装备!K114=0,0,"'"&amp;装备!K114&amp;"'")</f>
        <v>0</v>
      </c>
      <c r="K190" s="19">
        <f>IF(装备!L114=0,0,"'"&amp;装备!L114&amp;"'")</f>
        <v>0</v>
      </c>
      <c r="L190" s="19">
        <f>IF(装备!M114=0,0,"'"&amp;装备!M114&amp;"'")</f>
        <v>0</v>
      </c>
      <c r="M190" s="19">
        <f>IF(装备!N114=0,0,"'"&amp;装备!N114&amp;"'")</f>
        <v>0</v>
      </c>
      <c r="N190" s="19">
        <f>IF(装备!O114=0,0,"'"&amp;装备!O114&amp;"'")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装备!A115</f>
        <v>0</v>
      </c>
      <c r="B191" s="19" t="str">
        <f>"'"&amp;装备!B115&amp;"'"</f>
        <v>'IH01'</v>
      </c>
      <c r="C191" s="19">
        <f>装备!J115</f>
        <v>0</v>
      </c>
      <c r="D191" s="19">
        <f>装备!K115</f>
        <v>0</v>
      </c>
      <c r="E191" s="19">
        <f>装备!L115</f>
        <v>0</v>
      </c>
      <c r="F191" s="19">
        <f>装备!M115</f>
        <v>0</v>
      </c>
      <c r="G191" s="19">
        <f>装备!N115</f>
        <v>0</v>
      </c>
      <c r="H191" s="19">
        <f>装备!O115</f>
        <v>0</v>
      </c>
      <c r="I191" s="19">
        <f>IF(装备!J115=0,0,"'"&amp;装备!J115&amp;"'")</f>
        <v>0</v>
      </c>
      <c r="J191" s="19">
        <f>IF(装备!K115=0,0,"'"&amp;装备!K115&amp;"'")</f>
        <v>0</v>
      </c>
      <c r="K191" s="19">
        <f>IF(装备!L115=0,0,"'"&amp;装备!L115&amp;"'")</f>
        <v>0</v>
      </c>
      <c r="L191" s="19">
        <f>IF(装备!M115=0,0,"'"&amp;装备!M115&amp;"'")</f>
        <v>0</v>
      </c>
      <c r="M191" s="19">
        <f>IF(装备!N115=0,0,"'"&amp;装备!N115&amp;"'")</f>
        <v>0</v>
      </c>
      <c r="N191" s="19">
        <f>IF(装备!O115=0,0,"'"&amp;装备!O115&amp;"'")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装备!A116</f>
        <v>0</v>
      </c>
      <c r="B192" s="19" t="str">
        <f>"'"&amp;装备!B116&amp;"'"</f>
        <v>'IH02'</v>
      </c>
      <c r="C192" s="19">
        <f>装备!J116</f>
        <v>0</v>
      </c>
      <c r="D192" s="19">
        <f>装备!K116</f>
        <v>0</v>
      </c>
      <c r="E192" s="19">
        <f>装备!L116</f>
        <v>0</v>
      </c>
      <c r="F192" s="19">
        <f>装备!M116</f>
        <v>0</v>
      </c>
      <c r="G192" s="19">
        <f>装备!N116</f>
        <v>0</v>
      </c>
      <c r="H192" s="19">
        <f>装备!O116</f>
        <v>0</v>
      </c>
      <c r="I192" s="19">
        <f>IF(装备!J116=0,0,"'"&amp;装备!J116&amp;"'")</f>
        <v>0</v>
      </c>
      <c r="J192" s="19">
        <f>IF(装备!K116=0,0,"'"&amp;装备!K116&amp;"'")</f>
        <v>0</v>
      </c>
      <c r="K192" s="19">
        <f>IF(装备!L116=0,0,"'"&amp;装备!L116&amp;"'")</f>
        <v>0</v>
      </c>
      <c r="L192" s="19">
        <f>IF(装备!M116=0,0,"'"&amp;装备!M116&amp;"'")</f>
        <v>0</v>
      </c>
      <c r="M192" s="19">
        <f>IF(装备!N116=0,0,"'"&amp;装备!N116&amp;"'")</f>
        <v>0</v>
      </c>
      <c r="N192" s="19">
        <f>IF(装备!O116=0,0,"'"&amp;装备!O116&amp;"'")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装备!A117</f>
        <v>0</v>
      </c>
      <c r="B193" s="19" t="str">
        <f>"'"&amp;装备!B117&amp;"'"</f>
        <v>'IH03'</v>
      </c>
      <c r="C193" s="19">
        <f>装备!J117</f>
        <v>0</v>
      </c>
      <c r="D193" s="19">
        <f>装备!K117</f>
        <v>0</v>
      </c>
      <c r="E193" s="19">
        <f>装备!L117</f>
        <v>0</v>
      </c>
      <c r="F193" s="19">
        <f>装备!M117</f>
        <v>0</v>
      </c>
      <c r="G193" s="19">
        <f>装备!N117</f>
        <v>0</v>
      </c>
      <c r="H193" s="19">
        <f>装备!O117</f>
        <v>0</v>
      </c>
      <c r="I193" s="19">
        <f>IF(装备!J117=0,0,"'"&amp;装备!J117&amp;"'")</f>
        <v>0</v>
      </c>
      <c r="J193" s="19">
        <f>IF(装备!K117=0,0,"'"&amp;装备!K117&amp;"'")</f>
        <v>0</v>
      </c>
      <c r="K193" s="19">
        <f>IF(装备!L117=0,0,"'"&amp;装备!L117&amp;"'")</f>
        <v>0</v>
      </c>
      <c r="L193" s="19">
        <f>IF(装备!M117=0,0,"'"&amp;装备!M117&amp;"'")</f>
        <v>0</v>
      </c>
      <c r="M193" s="19">
        <f>IF(装备!N117=0,0,"'"&amp;装备!N117&amp;"'")</f>
        <v>0</v>
      </c>
      <c r="N193" s="19">
        <f>IF(装备!O117=0,0,"'"&amp;装备!O117&amp;"'")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装备!A118</f>
        <v>0</v>
      </c>
      <c r="B194" s="19" t="str">
        <f>"'"&amp;装备!B118&amp;"'"</f>
        <v>'IH04'</v>
      </c>
      <c r="C194" s="19">
        <f>装备!J118</f>
        <v>0</v>
      </c>
      <c r="D194" s="19">
        <f>装备!K118</f>
        <v>0</v>
      </c>
      <c r="E194" s="19">
        <f>装备!L118</f>
        <v>0</v>
      </c>
      <c r="F194" s="19">
        <f>装备!M118</f>
        <v>0</v>
      </c>
      <c r="G194" s="19">
        <f>装备!N118</f>
        <v>0</v>
      </c>
      <c r="H194" s="19">
        <f>装备!O118</f>
        <v>0</v>
      </c>
      <c r="I194" s="19">
        <f>IF(装备!J118=0,0,"'"&amp;装备!J118&amp;"'")</f>
        <v>0</v>
      </c>
      <c r="J194" s="19">
        <f>IF(装备!K118=0,0,"'"&amp;装备!K118&amp;"'")</f>
        <v>0</v>
      </c>
      <c r="K194" s="19">
        <f>IF(装备!L118=0,0,"'"&amp;装备!L118&amp;"'")</f>
        <v>0</v>
      </c>
      <c r="L194" s="19">
        <f>IF(装备!M118=0,0,"'"&amp;装备!M118&amp;"'")</f>
        <v>0</v>
      </c>
      <c r="M194" s="19">
        <f>IF(装备!N118=0,0,"'"&amp;装备!N118&amp;"'")</f>
        <v>0</v>
      </c>
      <c r="N194" s="19">
        <f>IF(装备!O118=0,0,"'"&amp;装备!O118&amp;"'")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装备!A119</f>
        <v>0</v>
      </c>
      <c r="B195" s="19" t="str">
        <f>"'"&amp;装备!B119&amp;"'"</f>
        <v>'IH05'</v>
      </c>
      <c r="C195" s="19">
        <f>装备!J119</f>
        <v>0</v>
      </c>
      <c r="D195" s="19">
        <f>装备!K119</f>
        <v>0</v>
      </c>
      <c r="E195" s="19">
        <f>装备!L119</f>
        <v>0</v>
      </c>
      <c r="F195" s="19">
        <f>装备!M119</f>
        <v>0</v>
      </c>
      <c r="G195" s="19">
        <f>装备!N119</f>
        <v>0</v>
      </c>
      <c r="H195" s="19">
        <f>装备!O119</f>
        <v>0</v>
      </c>
      <c r="I195" s="19">
        <f>IF(装备!J119=0,0,"'"&amp;装备!J119&amp;"'")</f>
        <v>0</v>
      </c>
      <c r="J195" s="19">
        <f>IF(装备!K119=0,0,"'"&amp;装备!K119&amp;"'")</f>
        <v>0</v>
      </c>
      <c r="K195" s="19">
        <f>IF(装备!L119=0,0,"'"&amp;装备!L119&amp;"'")</f>
        <v>0</v>
      </c>
      <c r="L195" s="19">
        <f>IF(装备!M119=0,0,"'"&amp;装备!M119&amp;"'")</f>
        <v>0</v>
      </c>
      <c r="M195" s="19">
        <f>IF(装备!N119=0,0,"'"&amp;装备!N119&amp;"'")</f>
        <v>0</v>
      </c>
      <c r="N195" s="19">
        <f>IF(装备!O119=0,0,"'"&amp;装备!O119&amp;"'")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装备!A120</f>
        <v>0</v>
      </c>
      <c r="B196" s="19" t="str">
        <f>"'"&amp;装备!B120&amp;"'"</f>
        <v>'IH06'</v>
      </c>
      <c r="C196" s="19">
        <f>装备!J120</f>
        <v>0</v>
      </c>
      <c r="D196" s="19">
        <f>装备!K120</f>
        <v>0</v>
      </c>
      <c r="E196" s="19">
        <f>装备!L120</f>
        <v>0</v>
      </c>
      <c r="F196" s="19">
        <f>装备!M120</f>
        <v>0</v>
      </c>
      <c r="G196" s="19">
        <f>装备!N120</f>
        <v>0</v>
      </c>
      <c r="H196" s="19">
        <f>装备!O120</f>
        <v>0</v>
      </c>
      <c r="I196" s="19">
        <f>IF(装备!J120=0,0,"'"&amp;装备!J120&amp;"'")</f>
        <v>0</v>
      </c>
      <c r="J196" s="19">
        <f>IF(装备!K120=0,0,"'"&amp;装备!K120&amp;"'")</f>
        <v>0</v>
      </c>
      <c r="K196" s="19">
        <f>IF(装备!L120=0,0,"'"&amp;装备!L120&amp;"'")</f>
        <v>0</v>
      </c>
      <c r="L196" s="19">
        <f>IF(装备!M120=0,0,"'"&amp;装备!M120&amp;"'")</f>
        <v>0</v>
      </c>
      <c r="M196" s="19">
        <f>IF(装备!N120=0,0,"'"&amp;装备!N120&amp;"'")</f>
        <v>0</v>
      </c>
      <c r="N196" s="19">
        <f>IF(装备!O120=0,0,"'"&amp;装备!O120&amp;"'")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装备!A121</f>
        <v>0</v>
      </c>
      <c r="B197" s="19" t="str">
        <f>"'"&amp;装备!B121&amp;"'"</f>
        <v>'IH07'</v>
      </c>
      <c r="C197" s="19">
        <f>装备!J121</f>
        <v>0</v>
      </c>
      <c r="D197" s="19">
        <f>装备!K121</f>
        <v>0</v>
      </c>
      <c r="E197" s="19">
        <f>装备!L121</f>
        <v>0</v>
      </c>
      <c r="F197" s="19">
        <f>装备!M121</f>
        <v>0</v>
      </c>
      <c r="G197" s="19">
        <f>装备!N121</f>
        <v>0</v>
      </c>
      <c r="H197" s="19">
        <f>装备!O121</f>
        <v>0</v>
      </c>
      <c r="I197" s="19">
        <f>IF(装备!J121=0,0,"'"&amp;装备!J121&amp;"'")</f>
        <v>0</v>
      </c>
      <c r="J197" s="19">
        <f>IF(装备!K121=0,0,"'"&amp;装备!K121&amp;"'")</f>
        <v>0</v>
      </c>
      <c r="K197" s="19">
        <f>IF(装备!L121=0,0,"'"&amp;装备!L121&amp;"'")</f>
        <v>0</v>
      </c>
      <c r="L197" s="19">
        <f>IF(装备!M121=0,0,"'"&amp;装备!M121&amp;"'")</f>
        <v>0</v>
      </c>
      <c r="M197" s="19">
        <f>IF(装备!N121=0,0,"'"&amp;装备!N121&amp;"'")</f>
        <v>0</v>
      </c>
      <c r="N197" s="19">
        <f>IF(装备!O121=0,0,"'"&amp;装备!O121&amp;"'")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装备!A122</f>
        <v>0</v>
      </c>
      <c r="B198" s="19" t="str">
        <f>"'"&amp;装备!B122&amp;"'"</f>
        <v>'IH08'</v>
      </c>
      <c r="C198" s="19">
        <f>装备!J122</f>
        <v>0</v>
      </c>
      <c r="D198" s="19">
        <f>装备!K122</f>
        <v>0</v>
      </c>
      <c r="E198" s="19">
        <f>装备!L122</f>
        <v>0</v>
      </c>
      <c r="F198" s="19">
        <f>装备!M122</f>
        <v>0</v>
      </c>
      <c r="G198" s="19">
        <f>装备!N122</f>
        <v>0</v>
      </c>
      <c r="H198" s="19">
        <f>装备!O122</f>
        <v>0</v>
      </c>
      <c r="I198" s="19">
        <f>IF(装备!J122=0,0,"'"&amp;装备!J122&amp;"'")</f>
        <v>0</v>
      </c>
      <c r="J198" s="19">
        <f>IF(装备!K122=0,0,"'"&amp;装备!K122&amp;"'")</f>
        <v>0</v>
      </c>
      <c r="K198" s="19">
        <f>IF(装备!L122=0,0,"'"&amp;装备!L122&amp;"'")</f>
        <v>0</v>
      </c>
      <c r="L198" s="19">
        <f>IF(装备!M122=0,0,"'"&amp;装备!M122&amp;"'")</f>
        <v>0</v>
      </c>
      <c r="M198" s="19">
        <f>IF(装备!N122=0,0,"'"&amp;装备!N122&amp;"'")</f>
        <v>0</v>
      </c>
      <c r="N198" s="19">
        <f>IF(装备!O122=0,0,"'"&amp;装备!O122&amp;"'")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装备!A128</f>
        <v>0</v>
      </c>
      <c r="B199" s="19" t="str">
        <f>"'"&amp;装备!B128&amp;"'"</f>
        <v>''</v>
      </c>
      <c r="C199" s="19">
        <f>装备!J128</f>
        <v>0</v>
      </c>
      <c r="D199" s="19">
        <f>装备!K128</f>
        <v>0</v>
      </c>
      <c r="E199" s="19">
        <f>装备!L128</f>
        <v>0</v>
      </c>
      <c r="F199" s="19">
        <f>装备!M128</f>
        <v>0</v>
      </c>
      <c r="G199" s="19">
        <f>装备!N128</f>
        <v>0</v>
      </c>
      <c r="H199" s="19">
        <f>装备!O128</f>
        <v>0</v>
      </c>
      <c r="I199" s="19">
        <f>IF(装备!J128=0,0,"'"&amp;装备!J128&amp;"'")</f>
        <v>0</v>
      </c>
      <c r="J199" s="19">
        <f>IF(装备!K128=0,0,"'"&amp;装备!K128&amp;"'")</f>
        <v>0</v>
      </c>
      <c r="K199" s="19">
        <f>IF(装备!L128=0,0,"'"&amp;装备!L128&amp;"'")</f>
        <v>0</v>
      </c>
      <c r="L199" s="19">
        <f>IF(装备!M128=0,0,"'"&amp;装备!M128&amp;"'")</f>
        <v>0</v>
      </c>
      <c r="M199" s="19">
        <f>IF(装备!N128=0,0,"'"&amp;装备!N128&amp;"'")</f>
        <v>0</v>
      </c>
      <c r="N199" s="19">
        <f>IF(装备!O128=0,0,"'"&amp;装备!O128&amp;"'")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装备!A129</f>
        <v>0</v>
      </c>
      <c r="B200" s="19" t="str">
        <f>"'"&amp;装备!B129&amp;"'"</f>
        <v>''</v>
      </c>
      <c r="C200" s="19">
        <f>装备!J129</f>
        <v>0</v>
      </c>
      <c r="D200" s="19">
        <f>装备!K129</f>
        <v>0</v>
      </c>
      <c r="E200" s="19">
        <f>装备!L129</f>
        <v>0</v>
      </c>
      <c r="F200" s="19">
        <f>装备!M129</f>
        <v>0</v>
      </c>
      <c r="G200" s="19">
        <f>装备!N129</f>
        <v>0</v>
      </c>
      <c r="H200" s="19">
        <f>装备!O129</f>
        <v>0</v>
      </c>
      <c r="I200" s="19">
        <f>IF(装备!J129=0,0,"'"&amp;装备!J129&amp;"'")</f>
        <v>0</v>
      </c>
      <c r="J200" s="19">
        <f>IF(装备!K129=0,0,"'"&amp;装备!K129&amp;"'")</f>
        <v>0</v>
      </c>
      <c r="K200" s="19">
        <f>IF(装备!L129=0,0,"'"&amp;装备!L129&amp;"'")</f>
        <v>0</v>
      </c>
      <c r="L200" s="19">
        <f>IF(装备!M129=0,0,"'"&amp;装备!M129&amp;"'")</f>
        <v>0</v>
      </c>
      <c r="M200" s="19">
        <f>IF(装备!N129=0,0,"'"&amp;装备!N129&amp;"'")</f>
        <v>0</v>
      </c>
      <c r="N200" s="19">
        <f>IF(装备!O129=0,0,"'"&amp;装备!O129&amp;"'")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装备!A130</f>
        <v>0</v>
      </c>
      <c r="B201" s="19" t="str">
        <f>"'"&amp;装备!B130&amp;"'"</f>
        <v>''</v>
      </c>
      <c r="C201" s="19">
        <f>装备!J130</f>
        <v>0</v>
      </c>
      <c r="D201" s="19">
        <f>装备!K130</f>
        <v>0</v>
      </c>
      <c r="E201" s="19">
        <f>装备!L130</f>
        <v>0</v>
      </c>
      <c r="F201" s="19">
        <f>装备!M130</f>
        <v>0</v>
      </c>
      <c r="G201" s="19">
        <f>装备!N130</f>
        <v>0</v>
      </c>
      <c r="H201" s="19">
        <f>装备!O130</f>
        <v>0</v>
      </c>
      <c r="I201" s="19">
        <f>IF(装备!J130=0,0,"'"&amp;装备!J130&amp;"'")</f>
        <v>0</v>
      </c>
      <c r="J201" s="19">
        <f>IF(装备!K130=0,0,"'"&amp;装备!K130&amp;"'")</f>
        <v>0</v>
      </c>
      <c r="K201" s="19">
        <f>IF(装备!L130=0,0,"'"&amp;装备!L130&amp;"'")</f>
        <v>0</v>
      </c>
      <c r="L201" s="19">
        <f>IF(装备!M130=0,0,"'"&amp;装备!M130&amp;"'")</f>
        <v>0</v>
      </c>
      <c r="M201" s="19">
        <f>IF(装备!N130=0,0,"'"&amp;装备!N130&amp;"'")</f>
        <v>0</v>
      </c>
      <c r="N201" s="19">
        <f>IF(装备!O130=0,0,"'"&amp;装备!O130&amp;"'")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装备!A131</f>
        <v>0</v>
      </c>
      <c r="B202" s="19" t="str">
        <f>"'"&amp;装备!B131&amp;"'"</f>
        <v>''</v>
      </c>
      <c r="C202" s="19">
        <f>装备!J131</f>
        <v>0</v>
      </c>
      <c r="D202" s="19">
        <f>装备!K131</f>
        <v>0</v>
      </c>
      <c r="E202" s="19">
        <f>装备!L131</f>
        <v>0</v>
      </c>
      <c r="F202" s="19">
        <f>装备!M131</f>
        <v>0</v>
      </c>
      <c r="G202" s="19">
        <f>装备!N131</f>
        <v>0</v>
      </c>
      <c r="H202" s="19">
        <f>装备!O131</f>
        <v>0</v>
      </c>
      <c r="I202" s="19">
        <f>IF(装备!J131=0,0,"'"&amp;装备!J131&amp;"'")</f>
        <v>0</v>
      </c>
      <c r="J202" s="19">
        <f>IF(装备!K131=0,0,"'"&amp;装备!K131&amp;"'")</f>
        <v>0</v>
      </c>
      <c r="K202" s="19">
        <f>IF(装备!L131=0,0,"'"&amp;装备!L131&amp;"'")</f>
        <v>0</v>
      </c>
      <c r="L202" s="19">
        <f>IF(装备!M131=0,0,"'"&amp;装备!M131&amp;"'")</f>
        <v>0</v>
      </c>
      <c r="M202" s="19">
        <f>IF(装备!N131=0,0,"'"&amp;装备!N131&amp;"'")</f>
        <v>0</v>
      </c>
      <c r="N202" s="19">
        <f>IF(装备!O131=0,0,"'"&amp;装备!O131&amp;"'")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装备!A132</f>
        <v>0</v>
      </c>
      <c r="B203" s="19" t="str">
        <f>"'"&amp;装备!B132&amp;"'"</f>
        <v>''</v>
      </c>
      <c r="C203" s="19">
        <f>装备!J132</f>
        <v>0</v>
      </c>
      <c r="D203" s="19">
        <f>装备!K132</f>
        <v>0</v>
      </c>
      <c r="E203" s="19">
        <f>装备!L132</f>
        <v>0</v>
      </c>
      <c r="F203" s="19">
        <f>装备!M132</f>
        <v>0</v>
      </c>
      <c r="G203" s="19">
        <f>装备!N132</f>
        <v>0</v>
      </c>
      <c r="H203" s="19">
        <f>装备!O132</f>
        <v>0</v>
      </c>
      <c r="I203" s="19">
        <f>IF(装备!J132=0,0,"'"&amp;装备!J132&amp;"'")</f>
        <v>0</v>
      </c>
      <c r="J203" s="19">
        <f>IF(装备!K132=0,0,"'"&amp;装备!K132&amp;"'")</f>
        <v>0</v>
      </c>
      <c r="K203" s="19">
        <f>IF(装备!L132=0,0,"'"&amp;装备!L132&amp;"'")</f>
        <v>0</v>
      </c>
      <c r="L203" s="19">
        <f>IF(装备!M132=0,0,"'"&amp;装备!M132&amp;"'")</f>
        <v>0</v>
      </c>
      <c r="M203" s="19">
        <f>IF(装备!N132=0,0,"'"&amp;装备!N132&amp;"'")</f>
        <v>0</v>
      </c>
      <c r="N203" s="19">
        <f>IF(装备!O132=0,0,"'"&amp;装备!O132&amp;"'")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装备!A133</f>
        <v>0</v>
      </c>
      <c r="B204" s="19" t="str">
        <f>"'"&amp;装备!B133&amp;"'"</f>
        <v>''</v>
      </c>
      <c r="C204" s="19">
        <f>装备!J133</f>
        <v>0</v>
      </c>
      <c r="D204" s="19">
        <f>装备!K133</f>
        <v>0</v>
      </c>
      <c r="E204" s="19">
        <f>装备!L133</f>
        <v>0</v>
      </c>
      <c r="F204" s="19">
        <f>装备!M133</f>
        <v>0</v>
      </c>
      <c r="G204" s="19">
        <f>装备!N133</f>
        <v>0</v>
      </c>
      <c r="H204" s="19">
        <f>装备!O133</f>
        <v>0</v>
      </c>
      <c r="I204" s="19">
        <f>IF(装备!J133=0,0,"'"&amp;装备!J133&amp;"'")</f>
        <v>0</v>
      </c>
      <c r="J204" s="19">
        <f>IF(装备!K133=0,0,"'"&amp;装备!K133&amp;"'")</f>
        <v>0</v>
      </c>
      <c r="K204" s="19">
        <f>IF(装备!L133=0,0,"'"&amp;装备!L133&amp;"'")</f>
        <v>0</v>
      </c>
      <c r="L204" s="19">
        <f>IF(装备!M133=0,0,"'"&amp;装备!M133&amp;"'")</f>
        <v>0</v>
      </c>
      <c r="M204" s="19">
        <f>IF(装备!N133=0,0,"'"&amp;装备!N133&amp;"'")</f>
        <v>0</v>
      </c>
      <c r="N204" s="19">
        <f>IF(装备!O133=0,0,"'"&amp;装备!O133&amp;"'")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装备!A134</f>
        <v>0</v>
      </c>
      <c r="B205" s="19" t="str">
        <f>"'"&amp;装备!B134&amp;"'"</f>
        <v>''</v>
      </c>
      <c r="C205" s="19">
        <f>装备!J134</f>
        <v>0</v>
      </c>
      <c r="D205" s="19">
        <f>装备!K134</f>
        <v>0</v>
      </c>
      <c r="E205" s="19">
        <f>装备!L134</f>
        <v>0</v>
      </c>
      <c r="F205" s="19">
        <f>装备!M134</f>
        <v>0</v>
      </c>
      <c r="G205" s="19">
        <f>装备!N134</f>
        <v>0</v>
      </c>
      <c r="H205" s="19">
        <f>装备!O134</f>
        <v>0</v>
      </c>
      <c r="I205" s="19">
        <f>IF(装备!J134=0,0,"'"&amp;装备!J134&amp;"'")</f>
        <v>0</v>
      </c>
      <c r="J205" s="19">
        <f>IF(装备!K134=0,0,"'"&amp;装备!K134&amp;"'")</f>
        <v>0</v>
      </c>
      <c r="K205" s="19">
        <f>IF(装备!L134=0,0,"'"&amp;装备!L134&amp;"'")</f>
        <v>0</v>
      </c>
      <c r="L205" s="19">
        <f>IF(装备!M134=0,0,"'"&amp;装备!M134&amp;"'")</f>
        <v>0</v>
      </c>
      <c r="M205" s="19">
        <f>IF(装备!N134=0,0,"'"&amp;装备!N134&amp;"'")</f>
        <v>0</v>
      </c>
      <c r="N205" s="19">
        <f>IF(装备!O134=0,0,"'"&amp;装备!O134&amp;"'")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装备!A135</f>
        <v>0</v>
      </c>
      <c r="B206" s="19" t="str">
        <f>"'"&amp;装备!B135&amp;"'"</f>
        <v>''</v>
      </c>
      <c r="C206" s="19">
        <f>装备!J135</f>
        <v>0</v>
      </c>
      <c r="D206" s="19">
        <f>装备!K135</f>
        <v>0</v>
      </c>
      <c r="E206" s="19">
        <f>装备!L135</f>
        <v>0</v>
      </c>
      <c r="F206" s="19">
        <f>装备!M135</f>
        <v>0</v>
      </c>
      <c r="G206" s="19">
        <f>装备!N135</f>
        <v>0</v>
      </c>
      <c r="H206" s="19">
        <f>装备!O135</f>
        <v>0</v>
      </c>
      <c r="I206" s="19">
        <f>IF(装备!J135=0,0,"'"&amp;装备!J135&amp;"'")</f>
        <v>0</v>
      </c>
      <c r="J206" s="19">
        <f>IF(装备!K135=0,0,"'"&amp;装备!K135&amp;"'")</f>
        <v>0</v>
      </c>
      <c r="K206" s="19">
        <f>IF(装备!L135=0,0,"'"&amp;装备!L135&amp;"'")</f>
        <v>0</v>
      </c>
      <c r="L206" s="19">
        <f>IF(装备!M135=0,0,"'"&amp;装备!M135&amp;"'")</f>
        <v>0</v>
      </c>
      <c r="M206" s="19">
        <f>IF(装备!N135=0,0,"'"&amp;装备!N135&amp;"'")</f>
        <v>0</v>
      </c>
      <c r="N206" s="19">
        <f>IF(装备!O135=0,0,"'"&amp;装备!O135&amp;"'")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装备!A136</f>
        <v>0</v>
      </c>
      <c r="B207" s="19" t="str">
        <f>"'"&amp;装备!B136&amp;"'"</f>
        <v>''</v>
      </c>
      <c r="C207" s="19">
        <f>装备!J136</f>
        <v>0</v>
      </c>
      <c r="D207" s="19">
        <f>装备!K136</f>
        <v>0</v>
      </c>
      <c r="E207" s="19">
        <f>装备!L136</f>
        <v>0</v>
      </c>
      <c r="F207" s="19">
        <f>装备!M136</f>
        <v>0</v>
      </c>
      <c r="G207" s="19">
        <f>装备!N136</f>
        <v>0</v>
      </c>
      <c r="H207" s="19">
        <f>装备!O136</f>
        <v>0</v>
      </c>
      <c r="I207" s="19">
        <f>IF(装备!J136=0,0,"'"&amp;装备!J136&amp;"'")</f>
        <v>0</v>
      </c>
      <c r="J207" s="19">
        <f>IF(装备!K136=0,0,"'"&amp;装备!K136&amp;"'")</f>
        <v>0</v>
      </c>
      <c r="K207" s="19">
        <f>IF(装备!L136=0,0,"'"&amp;装备!L136&amp;"'")</f>
        <v>0</v>
      </c>
      <c r="L207" s="19">
        <f>IF(装备!M136=0,0,"'"&amp;装备!M136&amp;"'")</f>
        <v>0</v>
      </c>
      <c r="M207" s="19">
        <f>IF(装备!N136=0,0,"'"&amp;装备!N136&amp;"'")</f>
        <v>0</v>
      </c>
      <c r="N207" s="19">
        <f>IF(装备!O136=0,0,"'"&amp;装备!O136&amp;"'")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装备!A137</f>
        <v>0</v>
      </c>
      <c r="B208" s="19" t="str">
        <f>"'"&amp;装备!B137&amp;"'"</f>
        <v>''</v>
      </c>
      <c r="C208" s="19">
        <f>装备!J137</f>
        <v>0</v>
      </c>
      <c r="D208" s="19">
        <f>装备!K137</f>
        <v>0</v>
      </c>
      <c r="E208" s="19">
        <f>装备!L137</f>
        <v>0</v>
      </c>
      <c r="F208" s="19">
        <f>装备!M137</f>
        <v>0</v>
      </c>
      <c r="G208" s="19">
        <f>装备!N137</f>
        <v>0</v>
      </c>
      <c r="H208" s="19">
        <f>装备!O137</f>
        <v>0</v>
      </c>
      <c r="I208" s="19">
        <f>IF(装备!J137=0,0,"'"&amp;装备!J137&amp;"'")</f>
        <v>0</v>
      </c>
      <c r="J208" s="19">
        <f>IF(装备!K137=0,0,"'"&amp;装备!K137&amp;"'")</f>
        <v>0</v>
      </c>
      <c r="K208" s="19">
        <f>IF(装备!L137=0,0,"'"&amp;装备!L137&amp;"'")</f>
        <v>0</v>
      </c>
      <c r="L208" s="19">
        <f>IF(装备!M137=0,0,"'"&amp;装备!M137&amp;"'")</f>
        <v>0</v>
      </c>
      <c r="M208" s="19">
        <f>IF(装备!N137=0,0,"'"&amp;装备!N137&amp;"'")</f>
        <v>0</v>
      </c>
      <c r="N208" s="19">
        <f>IF(装备!O137=0,0,"'"&amp;装备!O137&amp;"'")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装备!A138</f>
        <v>0</v>
      </c>
      <c r="B209" s="19" t="str">
        <f>"'"&amp;装备!B138&amp;"'"</f>
        <v>''</v>
      </c>
      <c r="C209" s="19">
        <f>装备!J138</f>
        <v>0</v>
      </c>
      <c r="D209" s="19">
        <f>装备!K138</f>
        <v>0</v>
      </c>
      <c r="E209" s="19">
        <f>装备!L138</f>
        <v>0</v>
      </c>
      <c r="F209" s="19">
        <f>装备!M138</f>
        <v>0</v>
      </c>
      <c r="G209" s="19">
        <f>装备!N138</f>
        <v>0</v>
      </c>
      <c r="H209" s="19">
        <f>装备!O138</f>
        <v>0</v>
      </c>
      <c r="I209" s="19">
        <f>IF(装备!J138=0,0,"'"&amp;装备!J138&amp;"'")</f>
        <v>0</v>
      </c>
      <c r="J209" s="19">
        <f>IF(装备!K138=0,0,"'"&amp;装备!K138&amp;"'")</f>
        <v>0</v>
      </c>
      <c r="K209" s="19">
        <f>IF(装备!L138=0,0,"'"&amp;装备!L138&amp;"'")</f>
        <v>0</v>
      </c>
      <c r="L209" s="19">
        <f>IF(装备!M138=0,0,"'"&amp;装备!M138&amp;"'")</f>
        <v>0</v>
      </c>
      <c r="M209" s="19">
        <f>IF(装备!N138=0,0,"'"&amp;装备!N138&amp;"'")</f>
        <v>0</v>
      </c>
      <c r="N209" s="19">
        <f>IF(装备!O138=0,0,"'"&amp;装备!O138&amp;"'")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装备!A139</f>
        <v>0</v>
      </c>
      <c r="B210" s="19" t="str">
        <f>"'"&amp;装备!B139&amp;"'"</f>
        <v>''</v>
      </c>
      <c r="C210" s="19">
        <f>装备!J139</f>
        <v>0</v>
      </c>
      <c r="D210" s="19">
        <f>装备!K139</f>
        <v>0</v>
      </c>
      <c r="E210" s="19">
        <f>装备!L139</f>
        <v>0</v>
      </c>
      <c r="F210" s="19">
        <f>装备!M139</f>
        <v>0</v>
      </c>
      <c r="G210" s="19">
        <f>装备!N139</f>
        <v>0</v>
      </c>
      <c r="H210" s="19">
        <f>装备!O139</f>
        <v>0</v>
      </c>
      <c r="I210" s="19">
        <f>IF(装备!J139=0,0,"'"&amp;装备!J139&amp;"'")</f>
        <v>0</v>
      </c>
      <c r="J210" s="19">
        <f>IF(装备!K139=0,0,"'"&amp;装备!K139&amp;"'")</f>
        <v>0</v>
      </c>
      <c r="K210" s="19">
        <f>IF(装备!L139=0,0,"'"&amp;装备!L139&amp;"'")</f>
        <v>0</v>
      </c>
      <c r="L210" s="19">
        <f>IF(装备!M139=0,0,"'"&amp;装备!M139&amp;"'")</f>
        <v>0</v>
      </c>
      <c r="M210" s="19">
        <f>IF(装备!N139=0,0,"'"&amp;装备!N139&amp;"'")</f>
        <v>0</v>
      </c>
      <c r="N210" s="19">
        <f>IF(装备!O139=0,0,"'"&amp;装备!O139&amp;"'")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装备!A140</f>
        <v>0</v>
      </c>
      <c r="B211" s="19" t="str">
        <f>"'"&amp;装备!B140&amp;"'"</f>
        <v>''</v>
      </c>
      <c r="C211" s="19">
        <f>装备!J140</f>
        <v>0</v>
      </c>
      <c r="D211" s="19">
        <f>装备!K140</f>
        <v>0</v>
      </c>
      <c r="E211" s="19">
        <f>装备!L140</f>
        <v>0</v>
      </c>
      <c r="F211" s="19">
        <f>装备!M140</f>
        <v>0</v>
      </c>
      <c r="G211" s="19">
        <f>装备!N140</f>
        <v>0</v>
      </c>
      <c r="H211" s="19">
        <f>装备!O140</f>
        <v>0</v>
      </c>
      <c r="I211" s="19">
        <f>IF(装备!J140=0,0,"'"&amp;装备!J140&amp;"'")</f>
        <v>0</v>
      </c>
      <c r="J211" s="19">
        <f>IF(装备!K140=0,0,"'"&amp;装备!K140&amp;"'")</f>
        <v>0</v>
      </c>
      <c r="K211" s="19">
        <f>IF(装备!L140=0,0,"'"&amp;装备!L140&amp;"'")</f>
        <v>0</v>
      </c>
      <c r="L211" s="19">
        <f>IF(装备!M140=0,0,"'"&amp;装备!M140&amp;"'")</f>
        <v>0</v>
      </c>
      <c r="M211" s="19">
        <f>IF(装备!N140=0,0,"'"&amp;装备!N140&amp;"'")</f>
        <v>0</v>
      </c>
      <c r="N211" s="19">
        <f>IF(装备!O140=0,0,"'"&amp;装备!O140&amp;"'")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装备!A141</f>
        <v>0</v>
      </c>
      <c r="B212" s="19" t="str">
        <f>"'"&amp;装备!B141&amp;"'"</f>
        <v>''</v>
      </c>
      <c r="C212" s="19">
        <f>装备!J141</f>
        <v>0</v>
      </c>
      <c r="D212" s="19">
        <f>装备!K141</f>
        <v>0</v>
      </c>
      <c r="E212" s="19">
        <f>装备!L141</f>
        <v>0</v>
      </c>
      <c r="F212" s="19">
        <f>装备!M141</f>
        <v>0</v>
      </c>
      <c r="G212" s="19">
        <f>装备!N141</f>
        <v>0</v>
      </c>
      <c r="H212" s="19">
        <f>装备!O141</f>
        <v>0</v>
      </c>
      <c r="I212" s="19">
        <f>IF(装备!J141=0,0,"'"&amp;装备!J141&amp;"'")</f>
        <v>0</v>
      </c>
      <c r="J212" s="19">
        <f>IF(装备!K141=0,0,"'"&amp;装备!K141&amp;"'")</f>
        <v>0</v>
      </c>
      <c r="K212" s="19">
        <f>IF(装备!L141=0,0,"'"&amp;装备!L141&amp;"'")</f>
        <v>0</v>
      </c>
      <c r="L212" s="19">
        <f>IF(装备!M141=0,0,"'"&amp;装备!M141&amp;"'")</f>
        <v>0</v>
      </c>
      <c r="M212" s="19">
        <f>IF(装备!N141=0,0,"'"&amp;装备!N141&amp;"'")</f>
        <v>0</v>
      </c>
      <c r="N212" s="19">
        <f>IF(装备!O141=0,0,"'"&amp;装备!O141&amp;"'")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装备!A142</f>
        <v>0</v>
      </c>
      <c r="B213" s="19" t="str">
        <f>"'"&amp;装备!B142&amp;"'"</f>
        <v>''</v>
      </c>
      <c r="C213" s="19">
        <f>装备!J142</f>
        <v>0</v>
      </c>
      <c r="D213" s="19">
        <f>装备!K142</f>
        <v>0</v>
      </c>
      <c r="E213" s="19">
        <f>装备!L142</f>
        <v>0</v>
      </c>
      <c r="F213" s="19">
        <f>装备!M142</f>
        <v>0</v>
      </c>
      <c r="G213" s="19">
        <f>装备!N142</f>
        <v>0</v>
      </c>
      <c r="H213" s="19">
        <f>装备!O142</f>
        <v>0</v>
      </c>
      <c r="I213" s="19">
        <f>IF(装备!J142=0,0,"'"&amp;装备!J142&amp;"'")</f>
        <v>0</v>
      </c>
      <c r="J213" s="19">
        <f>IF(装备!K142=0,0,"'"&amp;装备!K142&amp;"'")</f>
        <v>0</v>
      </c>
      <c r="K213" s="19">
        <f>IF(装备!L142=0,0,"'"&amp;装备!L142&amp;"'")</f>
        <v>0</v>
      </c>
      <c r="L213" s="19">
        <f>IF(装备!M142=0,0,"'"&amp;装备!M142&amp;"'")</f>
        <v>0</v>
      </c>
      <c r="M213" s="19">
        <f>IF(装备!N142=0,0,"'"&amp;装备!N142&amp;"'")</f>
        <v>0</v>
      </c>
      <c r="N213" s="19">
        <f>IF(装备!O142=0,0,"'"&amp;装备!O142&amp;"'")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装备!A143</f>
        <v>0</v>
      </c>
      <c r="B214" s="19" t="str">
        <f>"'"&amp;装备!B143&amp;"'"</f>
        <v>''</v>
      </c>
      <c r="C214" s="19">
        <f>装备!J143</f>
        <v>0</v>
      </c>
      <c r="D214" s="19">
        <f>装备!K143</f>
        <v>0</v>
      </c>
      <c r="E214" s="19">
        <f>装备!L143</f>
        <v>0</v>
      </c>
      <c r="F214" s="19">
        <f>装备!M143</f>
        <v>0</v>
      </c>
      <c r="G214" s="19">
        <f>装备!N143</f>
        <v>0</v>
      </c>
      <c r="H214" s="19">
        <f>装备!O143</f>
        <v>0</v>
      </c>
      <c r="I214" s="19">
        <f>IF(装备!J143=0,0,"'"&amp;装备!J143&amp;"'")</f>
        <v>0</v>
      </c>
      <c r="J214" s="19">
        <f>IF(装备!K143=0,0,"'"&amp;装备!K143&amp;"'")</f>
        <v>0</v>
      </c>
      <c r="K214" s="19">
        <f>IF(装备!L143=0,0,"'"&amp;装备!L143&amp;"'")</f>
        <v>0</v>
      </c>
      <c r="L214" s="19">
        <f>IF(装备!M143=0,0,"'"&amp;装备!M143&amp;"'")</f>
        <v>0</v>
      </c>
      <c r="M214" s="19">
        <f>IF(装备!N143=0,0,"'"&amp;装备!N143&amp;"'")</f>
        <v>0</v>
      </c>
      <c r="N214" s="19">
        <f>IF(装备!O143=0,0,"'"&amp;装备!O143&amp;"'")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装备!A144</f>
        <v>0</v>
      </c>
      <c r="B215" s="19" t="str">
        <f>"'"&amp;装备!B144&amp;"'"</f>
        <v>''</v>
      </c>
      <c r="C215" s="19">
        <f>装备!J144</f>
        <v>0</v>
      </c>
      <c r="D215" s="19">
        <f>装备!K144</f>
        <v>0</v>
      </c>
      <c r="E215" s="19">
        <f>装备!L144</f>
        <v>0</v>
      </c>
      <c r="F215" s="19">
        <f>装备!M144</f>
        <v>0</v>
      </c>
      <c r="G215" s="19">
        <f>装备!N144</f>
        <v>0</v>
      </c>
      <c r="H215" s="19">
        <f>装备!O144</f>
        <v>0</v>
      </c>
      <c r="I215" s="19">
        <f>IF(装备!J144=0,0,"'"&amp;装备!J144&amp;"'")</f>
        <v>0</v>
      </c>
      <c r="J215" s="19">
        <f>IF(装备!K144=0,0,"'"&amp;装备!K144&amp;"'")</f>
        <v>0</v>
      </c>
      <c r="K215" s="19">
        <f>IF(装备!L144=0,0,"'"&amp;装备!L144&amp;"'")</f>
        <v>0</v>
      </c>
      <c r="L215" s="19">
        <f>IF(装备!M144=0,0,"'"&amp;装备!M144&amp;"'")</f>
        <v>0</v>
      </c>
      <c r="M215" s="19">
        <f>IF(装备!N144=0,0,"'"&amp;装备!N144&amp;"'")</f>
        <v>0</v>
      </c>
      <c r="N215" s="19">
        <f>IF(装备!O144=0,0,"'"&amp;装备!O144&amp;"'")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装备!A145</f>
        <v>0</v>
      </c>
      <c r="B216" s="19" t="str">
        <f>"'"&amp;装备!B145&amp;"'"</f>
        <v>''</v>
      </c>
      <c r="C216" s="19">
        <f>装备!J145</f>
        <v>0</v>
      </c>
      <c r="D216" s="19">
        <f>装备!K145</f>
        <v>0</v>
      </c>
      <c r="E216" s="19">
        <f>装备!L145</f>
        <v>0</v>
      </c>
      <c r="F216" s="19">
        <f>装备!M145</f>
        <v>0</v>
      </c>
      <c r="G216" s="19">
        <f>装备!N145</f>
        <v>0</v>
      </c>
      <c r="H216" s="19">
        <f>装备!O145</f>
        <v>0</v>
      </c>
      <c r="I216" s="19">
        <f>IF(装备!J145=0,0,"'"&amp;装备!J145&amp;"'")</f>
        <v>0</v>
      </c>
      <c r="J216" s="19">
        <f>IF(装备!K145=0,0,"'"&amp;装备!K145&amp;"'")</f>
        <v>0</v>
      </c>
      <c r="K216" s="19">
        <f>IF(装备!L145=0,0,"'"&amp;装备!L145&amp;"'")</f>
        <v>0</v>
      </c>
      <c r="L216" s="19">
        <f>IF(装备!M145=0,0,"'"&amp;装备!M145&amp;"'")</f>
        <v>0</v>
      </c>
      <c r="M216" s="19">
        <f>IF(装备!N145=0,0,"'"&amp;装备!N145&amp;"'")</f>
        <v>0</v>
      </c>
      <c r="N216" s="19">
        <f>IF(装备!O145=0,0,"'"&amp;装备!O145&amp;"'")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装备!A146</f>
        <v>0</v>
      </c>
      <c r="B217" s="19" t="str">
        <f>"'"&amp;装备!B146&amp;"'"</f>
        <v>''</v>
      </c>
      <c r="C217" s="19">
        <f>装备!J146</f>
        <v>0</v>
      </c>
      <c r="D217" s="19">
        <f>装备!K146</f>
        <v>0</v>
      </c>
      <c r="E217" s="19">
        <f>装备!L146</f>
        <v>0</v>
      </c>
      <c r="F217" s="19">
        <f>装备!M146</f>
        <v>0</v>
      </c>
      <c r="G217" s="19">
        <f>装备!N146</f>
        <v>0</v>
      </c>
      <c r="H217" s="19">
        <f>装备!O146</f>
        <v>0</v>
      </c>
      <c r="I217" s="19">
        <f>IF(装备!J146=0,0,"'"&amp;装备!J146&amp;"'")</f>
        <v>0</v>
      </c>
      <c r="J217" s="19">
        <f>IF(装备!K146=0,0,"'"&amp;装备!K146&amp;"'")</f>
        <v>0</v>
      </c>
      <c r="K217" s="19">
        <f>IF(装备!L146=0,0,"'"&amp;装备!L146&amp;"'")</f>
        <v>0</v>
      </c>
      <c r="L217" s="19">
        <f>IF(装备!M146=0,0,"'"&amp;装备!M146&amp;"'")</f>
        <v>0</v>
      </c>
      <c r="M217" s="19">
        <f>IF(装备!N146=0,0,"'"&amp;装备!N146&amp;"'")</f>
        <v>0</v>
      </c>
      <c r="N217" s="19">
        <f>IF(装备!O146=0,0,"'"&amp;装备!O146&amp;"'")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装备!A147</f>
        <v>0</v>
      </c>
      <c r="B218" s="19" t="str">
        <f>"'"&amp;装备!B147&amp;"'"</f>
        <v>''</v>
      </c>
      <c r="C218" s="19">
        <f>装备!J147</f>
        <v>0</v>
      </c>
      <c r="D218" s="19">
        <f>装备!K147</f>
        <v>0</v>
      </c>
      <c r="E218" s="19">
        <f>装备!L147</f>
        <v>0</v>
      </c>
      <c r="F218" s="19">
        <f>装备!M147</f>
        <v>0</v>
      </c>
      <c r="G218" s="19">
        <f>装备!N147</f>
        <v>0</v>
      </c>
      <c r="H218" s="19">
        <f>装备!O147</f>
        <v>0</v>
      </c>
      <c r="I218" s="19">
        <f>IF(装备!J147=0,0,"'"&amp;装备!J147&amp;"'")</f>
        <v>0</v>
      </c>
      <c r="J218" s="19">
        <f>IF(装备!K147=0,0,"'"&amp;装备!K147&amp;"'")</f>
        <v>0</v>
      </c>
      <c r="K218" s="19">
        <f>IF(装备!L147=0,0,"'"&amp;装备!L147&amp;"'")</f>
        <v>0</v>
      </c>
      <c r="L218" s="19">
        <f>IF(装备!M147=0,0,"'"&amp;装备!M147&amp;"'")</f>
        <v>0</v>
      </c>
      <c r="M218" s="19">
        <f>IF(装备!N147=0,0,"'"&amp;装备!N147&amp;"'")</f>
        <v>0</v>
      </c>
      <c r="N218" s="19">
        <f>IF(装备!O147=0,0,"'"&amp;装备!O147&amp;"'")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装备!A148</f>
        <v>0</v>
      </c>
      <c r="B219" s="19" t="str">
        <f>"'"&amp;装备!B148&amp;"'"</f>
        <v>''</v>
      </c>
      <c r="C219" s="19">
        <f>装备!J148</f>
        <v>0</v>
      </c>
      <c r="D219" s="19">
        <f>装备!K148</f>
        <v>0</v>
      </c>
      <c r="E219" s="19">
        <f>装备!L148</f>
        <v>0</v>
      </c>
      <c r="F219" s="19">
        <f>装备!M148</f>
        <v>0</v>
      </c>
      <c r="G219" s="19">
        <f>装备!N148</f>
        <v>0</v>
      </c>
      <c r="H219" s="19">
        <f>装备!O148</f>
        <v>0</v>
      </c>
      <c r="I219" s="19">
        <f>IF(装备!J148=0,0,"'"&amp;装备!J148&amp;"'")</f>
        <v>0</v>
      </c>
      <c r="J219" s="19">
        <f>IF(装备!K148=0,0,"'"&amp;装备!K148&amp;"'")</f>
        <v>0</v>
      </c>
      <c r="K219" s="19">
        <f>IF(装备!L148=0,0,"'"&amp;装备!L148&amp;"'")</f>
        <v>0</v>
      </c>
      <c r="L219" s="19">
        <f>IF(装备!M148=0,0,"'"&amp;装备!M148&amp;"'")</f>
        <v>0</v>
      </c>
      <c r="M219" s="19">
        <f>IF(装备!N148=0,0,"'"&amp;装备!N148&amp;"'")</f>
        <v>0</v>
      </c>
      <c r="N219" s="19">
        <f>IF(装备!O148=0,0,"'"&amp;装备!O148&amp;"'")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装备!A149</f>
        <v>0</v>
      </c>
      <c r="B220" s="19" t="str">
        <f>"'"&amp;装备!B149&amp;"'"</f>
        <v>''</v>
      </c>
      <c r="C220" s="19">
        <f>装备!J149</f>
        <v>0</v>
      </c>
      <c r="D220" s="19">
        <f>装备!K149</f>
        <v>0</v>
      </c>
      <c r="E220" s="19">
        <f>装备!L149</f>
        <v>0</v>
      </c>
      <c r="F220" s="19">
        <f>装备!M149</f>
        <v>0</v>
      </c>
      <c r="G220" s="19">
        <f>装备!N149</f>
        <v>0</v>
      </c>
      <c r="H220" s="19">
        <f>装备!O149</f>
        <v>0</v>
      </c>
      <c r="I220" s="19">
        <f>IF(装备!J149=0,0,"'"&amp;装备!J149&amp;"'")</f>
        <v>0</v>
      </c>
      <c r="J220" s="19">
        <f>IF(装备!K149=0,0,"'"&amp;装备!K149&amp;"'")</f>
        <v>0</v>
      </c>
      <c r="K220" s="19">
        <f>IF(装备!L149=0,0,"'"&amp;装备!L149&amp;"'")</f>
        <v>0</v>
      </c>
      <c r="L220" s="19">
        <f>IF(装备!M149=0,0,"'"&amp;装备!M149&amp;"'")</f>
        <v>0</v>
      </c>
      <c r="M220" s="19">
        <f>IF(装备!N149=0,0,"'"&amp;装备!N149&amp;"'")</f>
        <v>0</v>
      </c>
      <c r="N220" s="19">
        <f>IF(装备!O149=0,0,"'"&amp;装备!O149&amp;"'")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装备!A150</f>
        <v>0</v>
      </c>
      <c r="B221" s="19" t="str">
        <f>"'"&amp;装备!B150&amp;"'"</f>
        <v>''</v>
      </c>
      <c r="C221" s="19">
        <f>装备!J150</f>
        <v>0</v>
      </c>
      <c r="D221" s="19">
        <f>装备!K150</f>
        <v>0</v>
      </c>
      <c r="E221" s="19">
        <f>装备!L150</f>
        <v>0</v>
      </c>
      <c r="F221" s="19">
        <f>装备!M150</f>
        <v>0</v>
      </c>
      <c r="G221" s="19">
        <f>装备!N150</f>
        <v>0</v>
      </c>
      <c r="H221" s="19">
        <f>装备!O150</f>
        <v>0</v>
      </c>
      <c r="I221" s="19">
        <f>IF(装备!J150=0,0,"'"&amp;装备!J150&amp;"'")</f>
        <v>0</v>
      </c>
      <c r="J221" s="19">
        <f>IF(装备!K150=0,0,"'"&amp;装备!K150&amp;"'")</f>
        <v>0</v>
      </c>
      <c r="K221" s="19">
        <f>IF(装备!L150=0,0,"'"&amp;装备!L150&amp;"'")</f>
        <v>0</v>
      </c>
      <c r="L221" s="19">
        <f>IF(装备!M150=0,0,"'"&amp;装备!M150&amp;"'")</f>
        <v>0</v>
      </c>
      <c r="M221" s="19">
        <f>IF(装备!N150=0,0,"'"&amp;装备!N150&amp;"'")</f>
        <v>0</v>
      </c>
      <c r="N221" s="19">
        <f>IF(装备!O150=0,0,"'"&amp;装备!O150&amp;"'")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装备!A151</f>
        <v>0</v>
      </c>
      <c r="B222" s="19" t="str">
        <f>"'"&amp;装备!B151&amp;"'"</f>
        <v>''</v>
      </c>
      <c r="C222" s="19">
        <f>装备!J151</f>
        <v>0</v>
      </c>
      <c r="D222" s="19">
        <f>装备!K151</f>
        <v>0</v>
      </c>
      <c r="E222" s="19">
        <f>装备!L151</f>
        <v>0</v>
      </c>
      <c r="F222" s="19">
        <f>装备!M151</f>
        <v>0</v>
      </c>
      <c r="G222" s="19">
        <f>装备!N151</f>
        <v>0</v>
      </c>
      <c r="H222" s="19">
        <f>装备!O151</f>
        <v>0</v>
      </c>
      <c r="I222" s="19">
        <f>IF(装备!J151=0,0,"'"&amp;装备!J151&amp;"'")</f>
        <v>0</v>
      </c>
      <c r="J222" s="19">
        <f>IF(装备!K151=0,0,"'"&amp;装备!K151&amp;"'")</f>
        <v>0</v>
      </c>
      <c r="K222" s="19">
        <f>IF(装备!L151=0,0,"'"&amp;装备!L151&amp;"'")</f>
        <v>0</v>
      </c>
      <c r="L222" s="19">
        <f>IF(装备!M151=0,0,"'"&amp;装备!M151&amp;"'")</f>
        <v>0</v>
      </c>
      <c r="M222" s="19">
        <f>IF(装备!N151=0,0,"'"&amp;装备!N151&amp;"'")</f>
        <v>0</v>
      </c>
      <c r="N222" s="19">
        <f>IF(装备!O151=0,0,"'"&amp;装备!O151&amp;"'")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装备!A152</f>
        <v>0</v>
      </c>
      <c r="B223" s="19" t="str">
        <f>"'"&amp;装备!B152&amp;"'"</f>
        <v>''</v>
      </c>
      <c r="C223" s="19">
        <f>装备!J152</f>
        <v>0</v>
      </c>
      <c r="D223" s="19">
        <f>装备!K152</f>
        <v>0</v>
      </c>
      <c r="E223" s="19">
        <f>装备!L152</f>
        <v>0</v>
      </c>
      <c r="F223" s="19">
        <f>装备!M152</f>
        <v>0</v>
      </c>
      <c r="G223" s="19">
        <f>装备!N152</f>
        <v>0</v>
      </c>
      <c r="H223" s="19">
        <f>装备!O152</f>
        <v>0</v>
      </c>
      <c r="I223" s="19">
        <f>IF(装备!J152=0,0,"'"&amp;装备!J152&amp;"'")</f>
        <v>0</v>
      </c>
      <c r="J223" s="19">
        <f>IF(装备!K152=0,0,"'"&amp;装备!K152&amp;"'")</f>
        <v>0</v>
      </c>
      <c r="K223" s="19">
        <f>IF(装备!L152=0,0,"'"&amp;装备!L152&amp;"'")</f>
        <v>0</v>
      </c>
      <c r="L223" s="19">
        <f>IF(装备!M152=0,0,"'"&amp;装备!M152&amp;"'")</f>
        <v>0</v>
      </c>
      <c r="M223" s="19">
        <f>IF(装备!N152=0,0,"'"&amp;装备!N152&amp;"'")</f>
        <v>0</v>
      </c>
      <c r="N223" s="19">
        <f>IF(装备!O152=0,0,"'"&amp;装备!O152&amp;"'")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装备!A153</f>
        <v>0</v>
      </c>
      <c r="B224" s="19" t="str">
        <f>"'"&amp;装备!B153&amp;"'"</f>
        <v>''</v>
      </c>
      <c r="C224" s="19">
        <f>装备!J153</f>
        <v>0</v>
      </c>
      <c r="D224" s="19">
        <f>装备!K153</f>
        <v>0</v>
      </c>
      <c r="E224" s="19">
        <f>装备!L153</f>
        <v>0</v>
      </c>
      <c r="F224" s="19">
        <f>装备!M153</f>
        <v>0</v>
      </c>
      <c r="G224" s="19">
        <f>装备!N153</f>
        <v>0</v>
      </c>
      <c r="H224" s="19">
        <f>装备!O153</f>
        <v>0</v>
      </c>
      <c r="I224" s="19">
        <f>IF(装备!J153=0,0,"'"&amp;装备!J153&amp;"'")</f>
        <v>0</v>
      </c>
      <c r="J224" s="19">
        <f>IF(装备!K153=0,0,"'"&amp;装备!K153&amp;"'")</f>
        <v>0</v>
      </c>
      <c r="K224" s="19">
        <f>IF(装备!L153=0,0,"'"&amp;装备!L153&amp;"'")</f>
        <v>0</v>
      </c>
      <c r="L224" s="19">
        <f>IF(装备!M153=0,0,"'"&amp;装备!M153&amp;"'")</f>
        <v>0</v>
      </c>
      <c r="M224" s="19">
        <f>IF(装备!N153=0,0,"'"&amp;装备!N153&amp;"'")</f>
        <v>0</v>
      </c>
      <c r="N224" s="19">
        <f>IF(装备!O153=0,0,"'"&amp;装备!O153&amp;"'")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装备!A154</f>
        <v>0</v>
      </c>
      <c r="B225" s="19" t="str">
        <f>"'"&amp;装备!B154&amp;"'"</f>
        <v>''</v>
      </c>
      <c r="C225" s="19">
        <f>装备!J154</f>
        <v>0</v>
      </c>
      <c r="D225" s="19">
        <f>装备!K154</f>
        <v>0</v>
      </c>
      <c r="E225" s="19">
        <f>装备!L154</f>
        <v>0</v>
      </c>
      <c r="F225" s="19">
        <f>装备!M154</f>
        <v>0</v>
      </c>
      <c r="G225" s="19">
        <f>装备!N154</f>
        <v>0</v>
      </c>
      <c r="H225" s="19">
        <f>装备!O154</f>
        <v>0</v>
      </c>
      <c r="I225" s="19">
        <f>IF(装备!J154=0,0,"'"&amp;装备!J154&amp;"'")</f>
        <v>0</v>
      </c>
      <c r="J225" s="19">
        <f>IF(装备!K154=0,0,"'"&amp;装备!K154&amp;"'")</f>
        <v>0</v>
      </c>
      <c r="K225" s="19">
        <f>IF(装备!L154=0,0,"'"&amp;装备!L154&amp;"'")</f>
        <v>0</v>
      </c>
      <c r="L225" s="19">
        <f>IF(装备!M154=0,0,"'"&amp;装备!M154&amp;"'")</f>
        <v>0</v>
      </c>
      <c r="M225" s="19">
        <f>IF(装备!N154=0,0,"'"&amp;装备!N154&amp;"'")</f>
        <v>0</v>
      </c>
      <c r="N225" s="19">
        <f>IF(装备!O154=0,0,"'"&amp;装备!O154&amp;"'")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装备!A155</f>
        <v>0</v>
      </c>
      <c r="B226" s="19" t="str">
        <f>"'"&amp;装备!B155&amp;"'"</f>
        <v>''</v>
      </c>
      <c r="C226" s="19">
        <f>装备!J155</f>
        <v>0</v>
      </c>
      <c r="D226" s="19">
        <f>装备!K155</f>
        <v>0</v>
      </c>
      <c r="E226" s="19">
        <f>装备!L155</f>
        <v>0</v>
      </c>
      <c r="F226" s="19">
        <f>装备!M155</f>
        <v>0</v>
      </c>
      <c r="G226" s="19">
        <f>装备!N155</f>
        <v>0</v>
      </c>
      <c r="H226" s="19">
        <f>装备!O155</f>
        <v>0</v>
      </c>
      <c r="I226" s="19">
        <f>IF(装备!J155=0,0,"'"&amp;装备!J155&amp;"'")</f>
        <v>0</v>
      </c>
      <c r="J226" s="19">
        <f>IF(装备!K155=0,0,"'"&amp;装备!K155&amp;"'")</f>
        <v>0</v>
      </c>
      <c r="K226" s="19">
        <f>IF(装备!L155=0,0,"'"&amp;装备!L155&amp;"'")</f>
        <v>0</v>
      </c>
      <c r="L226" s="19">
        <f>IF(装备!M155=0,0,"'"&amp;装备!M155&amp;"'")</f>
        <v>0</v>
      </c>
      <c r="M226" s="19">
        <f>IF(装备!N155=0,0,"'"&amp;装备!N155&amp;"'")</f>
        <v>0</v>
      </c>
      <c r="N226" s="19">
        <f>IF(装备!O155=0,0,"'"&amp;装备!O155&amp;"'")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装备!A156</f>
        <v>0</v>
      </c>
      <c r="B227" s="19" t="str">
        <f>"'"&amp;装备!B156&amp;"'"</f>
        <v>''</v>
      </c>
      <c r="C227" s="19">
        <f>装备!J156</f>
        <v>0</v>
      </c>
      <c r="D227" s="19">
        <f>装备!K156</f>
        <v>0</v>
      </c>
      <c r="E227" s="19">
        <f>装备!L156</f>
        <v>0</v>
      </c>
      <c r="F227" s="19">
        <f>装备!M156</f>
        <v>0</v>
      </c>
      <c r="G227" s="19">
        <f>装备!N156</f>
        <v>0</v>
      </c>
      <c r="H227" s="19">
        <f>装备!O156</f>
        <v>0</v>
      </c>
      <c r="I227" s="19">
        <f>IF(装备!J156=0,0,"'"&amp;装备!J156&amp;"'")</f>
        <v>0</v>
      </c>
      <c r="J227" s="19">
        <f>IF(装备!K156=0,0,"'"&amp;装备!K156&amp;"'")</f>
        <v>0</v>
      </c>
      <c r="K227" s="19">
        <f>IF(装备!L156=0,0,"'"&amp;装备!L156&amp;"'")</f>
        <v>0</v>
      </c>
      <c r="L227" s="19">
        <f>IF(装备!M156=0,0,"'"&amp;装备!M156&amp;"'")</f>
        <v>0</v>
      </c>
      <c r="M227" s="19">
        <f>IF(装备!N156=0,0,"'"&amp;装备!N156&amp;"'")</f>
        <v>0</v>
      </c>
      <c r="N227" s="19">
        <f>IF(装备!O156=0,0,"'"&amp;装备!O156&amp;"'")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装备!A157</f>
        <v>0</v>
      </c>
      <c r="B228" s="19" t="str">
        <f>"'"&amp;装备!B157&amp;"'"</f>
        <v>''</v>
      </c>
      <c r="C228" s="19">
        <f>装备!J157</f>
        <v>0</v>
      </c>
      <c r="D228" s="19">
        <f>装备!K157</f>
        <v>0</v>
      </c>
      <c r="E228" s="19">
        <f>装备!L157</f>
        <v>0</v>
      </c>
      <c r="F228" s="19">
        <f>装备!M157</f>
        <v>0</v>
      </c>
      <c r="G228" s="19">
        <f>装备!N157</f>
        <v>0</v>
      </c>
      <c r="H228" s="19">
        <f>装备!O157</f>
        <v>0</v>
      </c>
      <c r="I228" s="19">
        <f>IF(装备!J157=0,0,"'"&amp;装备!J157&amp;"'")</f>
        <v>0</v>
      </c>
      <c r="J228" s="19">
        <f>IF(装备!K157=0,0,"'"&amp;装备!K157&amp;"'")</f>
        <v>0</v>
      </c>
      <c r="K228" s="19">
        <f>IF(装备!L157=0,0,"'"&amp;装备!L157&amp;"'")</f>
        <v>0</v>
      </c>
      <c r="L228" s="19">
        <f>IF(装备!M157=0,0,"'"&amp;装备!M157&amp;"'")</f>
        <v>0</v>
      </c>
      <c r="M228" s="19">
        <f>IF(装备!N157=0,0,"'"&amp;装备!N157&amp;"'")</f>
        <v>0</v>
      </c>
      <c r="N228" s="19">
        <f>IF(装备!O157=0,0,"'"&amp;装备!O157&amp;"'")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装备!A158</f>
        <v>0</v>
      </c>
      <c r="B229" s="19" t="str">
        <f>"'"&amp;装备!B158&amp;"'"</f>
        <v>''</v>
      </c>
      <c r="C229" s="19">
        <f>装备!J158</f>
        <v>0</v>
      </c>
      <c r="D229" s="19">
        <f>装备!K158</f>
        <v>0</v>
      </c>
      <c r="E229" s="19">
        <f>装备!L158</f>
        <v>0</v>
      </c>
      <c r="F229" s="19">
        <f>装备!M158</f>
        <v>0</v>
      </c>
      <c r="G229" s="19">
        <f>装备!N158</f>
        <v>0</v>
      </c>
      <c r="H229" s="19">
        <f>装备!O158</f>
        <v>0</v>
      </c>
      <c r="I229" s="19">
        <f>IF(装备!J158=0,0,"'"&amp;装备!J158&amp;"'")</f>
        <v>0</v>
      </c>
      <c r="J229" s="19">
        <f>IF(装备!K158=0,0,"'"&amp;装备!K158&amp;"'")</f>
        <v>0</v>
      </c>
      <c r="K229" s="19">
        <f>IF(装备!L158=0,0,"'"&amp;装备!L158&amp;"'")</f>
        <v>0</v>
      </c>
      <c r="L229" s="19">
        <f>IF(装备!M158=0,0,"'"&amp;装备!M158&amp;"'")</f>
        <v>0</v>
      </c>
      <c r="M229" s="19">
        <f>IF(装备!N158=0,0,"'"&amp;装备!N158&amp;"'")</f>
        <v>0</v>
      </c>
      <c r="N229" s="19">
        <f>IF(装备!O158=0,0,"'"&amp;装备!O158&amp;"'")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装备!A159</f>
        <v>0</v>
      </c>
      <c r="B230" s="19" t="str">
        <f>"'"&amp;装备!B159&amp;"'"</f>
        <v>''</v>
      </c>
      <c r="C230" s="19">
        <f>装备!J159</f>
        <v>0</v>
      </c>
      <c r="D230" s="19">
        <f>装备!K159</f>
        <v>0</v>
      </c>
      <c r="E230" s="19">
        <f>装备!L159</f>
        <v>0</v>
      </c>
      <c r="F230" s="19">
        <f>装备!M159</f>
        <v>0</v>
      </c>
      <c r="G230" s="19">
        <f>装备!N159</f>
        <v>0</v>
      </c>
      <c r="H230" s="19">
        <f>装备!O159</f>
        <v>0</v>
      </c>
      <c r="I230" s="19">
        <f>IF(装备!J159=0,0,"'"&amp;装备!J159&amp;"'")</f>
        <v>0</v>
      </c>
      <c r="J230" s="19">
        <f>IF(装备!K159=0,0,"'"&amp;装备!K159&amp;"'")</f>
        <v>0</v>
      </c>
      <c r="K230" s="19">
        <f>IF(装备!L159=0,0,"'"&amp;装备!L159&amp;"'")</f>
        <v>0</v>
      </c>
      <c r="L230" s="19">
        <f>IF(装备!M159=0,0,"'"&amp;装备!M159&amp;"'")</f>
        <v>0</v>
      </c>
      <c r="M230" s="19">
        <f>IF(装备!N159=0,0,"'"&amp;装备!N159&amp;"'")</f>
        <v>0</v>
      </c>
      <c r="N230" s="19">
        <f>IF(装备!O159=0,0,"'"&amp;装备!O159&amp;"'")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装备!A160</f>
        <v>0</v>
      </c>
      <c r="B231" s="19" t="str">
        <f>"'"&amp;装备!B160&amp;"'"</f>
        <v>''</v>
      </c>
      <c r="C231" s="19">
        <f>装备!J160</f>
        <v>0</v>
      </c>
      <c r="D231" s="19">
        <f>装备!K160</f>
        <v>0</v>
      </c>
      <c r="E231" s="19">
        <f>装备!L160</f>
        <v>0</v>
      </c>
      <c r="F231" s="19">
        <f>装备!M160</f>
        <v>0</v>
      </c>
      <c r="G231" s="19">
        <f>装备!N160</f>
        <v>0</v>
      </c>
      <c r="H231" s="19">
        <f>装备!O160</f>
        <v>0</v>
      </c>
      <c r="I231" s="19">
        <f>IF(装备!J160=0,0,"'"&amp;装备!J160&amp;"'")</f>
        <v>0</v>
      </c>
      <c r="J231" s="19">
        <f>IF(装备!K160=0,0,"'"&amp;装备!K160&amp;"'")</f>
        <v>0</v>
      </c>
      <c r="K231" s="19">
        <f>IF(装备!L160=0,0,"'"&amp;装备!L160&amp;"'")</f>
        <v>0</v>
      </c>
      <c r="L231" s="19">
        <f>IF(装备!M160=0,0,"'"&amp;装备!M160&amp;"'")</f>
        <v>0</v>
      </c>
      <c r="M231" s="19">
        <f>IF(装备!N160=0,0,"'"&amp;装备!N160&amp;"'")</f>
        <v>0</v>
      </c>
      <c r="N231" s="19">
        <f>IF(装备!O160=0,0,"'"&amp;装备!O160&amp;"'")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装备!A161</f>
        <v>0</v>
      </c>
      <c r="B232" s="19" t="str">
        <f>"'"&amp;装备!B161&amp;"'"</f>
        <v>''</v>
      </c>
      <c r="C232" s="19">
        <f>装备!J161</f>
        <v>0</v>
      </c>
      <c r="D232" s="19">
        <f>装备!K161</f>
        <v>0</v>
      </c>
      <c r="E232" s="19">
        <f>装备!L161</f>
        <v>0</v>
      </c>
      <c r="F232" s="19">
        <f>装备!M161</f>
        <v>0</v>
      </c>
      <c r="G232" s="19">
        <f>装备!N161</f>
        <v>0</v>
      </c>
      <c r="H232" s="19">
        <f>装备!O161</f>
        <v>0</v>
      </c>
      <c r="I232" s="19">
        <f>IF(装备!J161=0,0,"'"&amp;装备!J161&amp;"'")</f>
        <v>0</v>
      </c>
      <c r="J232" s="19">
        <f>IF(装备!K161=0,0,"'"&amp;装备!K161&amp;"'")</f>
        <v>0</v>
      </c>
      <c r="K232" s="19">
        <f>IF(装备!L161=0,0,"'"&amp;装备!L161&amp;"'")</f>
        <v>0</v>
      </c>
      <c r="L232" s="19">
        <f>IF(装备!M161=0,0,"'"&amp;装备!M161&amp;"'")</f>
        <v>0</v>
      </c>
      <c r="M232" s="19">
        <f>IF(装备!N161=0,0,"'"&amp;装备!N161&amp;"'")</f>
        <v>0</v>
      </c>
      <c r="N232" s="19">
        <f>IF(装备!O161=0,0,"'"&amp;装备!O161&amp;"'")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装备!A162</f>
        <v>0</v>
      </c>
      <c r="B233" s="19" t="str">
        <f>"'"&amp;装备!B162&amp;"'"</f>
        <v>''</v>
      </c>
      <c r="C233" s="19">
        <f>装备!J162</f>
        <v>0</v>
      </c>
      <c r="D233" s="19">
        <f>装备!K162</f>
        <v>0</v>
      </c>
      <c r="E233" s="19">
        <f>装备!L162</f>
        <v>0</v>
      </c>
      <c r="F233" s="19">
        <f>装备!M162</f>
        <v>0</v>
      </c>
      <c r="G233" s="19">
        <f>装备!N162</f>
        <v>0</v>
      </c>
      <c r="H233" s="19">
        <f>装备!O162</f>
        <v>0</v>
      </c>
      <c r="I233" s="19">
        <f>IF(装备!J162=0,0,"'"&amp;装备!J162&amp;"'")</f>
        <v>0</v>
      </c>
      <c r="J233" s="19">
        <f>IF(装备!K162=0,0,"'"&amp;装备!K162&amp;"'")</f>
        <v>0</v>
      </c>
      <c r="K233" s="19">
        <f>IF(装备!L162=0,0,"'"&amp;装备!L162&amp;"'")</f>
        <v>0</v>
      </c>
      <c r="L233" s="19">
        <f>IF(装备!M162=0,0,"'"&amp;装备!M162&amp;"'")</f>
        <v>0</v>
      </c>
      <c r="M233" s="19">
        <f>IF(装备!N162=0,0,"'"&amp;装备!N162&amp;"'")</f>
        <v>0</v>
      </c>
      <c r="N233" s="19">
        <f>IF(装备!O162=0,0,"'"&amp;装备!O162&amp;"'")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装备!A163</f>
        <v>0</v>
      </c>
      <c r="B234" s="19" t="str">
        <f>"'"&amp;装备!B163&amp;"'"</f>
        <v>''</v>
      </c>
      <c r="C234" s="19">
        <f>装备!J163</f>
        <v>0</v>
      </c>
      <c r="D234" s="19">
        <f>装备!K163</f>
        <v>0</v>
      </c>
      <c r="E234" s="19">
        <f>装备!L163</f>
        <v>0</v>
      </c>
      <c r="F234" s="19">
        <f>装备!M163</f>
        <v>0</v>
      </c>
      <c r="G234" s="19">
        <f>装备!N163</f>
        <v>0</v>
      </c>
      <c r="H234" s="19">
        <f>装备!O163</f>
        <v>0</v>
      </c>
      <c r="I234" s="19">
        <f>IF(装备!J163=0,0,"'"&amp;装备!J163&amp;"'")</f>
        <v>0</v>
      </c>
      <c r="J234" s="19">
        <f>IF(装备!K163=0,0,"'"&amp;装备!K163&amp;"'")</f>
        <v>0</v>
      </c>
      <c r="K234" s="19">
        <f>IF(装备!L163=0,0,"'"&amp;装备!L163&amp;"'")</f>
        <v>0</v>
      </c>
      <c r="L234" s="19">
        <f>IF(装备!M163=0,0,"'"&amp;装备!M163&amp;"'")</f>
        <v>0</v>
      </c>
      <c r="M234" s="19">
        <f>IF(装备!N163=0,0,"'"&amp;装备!N163&amp;"'")</f>
        <v>0</v>
      </c>
      <c r="N234" s="19">
        <f>IF(装备!O163=0,0,"'"&amp;装备!O163&amp;"'")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装备!A164</f>
        <v>0</v>
      </c>
      <c r="B235" s="19" t="str">
        <f>"'"&amp;装备!B164&amp;"'"</f>
        <v>''</v>
      </c>
      <c r="C235" s="19">
        <f>装备!J164</f>
        <v>0</v>
      </c>
      <c r="D235" s="19">
        <f>装备!K164</f>
        <v>0</v>
      </c>
      <c r="E235" s="19">
        <f>装备!L164</f>
        <v>0</v>
      </c>
      <c r="F235" s="19">
        <f>装备!M164</f>
        <v>0</v>
      </c>
      <c r="G235" s="19">
        <f>装备!N164</f>
        <v>0</v>
      </c>
      <c r="H235" s="19">
        <f>装备!O164</f>
        <v>0</v>
      </c>
      <c r="I235" s="19">
        <f>IF(装备!J164=0,0,"'"&amp;装备!J164&amp;"'")</f>
        <v>0</v>
      </c>
      <c r="J235" s="19">
        <f>IF(装备!K164=0,0,"'"&amp;装备!K164&amp;"'")</f>
        <v>0</v>
      </c>
      <c r="K235" s="19">
        <f>IF(装备!L164=0,0,"'"&amp;装备!L164&amp;"'")</f>
        <v>0</v>
      </c>
      <c r="L235" s="19">
        <f>IF(装备!M164=0,0,"'"&amp;装备!M164&amp;"'")</f>
        <v>0</v>
      </c>
      <c r="M235" s="19">
        <f>IF(装备!N164=0,0,"'"&amp;装备!N164&amp;"'")</f>
        <v>0</v>
      </c>
      <c r="N235" s="19">
        <f>IF(装备!O164=0,0,"'"&amp;装备!O164&amp;"'")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装备!A165</f>
        <v>0</v>
      </c>
      <c r="B236" s="19" t="str">
        <f>"'"&amp;装备!B165&amp;"'"</f>
        <v>''</v>
      </c>
      <c r="C236" s="19">
        <f>装备!J165</f>
        <v>0</v>
      </c>
      <c r="D236" s="19">
        <f>装备!K165</f>
        <v>0</v>
      </c>
      <c r="E236" s="19">
        <f>装备!L165</f>
        <v>0</v>
      </c>
      <c r="F236" s="19">
        <f>装备!M165</f>
        <v>0</v>
      </c>
      <c r="G236" s="19">
        <f>装备!N165</f>
        <v>0</v>
      </c>
      <c r="H236" s="19">
        <f>装备!O165</f>
        <v>0</v>
      </c>
      <c r="I236" s="19">
        <f>IF(装备!J165=0,0,"'"&amp;装备!J165&amp;"'")</f>
        <v>0</v>
      </c>
      <c r="J236" s="19">
        <f>IF(装备!K165=0,0,"'"&amp;装备!K165&amp;"'")</f>
        <v>0</v>
      </c>
      <c r="K236" s="19">
        <f>IF(装备!L165=0,0,"'"&amp;装备!L165&amp;"'")</f>
        <v>0</v>
      </c>
      <c r="L236" s="19">
        <f>IF(装备!M165=0,0,"'"&amp;装备!M165&amp;"'")</f>
        <v>0</v>
      </c>
      <c r="M236" s="19">
        <f>IF(装备!N165=0,0,"'"&amp;装备!N165&amp;"'")</f>
        <v>0</v>
      </c>
      <c r="N236" s="19">
        <f>IF(装备!O165=0,0,"'"&amp;装备!O165&amp;"'")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装备!A166</f>
        <v>0</v>
      </c>
      <c r="B237" s="19" t="str">
        <f>"'"&amp;装备!B166&amp;"'"</f>
        <v>''</v>
      </c>
      <c r="C237" s="19">
        <f>装备!J166</f>
        <v>0</v>
      </c>
      <c r="D237" s="19">
        <f>装备!K166</f>
        <v>0</v>
      </c>
      <c r="E237" s="19">
        <f>装备!L166</f>
        <v>0</v>
      </c>
      <c r="F237" s="19">
        <f>装备!M166</f>
        <v>0</v>
      </c>
      <c r="G237" s="19">
        <f>装备!N166</f>
        <v>0</v>
      </c>
      <c r="H237" s="19">
        <f>装备!O166</f>
        <v>0</v>
      </c>
      <c r="I237" s="19">
        <f>IF(装备!J166=0,0,"'"&amp;装备!J166&amp;"'")</f>
        <v>0</v>
      </c>
      <c r="J237" s="19">
        <f>IF(装备!K166=0,0,"'"&amp;装备!K166&amp;"'")</f>
        <v>0</v>
      </c>
      <c r="K237" s="19">
        <f>IF(装备!L166=0,0,"'"&amp;装备!L166&amp;"'")</f>
        <v>0</v>
      </c>
      <c r="L237" s="19">
        <f>IF(装备!M166=0,0,"'"&amp;装备!M166&amp;"'")</f>
        <v>0</v>
      </c>
      <c r="M237" s="19">
        <f>IF(装备!N166=0,0,"'"&amp;装备!N166&amp;"'")</f>
        <v>0</v>
      </c>
      <c r="N237" s="19">
        <f>IF(装备!O166=0,0,"'"&amp;装备!O166&amp;"'")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装备!A167</f>
        <v>0</v>
      </c>
      <c r="B238" s="19" t="str">
        <f>"'"&amp;装备!B167&amp;"'"</f>
        <v>''</v>
      </c>
      <c r="C238" s="19">
        <f>装备!J167</f>
        <v>0</v>
      </c>
      <c r="D238" s="19">
        <f>装备!K167</f>
        <v>0</v>
      </c>
      <c r="E238" s="19">
        <f>装备!L167</f>
        <v>0</v>
      </c>
      <c r="F238" s="19">
        <f>装备!M167</f>
        <v>0</v>
      </c>
      <c r="G238" s="19">
        <f>装备!N167</f>
        <v>0</v>
      </c>
      <c r="H238" s="19">
        <f>装备!O167</f>
        <v>0</v>
      </c>
      <c r="I238" s="19">
        <f>IF(装备!J167=0,0,"'"&amp;装备!J167&amp;"'")</f>
        <v>0</v>
      </c>
      <c r="J238" s="19">
        <f>IF(装备!K167=0,0,"'"&amp;装备!K167&amp;"'")</f>
        <v>0</v>
      </c>
      <c r="K238" s="19">
        <f>IF(装备!L167=0,0,"'"&amp;装备!L167&amp;"'")</f>
        <v>0</v>
      </c>
      <c r="L238" s="19">
        <f>IF(装备!M167=0,0,"'"&amp;装备!M167&amp;"'")</f>
        <v>0</v>
      </c>
      <c r="M238" s="19">
        <f>IF(装备!N167=0,0,"'"&amp;装备!N167&amp;"'")</f>
        <v>0</v>
      </c>
      <c r="N238" s="19">
        <f>IF(装备!O167=0,0,"'"&amp;装备!O167&amp;"'")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装备!A168</f>
        <v>0</v>
      </c>
      <c r="B239" s="19" t="str">
        <f>"'"&amp;装备!B168&amp;"'"</f>
        <v>''</v>
      </c>
      <c r="C239" s="19">
        <f>装备!J168</f>
        <v>0</v>
      </c>
      <c r="D239" s="19">
        <f>装备!K168</f>
        <v>0</v>
      </c>
      <c r="E239" s="19">
        <f>装备!L168</f>
        <v>0</v>
      </c>
      <c r="F239" s="19">
        <f>装备!M168</f>
        <v>0</v>
      </c>
      <c r="G239" s="19">
        <f>装备!N168</f>
        <v>0</v>
      </c>
      <c r="H239" s="19">
        <f>装备!O168</f>
        <v>0</v>
      </c>
      <c r="I239" s="19">
        <f>IF(装备!J168=0,0,"'"&amp;装备!J168&amp;"'")</f>
        <v>0</v>
      </c>
      <c r="J239" s="19">
        <f>IF(装备!K168=0,0,"'"&amp;装备!K168&amp;"'")</f>
        <v>0</v>
      </c>
      <c r="K239" s="19">
        <f>IF(装备!L168=0,0,"'"&amp;装备!L168&amp;"'")</f>
        <v>0</v>
      </c>
      <c r="L239" s="19">
        <f>IF(装备!M168=0,0,"'"&amp;装备!M168&amp;"'")</f>
        <v>0</v>
      </c>
      <c r="M239" s="19">
        <f>IF(装备!N168=0,0,"'"&amp;装备!N168&amp;"'")</f>
        <v>0</v>
      </c>
      <c r="N239" s="19">
        <f>IF(装备!O168=0,0,"'"&amp;装备!O168&amp;"'")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装备!A169</f>
        <v>0</v>
      </c>
      <c r="B240" s="19" t="str">
        <f>"'"&amp;装备!B169&amp;"'"</f>
        <v>''</v>
      </c>
      <c r="C240" s="19">
        <f>装备!J169</f>
        <v>0</v>
      </c>
      <c r="D240" s="19">
        <f>装备!K169</f>
        <v>0</v>
      </c>
      <c r="E240" s="19">
        <f>装备!L169</f>
        <v>0</v>
      </c>
      <c r="F240" s="19">
        <f>装备!M169</f>
        <v>0</v>
      </c>
      <c r="G240" s="19">
        <f>装备!N169</f>
        <v>0</v>
      </c>
      <c r="H240" s="19">
        <f>装备!O169</f>
        <v>0</v>
      </c>
      <c r="I240" s="19">
        <f>IF(装备!J169=0,0,"'"&amp;装备!J169&amp;"'")</f>
        <v>0</v>
      </c>
      <c r="J240" s="19">
        <f>IF(装备!K169=0,0,"'"&amp;装备!K169&amp;"'")</f>
        <v>0</v>
      </c>
      <c r="K240" s="19">
        <f>IF(装备!L169=0,0,"'"&amp;装备!L169&amp;"'")</f>
        <v>0</v>
      </c>
      <c r="L240" s="19">
        <f>IF(装备!M169=0,0,"'"&amp;装备!M169&amp;"'")</f>
        <v>0</v>
      </c>
      <c r="M240" s="19">
        <f>IF(装备!N169=0,0,"'"&amp;装备!N169&amp;"'")</f>
        <v>0</v>
      </c>
      <c r="N240" s="19">
        <f>IF(装备!O169=0,0,"'"&amp;装备!O169&amp;"'")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装备!A170</f>
        <v>0</v>
      </c>
      <c r="B241" s="19" t="str">
        <f>"'"&amp;装备!B170&amp;"'"</f>
        <v>''</v>
      </c>
      <c r="C241" s="19">
        <f>装备!J170</f>
        <v>0</v>
      </c>
      <c r="D241" s="19">
        <f>装备!K170</f>
        <v>0</v>
      </c>
      <c r="E241" s="19">
        <f>装备!L170</f>
        <v>0</v>
      </c>
      <c r="F241" s="19">
        <f>装备!M170</f>
        <v>0</v>
      </c>
      <c r="G241" s="19">
        <f>装备!N170</f>
        <v>0</v>
      </c>
      <c r="H241" s="19">
        <f>装备!O170</f>
        <v>0</v>
      </c>
      <c r="I241" s="19">
        <f>IF(装备!J170=0,0,"'"&amp;装备!J170&amp;"'")</f>
        <v>0</v>
      </c>
      <c r="J241" s="19">
        <f>IF(装备!K170=0,0,"'"&amp;装备!K170&amp;"'")</f>
        <v>0</v>
      </c>
      <c r="K241" s="19">
        <f>IF(装备!L170=0,0,"'"&amp;装备!L170&amp;"'")</f>
        <v>0</v>
      </c>
      <c r="L241" s="19">
        <f>IF(装备!M170=0,0,"'"&amp;装备!M170&amp;"'")</f>
        <v>0</v>
      </c>
      <c r="M241" s="19">
        <f>IF(装备!N170=0,0,"'"&amp;装备!N170&amp;"'")</f>
        <v>0</v>
      </c>
      <c r="N241" s="19">
        <f>IF(装备!O170=0,0,"'"&amp;装备!O170&amp;"'")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装备!A171</f>
        <v>0</v>
      </c>
      <c r="B242" s="19" t="str">
        <f>"'"&amp;装备!B171&amp;"'"</f>
        <v>''</v>
      </c>
      <c r="C242" s="19">
        <f>装备!J171</f>
        <v>0</v>
      </c>
      <c r="D242" s="19">
        <f>装备!K171</f>
        <v>0</v>
      </c>
      <c r="E242" s="19">
        <f>装备!L171</f>
        <v>0</v>
      </c>
      <c r="F242" s="19">
        <f>装备!M171</f>
        <v>0</v>
      </c>
      <c r="G242" s="19">
        <f>装备!N171</f>
        <v>0</v>
      </c>
      <c r="H242" s="19">
        <f>装备!O171</f>
        <v>0</v>
      </c>
      <c r="I242" s="19">
        <f>IF(装备!J171=0,0,"'"&amp;装备!J171&amp;"'")</f>
        <v>0</v>
      </c>
      <c r="J242" s="19">
        <f>IF(装备!K171=0,0,"'"&amp;装备!K171&amp;"'")</f>
        <v>0</v>
      </c>
      <c r="K242" s="19">
        <f>IF(装备!L171=0,0,"'"&amp;装备!L171&amp;"'")</f>
        <v>0</v>
      </c>
      <c r="L242" s="19">
        <f>IF(装备!M171=0,0,"'"&amp;装备!M171&amp;"'")</f>
        <v>0</v>
      </c>
      <c r="M242" s="19">
        <f>IF(装备!N171=0,0,"'"&amp;装备!N171&amp;"'")</f>
        <v>0</v>
      </c>
      <c r="N242" s="19">
        <f>IF(装备!O171=0,0,"'"&amp;装备!O171&amp;"'")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装备!A172</f>
        <v>0</v>
      </c>
      <c r="B243" s="19" t="str">
        <f>"'"&amp;装备!B172&amp;"'"</f>
        <v>''</v>
      </c>
      <c r="C243" s="19">
        <f>装备!J172</f>
        <v>0</v>
      </c>
      <c r="D243" s="19">
        <f>装备!K172</f>
        <v>0</v>
      </c>
      <c r="E243" s="19">
        <f>装备!L172</f>
        <v>0</v>
      </c>
      <c r="F243" s="19">
        <f>装备!M172</f>
        <v>0</v>
      </c>
      <c r="G243" s="19">
        <f>装备!N172</f>
        <v>0</v>
      </c>
      <c r="H243" s="19">
        <f>装备!O172</f>
        <v>0</v>
      </c>
      <c r="I243" s="19">
        <f>IF(装备!J172=0,0,"'"&amp;装备!J172&amp;"'")</f>
        <v>0</v>
      </c>
      <c r="J243" s="19">
        <f>IF(装备!K172=0,0,"'"&amp;装备!K172&amp;"'")</f>
        <v>0</v>
      </c>
      <c r="K243" s="19">
        <f>IF(装备!L172=0,0,"'"&amp;装备!L172&amp;"'")</f>
        <v>0</v>
      </c>
      <c r="L243" s="19">
        <f>IF(装备!M172=0,0,"'"&amp;装备!M172&amp;"'")</f>
        <v>0</v>
      </c>
      <c r="M243" s="19">
        <f>IF(装备!N172=0,0,"'"&amp;装备!N172&amp;"'")</f>
        <v>0</v>
      </c>
      <c r="N243" s="19">
        <f>IF(装备!O172=0,0,"'"&amp;装备!O172&amp;"'")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装备!A173</f>
        <v>0</v>
      </c>
      <c r="B244" s="19" t="str">
        <f>"'"&amp;装备!B173&amp;"'"</f>
        <v>''</v>
      </c>
      <c r="C244" s="19">
        <f>装备!J173</f>
        <v>0</v>
      </c>
      <c r="D244" s="19">
        <f>装备!K173</f>
        <v>0</v>
      </c>
      <c r="E244" s="19">
        <f>装备!L173</f>
        <v>0</v>
      </c>
      <c r="F244" s="19">
        <f>装备!M173</f>
        <v>0</v>
      </c>
      <c r="G244" s="19">
        <f>装备!N173</f>
        <v>0</v>
      </c>
      <c r="H244" s="19">
        <f>装备!O173</f>
        <v>0</v>
      </c>
      <c r="I244" s="19">
        <f>IF(装备!J173=0,0,"'"&amp;装备!J173&amp;"'")</f>
        <v>0</v>
      </c>
      <c r="J244" s="19">
        <f>IF(装备!K173=0,0,"'"&amp;装备!K173&amp;"'")</f>
        <v>0</v>
      </c>
      <c r="K244" s="19">
        <f>IF(装备!L173=0,0,"'"&amp;装备!L173&amp;"'")</f>
        <v>0</v>
      </c>
      <c r="L244" s="19">
        <f>IF(装备!M173=0,0,"'"&amp;装备!M173&amp;"'")</f>
        <v>0</v>
      </c>
      <c r="M244" s="19">
        <f>IF(装备!N173=0,0,"'"&amp;装备!N173&amp;"'")</f>
        <v>0</v>
      </c>
      <c r="N244" s="19">
        <f>IF(装备!O173=0,0,"'"&amp;装备!O173&amp;"'")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装备!A174</f>
        <v>0</v>
      </c>
      <c r="B245" s="19" t="str">
        <f>"'"&amp;装备!B174&amp;"'"</f>
        <v>''</v>
      </c>
      <c r="C245" s="19">
        <f>装备!J174</f>
        <v>0</v>
      </c>
      <c r="D245" s="19">
        <f>装备!K174</f>
        <v>0</v>
      </c>
      <c r="E245" s="19">
        <f>装备!L174</f>
        <v>0</v>
      </c>
      <c r="F245" s="19">
        <f>装备!M174</f>
        <v>0</v>
      </c>
      <c r="G245" s="19">
        <f>装备!N174</f>
        <v>0</v>
      </c>
      <c r="H245" s="19">
        <f>装备!O174</f>
        <v>0</v>
      </c>
      <c r="I245" s="19">
        <f>IF(装备!J174=0,0,"'"&amp;装备!J174&amp;"'")</f>
        <v>0</v>
      </c>
      <c r="J245" s="19">
        <f>IF(装备!K174=0,0,"'"&amp;装备!K174&amp;"'")</f>
        <v>0</v>
      </c>
      <c r="K245" s="19">
        <f>IF(装备!L174=0,0,"'"&amp;装备!L174&amp;"'")</f>
        <v>0</v>
      </c>
      <c r="L245" s="19">
        <f>IF(装备!M174=0,0,"'"&amp;装备!M174&amp;"'")</f>
        <v>0</v>
      </c>
      <c r="M245" s="19">
        <f>IF(装备!N174=0,0,"'"&amp;装备!N174&amp;"'")</f>
        <v>0</v>
      </c>
      <c r="N245" s="19">
        <f>IF(装备!O174=0,0,"'"&amp;装备!O174&amp;"'")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装备!A175</f>
        <v>0</v>
      </c>
      <c r="B246" s="19" t="str">
        <f>"'"&amp;装备!B175&amp;"'"</f>
        <v>''</v>
      </c>
      <c r="C246" s="19">
        <f>装备!J175</f>
        <v>0</v>
      </c>
      <c r="D246" s="19">
        <f>装备!K175</f>
        <v>0</v>
      </c>
      <c r="E246" s="19">
        <f>装备!L175</f>
        <v>0</v>
      </c>
      <c r="F246" s="19">
        <f>装备!M175</f>
        <v>0</v>
      </c>
      <c r="G246" s="19">
        <f>装备!N175</f>
        <v>0</v>
      </c>
      <c r="H246" s="19">
        <f>装备!O175</f>
        <v>0</v>
      </c>
      <c r="I246" s="19">
        <f>IF(装备!J175=0,0,"'"&amp;装备!J175&amp;"'")</f>
        <v>0</v>
      </c>
      <c r="J246" s="19">
        <f>IF(装备!K175=0,0,"'"&amp;装备!K175&amp;"'")</f>
        <v>0</v>
      </c>
      <c r="K246" s="19">
        <f>IF(装备!L175=0,0,"'"&amp;装备!L175&amp;"'")</f>
        <v>0</v>
      </c>
      <c r="L246" s="19">
        <f>IF(装备!M175=0,0,"'"&amp;装备!M175&amp;"'")</f>
        <v>0</v>
      </c>
      <c r="M246" s="19">
        <f>IF(装备!N175=0,0,"'"&amp;装备!N175&amp;"'")</f>
        <v>0</v>
      </c>
      <c r="N246" s="19">
        <f>IF(装备!O175=0,0,"'"&amp;装备!O175&amp;"'")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装备!A176</f>
        <v>0</v>
      </c>
      <c r="B247" s="19" t="str">
        <f>"'"&amp;装备!B176&amp;"'"</f>
        <v>''</v>
      </c>
      <c r="C247" s="19">
        <f>装备!J176</f>
        <v>0</v>
      </c>
      <c r="D247" s="19">
        <f>装备!K176</f>
        <v>0</v>
      </c>
      <c r="E247" s="19">
        <f>装备!L176</f>
        <v>0</v>
      </c>
      <c r="F247" s="19">
        <f>装备!M176</f>
        <v>0</v>
      </c>
      <c r="G247" s="19">
        <f>装备!N176</f>
        <v>0</v>
      </c>
      <c r="H247" s="19">
        <f>装备!O176</f>
        <v>0</v>
      </c>
      <c r="I247" s="19">
        <f>IF(装备!J176=0,0,"'"&amp;装备!J176&amp;"'")</f>
        <v>0</v>
      </c>
      <c r="J247" s="19">
        <f>IF(装备!K176=0,0,"'"&amp;装备!K176&amp;"'")</f>
        <v>0</v>
      </c>
      <c r="K247" s="19">
        <f>IF(装备!L176=0,0,"'"&amp;装备!L176&amp;"'")</f>
        <v>0</v>
      </c>
      <c r="L247" s="19">
        <f>IF(装备!M176=0,0,"'"&amp;装备!M176&amp;"'")</f>
        <v>0</v>
      </c>
      <c r="M247" s="19">
        <f>IF(装备!N176=0,0,"'"&amp;装备!N176&amp;"'")</f>
        <v>0</v>
      </c>
      <c r="N247" s="19">
        <f>IF(装备!O176=0,0,"'"&amp;装备!O176&amp;"'")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装备!A177</f>
        <v>0</v>
      </c>
      <c r="B248" s="19" t="str">
        <f>"'"&amp;装备!B177&amp;"'"</f>
        <v>''</v>
      </c>
      <c r="C248" s="19">
        <f>装备!J177</f>
        <v>0</v>
      </c>
      <c r="D248" s="19">
        <f>装备!K177</f>
        <v>0</v>
      </c>
      <c r="E248" s="19">
        <f>装备!L177</f>
        <v>0</v>
      </c>
      <c r="F248" s="19">
        <f>装备!M177</f>
        <v>0</v>
      </c>
      <c r="G248" s="19">
        <f>装备!N177</f>
        <v>0</v>
      </c>
      <c r="H248" s="19">
        <f>装备!O177</f>
        <v>0</v>
      </c>
      <c r="I248" s="19">
        <f>IF(装备!J177=0,0,"'"&amp;装备!J177&amp;"'")</f>
        <v>0</v>
      </c>
      <c r="J248" s="19">
        <f>IF(装备!K177=0,0,"'"&amp;装备!K177&amp;"'")</f>
        <v>0</v>
      </c>
      <c r="K248" s="19">
        <f>IF(装备!L177=0,0,"'"&amp;装备!L177&amp;"'")</f>
        <v>0</v>
      </c>
      <c r="L248" s="19">
        <f>IF(装备!M177=0,0,"'"&amp;装备!M177&amp;"'")</f>
        <v>0</v>
      </c>
      <c r="M248" s="19">
        <f>IF(装备!N177=0,0,"'"&amp;装备!N177&amp;"'")</f>
        <v>0</v>
      </c>
      <c r="N248" s="19">
        <f>IF(装备!O177=0,0,"'"&amp;装备!O177&amp;"'")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装备!A178</f>
        <v>0</v>
      </c>
      <c r="B249" s="19" t="str">
        <f>"'"&amp;装备!B178&amp;"'"</f>
        <v>''</v>
      </c>
      <c r="C249" s="19">
        <f>装备!J178</f>
        <v>0</v>
      </c>
      <c r="D249" s="19">
        <f>装备!K178</f>
        <v>0</v>
      </c>
      <c r="E249" s="19">
        <f>装备!L178</f>
        <v>0</v>
      </c>
      <c r="F249" s="19">
        <f>装备!M178</f>
        <v>0</v>
      </c>
      <c r="G249" s="19">
        <f>装备!N178</f>
        <v>0</v>
      </c>
      <c r="H249" s="19">
        <f>装备!O178</f>
        <v>0</v>
      </c>
      <c r="I249" s="19">
        <f>IF(装备!J178=0,0,"'"&amp;装备!J178&amp;"'")</f>
        <v>0</v>
      </c>
      <c r="J249" s="19">
        <f>IF(装备!K178=0,0,"'"&amp;装备!K178&amp;"'")</f>
        <v>0</v>
      </c>
      <c r="K249" s="19">
        <f>IF(装备!L178=0,0,"'"&amp;装备!L178&amp;"'")</f>
        <v>0</v>
      </c>
      <c r="L249" s="19">
        <f>IF(装备!M178=0,0,"'"&amp;装备!M178&amp;"'")</f>
        <v>0</v>
      </c>
      <c r="M249" s="19">
        <f>IF(装备!N178=0,0,"'"&amp;装备!N178&amp;"'")</f>
        <v>0</v>
      </c>
      <c r="N249" s="19">
        <f>IF(装备!O178=0,0,"'"&amp;装备!O178&amp;"'")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装备!A179</f>
        <v>0</v>
      </c>
      <c r="B250" s="19" t="str">
        <f>"'"&amp;装备!B179&amp;"'"</f>
        <v>''</v>
      </c>
      <c r="C250" s="19">
        <f>装备!J179</f>
        <v>0</v>
      </c>
      <c r="D250" s="19">
        <f>装备!K179</f>
        <v>0</v>
      </c>
      <c r="E250" s="19">
        <f>装备!L179</f>
        <v>0</v>
      </c>
      <c r="F250" s="19">
        <f>装备!M179</f>
        <v>0</v>
      </c>
      <c r="G250" s="19">
        <f>装备!N179</f>
        <v>0</v>
      </c>
      <c r="H250" s="19">
        <f>装备!O179</f>
        <v>0</v>
      </c>
      <c r="I250" s="19">
        <f>IF(装备!J179=0,0,"'"&amp;装备!J179&amp;"'")</f>
        <v>0</v>
      </c>
      <c r="J250" s="19">
        <f>IF(装备!K179=0,0,"'"&amp;装备!K179&amp;"'")</f>
        <v>0</v>
      </c>
      <c r="K250" s="19">
        <f>IF(装备!L179=0,0,"'"&amp;装备!L179&amp;"'")</f>
        <v>0</v>
      </c>
      <c r="L250" s="19">
        <f>IF(装备!M179=0,0,"'"&amp;装备!M179&amp;"'")</f>
        <v>0</v>
      </c>
      <c r="M250" s="19">
        <f>IF(装备!N179=0,0,"'"&amp;装备!N179&amp;"'")</f>
        <v>0</v>
      </c>
      <c r="N250" s="19">
        <f>IF(装备!O179=0,0,"'"&amp;装备!O179&amp;"'")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装备!A180</f>
        <v>0</v>
      </c>
      <c r="B251" s="19" t="str">
        <f>"'"&amp;装备!B180&amp;"'"</f>
        <v>''</v>
      </c>
      <c r="C251" s="19">
        <f>装备!J180</f>
        <v>0</v>
      </c>
      <c r="D251" s="19">
        <f>装备!K180</f>
        <v>0</v>
      </c>
      <c r="E251" s="19">
        <f>装备!L180</f>
        <v>0</v>
      </c>
      <c r="F251" s="19">
        <f>装备!M180</f>
        <v>0</v>
      </c>
      <c r="G251" s="19">
        <f>装备!N180</f>
        <v>0</v>
      </c>
      <c r="H251" s="19">
        <f>装备!O180</f>
        <v>0</v>
      </c>
      <c r="I251" s="19">
        <f>IF(装备!J180=0,0,"'"&amp;装备!J180&amp;"'")</f>
        <v>0</v>
      </c>
      <c r="J251" s="19">
        <f>IF(装备!K180=0,0,"'"&amp;装备!K180&amp;"'")</f>
        <v>0</v>
      </c>
      <c r="K251" s="19">
        <f>IF(装备!L180=0,0,"'"&amp;装备!L180&amp;"'")</f>
        <v>0</v>
      </c>
      <c r="L251" s="19">
        <f>IF(装备!M180=0,0,"'"&amp;装备!M180&amp;"'")</f>
        <v>0</v>
      </c>
      <c r="M251" s="19">
        <f>IF(装备!N180=0,0,"'"&amp;装备!N180&amp;"'")</f>
        <v>0</v>
      </c>
      <c r="N251" s="19">
        <f>IF(装备!O180=0,0,"'"&amp;装备!O180&amp;"'")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装备!A181</f>
        <v>0</v>
      </c>
      <c r="B252" s="19" t="str">
        <f>"'"&amp;装备!B181&amp;"'"</f>
        <v>''</v>
      </c>
      <c r="C252" s="19">
        <f>装备!J181</f>
        <v>0</v>
      </c>
      <c r="D252" s="19">
        <f>装备!K181</f>
        <v>0</v>
      </c>
      <c r="E252" s="19">
        <f>装备!L181</f>
        <v>0</v>
      </c>
      <c r="F252" s="19">
        <f>装备!M181</f>
        <v>0</v>
      </c>
      <c r="G252" s="19">
        <f>装备!N181</f>
        <v>0</v>
      </c>
      <c r="H252" s="19">
        <f>装备!O181</f>
        <v>0</v>
      </c>
      <c r="I252" s="19">
        <f>IF(装备!J181=0,0,"'"&amp;装备!J181&amp;"'")</f>
        <v>0</v>
      </c>
      <c r="J252" s="19">
        <f>IF(装备!K181=0,0,"'"&amp;装备!K181&amp;"'")</f>
        <v>0</v>
      </c>
      <c r="K252" s="19">
        <f>IF(装备!L181=0,0,"'"&amp;装备!L181&amp;"'")</f>
        <v>0</v>
      </c>
      <c r="L252" s="19">
        <f>IF(装备!M181=0,0,"'"&amp;装备!M181&amp;"'")</f>
        <v>0</v>
      </c>
      <c r="M252" s="19">
        <f>IF(装备!N181=0,0,"'"&amp;装备!N181&amp;"'")</f>
        <v>0</v>
      </c>
      <c r="N252" s="19">
        <f>IF(装备!O181=0,0,"'"&amp;装备!O181&amp;"'")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装备!A182</f>
        <v>0</v>
      </c>
      <c r="B253" s="19" t="str">
        <f>"'"&amp;装备!B182&amp;"'"</f>
        <v>''</v>
      </c>
      <c r="C253" s="19">
        <f>装备!J182</f>
        <v>0</v>
      </c>
      <c r="D253" s="19">
        <f>装备!K182</f>
        <v>0</v>
      </c>
      <c r="E253" s="19">
        <f>装备!L182</f>
        <v>0</v>
      </c>
      <c r="F253" s="19">
        <f>装备!M182</f>
        <v>0</v>
      </c>
      <c r="G253" s="19">
        <f>装备!N182</f>
        <v>0</v>
      </c>
      <c r="H253" s="19">
        <f>装备!O182</f>
        <v>0</v>
      </c>
      <c r="I253" s="19">
        <f>IF(装备!J182=0,0,"'"&amp;装备!J182&amp;"'")</f>
        <v>0</v>
      </c>
      <c r="J253" s="19">
        <f>IF(装备!K182=0,0,"'"&amp;装备!K182&amp;"'")</f>
        <v>0</v>
      </c>
      <c r="K253" s="19">
        <f>IF(装备!L182=0,0,"'"&amp;装备!L182&amp;"'")</f>
        <v>0</v>
      </c>
      <c r="L253" s="19">
        <f>IF(装备!M182=0,0,"'"&amp;装备!M182&amp;"'")</f>
        <v>0</v>
      </c>
      <c r="M253" s="19">
        <f>IF(装备!N182=0,0,"'"&amp;装备!N182&amp;"'")</f>
        <v>0</v>
      </c>
      <c r="N253" s="19">
        <f>IF(装备!O182=0,0,"'"&amp;装备!O182&amp;"'")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装备!A183</f>
        <v>0</v>
      </c>
      <c r="B254" s="19" t="str">
        <f>"'"&amp;装备!B183&amp;"'"</f>
        <v>''</v>
      </c>
      <c r="C254" s="19">
        <f>装备!J183</f>
        <v>0</v>
      </c>
      <c r="D254" s="19">
        <f>装备!K183</f>
        <v>0</v>
      </c>
      <c r="E254" s="19">
        <f>装备!L183</f>
        <v>0</v>
      </c>
      <c r="F254" s="19">
        <f>装备!M183</f>
        <v>0</v>
      </c>
      <c r="G254" s="19">
        <f>装备!N183</f>
        <v>0</v>
      </c>
      <c r="H254" s="19">
        <f>装备!O183</f>
        <v>0</v>
      </c>
      <c r="I254" s="19">
        <f>IF(装备!J183=0,0,"'"&amp;装备!J183&amp;"'")</f>
        <v>0</v>
      </c>
      <c r="J254" s="19">
        <f>IF(装备!K183=0,0,"'"&amp;装备!K183&amp;"'")</f>
        <v>0</v>
      </c>
      <c r="K254" s="19">
        <f>IF(装备!L183=0,0,"'"&amp;装备!L183&amp;"'")</f>
        <v>0</v>
      </c>
      <c r="L254" s="19">
        <f>IF(装备!M183=0,0,"'"&amp;装备!M183&amp;"'")</f>
        <v>0</v>
      </c>
      <c r="M254" s="19">
        <f>IF(装备!N183=0,0,"'"&amp;装备!N183&amp;"'")</f>
        <v>0</v>
      </c>
      <c r="N254" s="19">
        <f>IF(装备!O183=0,0,"'"&amp;装备!O183&amp;"'")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装备!A184</f>
        <v>0</v>
      </c>
      <c r="B255" s="19" t="str">
        <f>"'"&amp;装备!B184&amp;"'"</f>
        <v>''</v>
      </c>
      <c r="C255" s="19">
        <f>装备!J184</f>
        <v>0</v>
      </c>
      <c r="D255" s="19">
        <f>装备!K184</f>
        <v>0</v>
      </c>
      <c r="E255" s="19">
        <f>装备!L184</f>
        <v>0</v>
      </c>
      <c r="F255" s="19">
        <f>装备!M184</f>
        <v>0</v>
      </c>
      <c r="G255" s="19">
        <f>装备!N184</f>
        <v>0</v>
      </c>
      <c r="H255" s="19">
        <f>装备!O184</f>
        <v>0</v>
      </c>
      <c r="I255" s="19">
        <f>IF(装备!J184=0,0,"'"&amp;装备!J184&amp;"'")</f>
        <v>0</v>
      </c>
      <c r="J255" s="19">
        <f>IF(装备!K184=0,0,"'"&amp;装备!K184&amp;"'")</f>
        <v>0</v>
      </c>
      <c r="K255" s="19">
        <f>IF(装备!L184=0,0,"'"&amp;装备!L184&amp;"'")</f>
        <v>0</v>
      </c>
      <c r="L255" s="19">
        <f>IF(装备!M184=0,0,"'"&amp;装备!M184&amp;"'")</f>
        <v>0</v>
      </c>
      <c r="M255" s="19">
        <f>IF(装备!N184=0,0,"'"&amp;装备!N184&amp;"'")</f>
        <v>0</v>
      </c>
      <c r="N255" s="19">
        <f>IF(装备!O184=0,0,"'"&amp;装备!O184&amp;"'")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装备!A185</f>
        <v>0</v>
      </c>
      <c r="B256" s="19" t="str">
        <f>"'"&amp;装备!B185&amp;"'"</f>
        <v>''</v>
      </c>
      <c r="C256" s="19">
        <f>装备!J185</f>
        <v>0</v>
      </c>
      <c r="D256" s="19">
        <f>装备!K185</f>
        <v>0</v>
      </c>
      <c r="E256" s="19">
        <f>装备!L185</f>
        <v>0</v>
      </c>
      <c r="F256" s="19">
        <f>装备!M185</f>
        <v>0</v>
      </c>
      <c r="G256" s="19">
        <f>装备!N185</f>
        <v>0</v>
      </c>
      <c r="H256" s="19">
        <f>装备!O185</f>
        <v>0</v>
      </c>
      <c r="I256" s="19">
        <f>IF(装备!J185=0,0,"'"&amp;装备!J185&amp;"'")</f>
        <v>0</v>
      </c>
      <c r="J256" s="19">
        <f>IF(装备!K185=0,0,"'"&amp;装备!K185&amp;"'")</f>
        <v>0</v>
      </c>
      <c r="K256" s="19">
        <f>IF(装备!L185=0,0,"'"&amp;装备!L185&amp;"'")</f>
        <v>0</v>
      </c>
      <c r="L256" s="19">
        <f>IF(装备!M185=0,0,"'"&amp;装备!M185&amp;"'")</f>
        <v>0</v>
      </c>
      <c r="M256" s="19">
        <f>IF(装备!N185=0,0,"'"&amp;装备!N185&amp;"'")</f>
        <v>0</v>
      </c>
      <c r="N256" s="19">
        <f>IF(装备!O185=0,0,"'"&amp;装备!O185&amp;"'")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装备!A186</f>
        <v>0</v>
      </c>
      <c r="B257" s="19" t="str">
        <f>"'"&amp;装备!B186&amp;"'"</f>
        <v>''</v>
      </c>
      <c r="C257" s="19">
        <f>装备!J186</f>
        <v>0</v>
      </c>
      <c r="D257" s="19">
        <f>装备!K186</f>
        <v>0</v>
      </c>
      <c r="E257" s="19">
        <f>装备!L186</f>
        <v>0</v>
      </c>
      <c r="F257" s="19">
        <f>装备!M186</f>
        <v>0</v>
      </c>
      <c r="G257" s="19">
        <f>装备!N186</f>
        <v>0</v>
      </c>
      <c r="H257" s="19">
        <f>装备!O186</f>
        <v>0</v>
      </c>
      <c r="I257" s="19">
        <f>IF(装备!J186=0,0,"'"&amp;装备!J186&amp;"'")</f>
        <v>0</v>
      </c>
      <c r="J257" s="19">
        <f>IF(装备!K186=0,0,"'"&amp;装备!K186&amp;"'")</f>
        <v>0</v>
      </c>
      <c r="K257" s="19">
        <f>IF(装备!L186=0,0,"'"&amp;装备!L186&amp;"'")</f>
        <v>0</v>
      </c>
      <c r="L257" s="19">
        <f>IF(装备!M186=0,0,"'"&amp;装备!M186&amp;"'")</f>
        <v>0</v>
      </c>
      <c r="M257" s="19">
        <f>IF(装备!N186=0,0,"'"&amp;装备!N186&amp;"'")</f>
        <v>0</v>
      </c>
      <c r="N257" s="19">
        <f>IF(装备!O186=0,0,"'"&amp;装备!O186&amp;"'")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装备!A187</f>
        <v>0</v>
      </c>
      <c r="B258" s="19" t="str">
        <f>"'"&amp;装备!B187&amp;"'"</f>
        <v>''</v>
      </c>
      <c r="C258" s="19">
        <f>装备!J187</f>
        <v>0</v>
      </c>
      <c r="D258" s="19">
        <f>装备!K187</f>
        <v>0</v>
      </c>
      <c r="E258" s="19">
        <f>装备!L187</f>
        <v>0</v>
      </c>
      <c r="F258" s="19">
        <f>装备!M187</f>
        <v>0</v>
      </c>
      <c r="G258" s="19">
        <f>装备!N187</f>
        <v>0</v>
      </c>
      <c r="H258" s="19">
        <f>装备!O187</f>
        <v>0</v>
      </c>
      <c r="I258" s="19">
        <f>IF(装备!J187=0,0,"'"&amp;装备!J187&amp;"'")</f>
        <v>0</v>
      </c>
      <c r="J258" s="19">
        <f>IF(装备!K187=0,0,"'"&amp;装备!K187&amp;"'")</f>
        <v>0</v>
      </c>
      <c r="K258" s="19">
        <f>IF(装备!L187=0,0,"'"&amp;装备!L187&amp;"'")</f>
        <v>0</v>
      </c>
      <c r="L258" s="19">
        <f>IF(装备!M187=0,0,"'"&amp;装备!M187&amp;"'")</f>
        <v>0</v>
      </c>
      <c r="M258" s="19">
        <f>IF(装备!N187=0,0,"'"&amp;装备!N187&amp;"'")</f>
        <v>0</v>
      </c>
      <c r="N258" s="19">
        <f>IF(装备!O187=0,0,"'"&amp;装备!O187&amp;"'")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装备!A188</f>
        <v>0</v>
      </c>
      <c r="B259" s="19" t="str">
        <f>"'"&amp;装备!B188&amp;"'"</f>
        <v>''</v>
      </c>
      <c r="C259" s="19">
        <f>装备!J188</f>
        <v>0</v>
      </c>
      <c r="D259" s="19">
        <f>装备!K188</f>
        <v>0</v>
      </c>
      <c r="E259" s="19">
        <f>装备!L188</f>
        <v>0</v>
      </c>
      <c r="F259" s="19">
        <f>装备!M188</f>
        <v>0</v>
      </c>
      <c r="G259" s="19">
        <f>装备!N188</f>
        <v>0</v>
      </c>
      <c r="H259" s="19">
        <f>装备!O188</f>
        <v>0</v>
      </c>
      <c r="I259" s="19">
        <f>IF(装备!J188=0,0,"'"&amp;装备!J188&amp;"'")</f>
        <v>0</v>
      </c>
      <c r="J259" s="19">
        <f>IF(装备!K188=0,0,"'"&amp;装备!K188&amp;"'")</f>
        <v>0</v>
      </c>
      <c r="K259" s="19">
        <f>IF(装备!L188=0,0,"'"&amp;装备!L188&amp;"'")</f>
        <v>0</v>
      </c>
      <c r="L259" s="19">
        <f>IF(装备!M188=0,0,"'"&amp;装备!M188&amp;"'")</f>
        <v>0</v>
      </c>
      <c r="M259" s="19">
        <f>IF(装备!N188=0,0,"'"&amp;装备!N188&amp;"'")</f>
        <v>0</v>
      </c>
      <c r="N259" s="19">
        <f>IF(装备!O188=0,0,"'"&amp;装备!O188&amp;"'")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装备!A189</f>
        <v>0</v>
      </c>
      <c r="B260" s="19" t="str">
        <f>"'"&amp;装备!B189&amp;"'"</f>
        <v>''</v>
      </c>
      <c r="C260" s="19">
        <f>装备!J189</f>
        <v>0</v>
      </c>
      <c r="D260" s="19">
        <f>装备!K189</f>
        <v>0</v>
      </c>
      <c r="E260" s="19">
        <f>装备!L189</f>
        <v>0</v>
      </c>
      <c r="F260" s="19">
        <f>装备!M189</f>
        <v>0</v>
      </c>
      <c r="G260" s="19">
        <f>装备!N189</f>
        <v>0</v>
      </c>
      <c r="H260" s="19">
        <f>装备!O189</f>
        <v>0</v>
      </c>
      <c r="I260" s="19">
        <f>IF(装备!J189=0,0,"'"&amp;装备!J189&amp;"'")</f>
        <v>0</v>
      </c>
      <c r="J260" s="19">
        <f>IF(装备!K189=0,0,"'"&amp;装备!K189&amp;"'")</f>
        <v>0</v>
      </c>
      <c r="K260" s="19">
        <f>IF(装备!L189=0,0,"'"&amp;装备!L189&amp;"'")</f>
        <v>0</v>
      </c>
      <c r="L260" s="19">
        <f>IF(装备!M189=0,0,"'"&amp;装备!M189&amp;"'")</f>
        <v>0</v>
      </c>
      <c r="M260" s="19">
        <f>IF(装备!N189=0,0,"'"&amp;装备!N189&amp;"'")</f>
        <v>0</v>
      </c>
      <c r="N260" s="19">
        <f>IF(装备!O189=0,0,"'"&amp;装备!O189&amp;"'")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装备!A190</f>
        <v>0</v>
      </c>
      <c r="B261" s="19" t="str">
        <f>"'"&amp;装备!B190&amp;"'"</f>
        <v>''</v>
      </c>
      <c r="C261" s="19">
        <f>装备!J190</f>
        <v>0</v>
      </c>
      <c r="D261" s="19">
        <f>装备!K190</f>
        <v>0</v>
      </c>
      <c r="E261" s="19">
        <f>装备!L190</f>
        <v>0</v>
      </c>
      <c r="F261" s="19">
        <f>装备!M190</f>
        <v>0</v>
      </c>
      <c r="G261" s="19">
        <f>装备!N190</f>
        <v>0</v>
      </c>
      <c r="H261" s="19">
        <f>装备!O190</f>
        <v>0</v>
      </c>
      <c r="I261" s="19">
        <f>IF(装备!J190=0,0,"'"&amp;装备!J190&amp;"'")</f>
        <v>0</v>
      </c>
      <c r="J261" s="19">
        <f>IF(装备!K190=0,0,"'"&amp;装备!K190&amp;"'")</f>
        <v>0</v>
      </c>
      <c r="K261" s="19">
        <f>IF(装备!L190=0,0,"'"&amp;装备!L190&amp;"'")</f>
        <v>0</v>
      </c>
      <c r="L261" s="19">
        <f>IF(装备!M190=0,0,"'"&amp;装备!M190&amp;"'")</f>
        <v>0</v>
      </c>
      <c r="M261" s="19">
        <f>IF(装备!N190=0,0,"'"&amp;装备!N190&amp;"'")</f>
        <v>0</v>
      </c>
      <c r="N261" s="19">
        <f>IF(装备!O190=0,0,"'"&amp;装备!O190&amp;"'")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装备!A191</f>
        <v>0</v>
      </c>
      <c r="B262" s="19" t="str">
        <f>"'"&amp;装备!B191&amp;"'"</f>
        <v>''</v>
      </c>
      <c r="C262" s="19">
        <f>装备!J191</f>
        <v>0</v>
      </c>
      <c r="D262" s="19">
        <f>装备!K191</f>
        <v>0</v>
      </c>
      <c r="E262" s="19">
        <f>装备!L191</f>
        <v>0</v>
      </c>
      <c r="F262" s="19">
        <f>装备!M191</f>
        <v>0</v>
      </c>
      <c r="G262" s="19">
        <f>装备!N191</f>
        <v>0</v>
      </c>
      <c r="H262" s="19">
        <f>装备!O191</f>
        <v>0</v>
      </c>
      <c r="I262" s="19">
        <f>IF(装备!J191=0,0,"'"&amp;装备!J191&amp;"'")</f>
        <v>0</v>
      </c>
      <c r="J262" s="19">
        <f>IF(装备!K191=0,0,"'"&amp;装备!K191&amp;"'")</f>
        <v>0</v>
      </c>
      <c r="K262" s="19">
        <f>IF(装备!L191=0,0,"'"&amp;装备!L191&amp;"'")</f>
        <v>0</v>
      </c>
      <c r="L262" s="19">
        <f>IF(装备!M191=0,0,"'"&amp;装备!M191&amp;"'")</f>
        <v>0</v>
      </c>
      <c r="M262" s="19">
        <f>IF(装备!N191=0,0,"'"&amp;装备!N191&amp;"'")</f>
        <v>0</v>
      </c>
      <c r="N262" s="19">
        <f>IF(装备!O191=0,0,"'"&amp;装备!O191&amp;"'")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装备!A192</f>
        <v>0</v>
      </c>
      <c r="B263" s="19" t="str">
        <f>"'"&amp;装备!B192&amp;"'"</f>
        <v>''</v>
      </c>
      <c r="C263" s="19">
        <f>装备!J192</f>
        <v>0</v>
      </c>
      <c r="D263" s="19">
        <f>装备!K192</f>
        <v>0</v>
      </c>
      <c r="E263" s="19">
        <f>装备!L192</f>
        <v>0</v>
      </c>
      <c r="F263" s="19">
        <f>装备!M192</f>
        <v>0</v>
      </c>
      <c r="G263" s="19">
        <f>装备!N192</f>
        <v>0</v>
      </c>
      <c r="H263" s="19">
        <f>装备!O192</f>
        <v>0</v>
      </c>
      <c r="I263" s="19">
        <f>IF(装备!J192=0,0,"'"&amp;装备!J192&amp;"'")</f>
        <v>0</v>
      </c>
      <c r="J263" s="19">
        <f>IF(装备!K192=0,0,"'"&amp;装备!K192&amp;"'")</f>
        <v>0</v>
      </c>
      <c r="K263" s="19">
        <f>IF(装备!L192=0,0,"'"&amp;装备!L192&amp;"'")</f>
        <v>0</v>
      </c>
      <c r="L263" s="19">
        <f>IF(装备!M192=0,0,"'"&amp;装备!M192&amp;"'")</f>
        <v>0</v>
      </c>
      <c r="M263" s="19">
        <f>IF(装备!N192=0,0,"'"&amp;装备!N192&amp;"'")</f>
        <v>0</v>
      </c>
      <c r="N263" s="19">
        <f>IF(装备!O192=0,0,"'"&amp;装备!O192&amp;"'")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9" workbookViewId="0">
      <selection activeCell="M97" sqref="M96:M10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850</v>
      </c>
      <c r="G1" s="9" t="s">
        <v>851</v>
      </c>
      <c r="H1" s="10" t="s">
        <v>852</v>
      </c>
      <c r="I1" s="11" t="s">
        <v>853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6000</v>
      </c>
      <c r="E3">
        <f>装备!G3</f>
        <v>0</v>
      </c>
      <c r="F3">
        <f>装备!H3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InitEquipData('E001',0,0,6000,0,0,'E002',0,0)</v>
      </c>
      <c r="N3" t="str">
        <f t="shared" ref="N3:N66" si="0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9000</v>
      </c>
      <c r="E4">
        <f>装备!G4</f>
        <v>0</v>
      </c>
      <c r="F4">
        <f>装备!H4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ref="M4:M67" si="1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InitEquipData('E002',0,0,9000,0,0,'E003',0,0)</v>
      </c>
      <c r="N4" t="str">
        <f t="shared" si="0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12000</v>
      </c>
      <c r="E5">
        <f>装备!G5</f>
        <v>0</v>
      </c>
      <c r="F5">
        <f>装备!H5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1"/>
        <v>InitEquipData('E003',0,0,12000,0,0,'E004',0,0)</v>
      </c>
      <c r="N5" t="str">
        <f t="shared" si="0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15000</v>
      </c>
      <c r="E6">
        <f>装备!G6</f>
        <v>0</v>
      </c>
      <c r="F6">
        <f>装备!H6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1"/>
        <v>InitEquipData('E004',0,0,15000,0,0,'E005',0,0)</v>
      </c>
      <c r="N6" t="str">
        <f t="shared" si="0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18000</v>
      </c>
      <c r="E7">
        <f>装备!G7</f>
        <v>0</v>
      </c>
      <c r="F7">
        <f>装备!H7</f>
        <v>0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1"/>
        <v>InitEquipData('E005',0,0,18000,0,0,'E006',0,0)</v>
      </c>
      <c r="N7" t="str">
        <f t="shared" si="0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18600</v>
      </c>
      <c r="E8">
        <f>装备!G8</f>
        <v>0</v>
      </c>
      <c r="F8">
        <f>装备!H8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1"/>
        <v>InitEquipData('E006',0,0,18600,0,0,'E007',0,0)</v>
      </c>
      <c r="N8" t="str">
        <f t="shared" si="0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19200</v>
      </c>
      <c r="E9">
        <f>装备!G9</f>
        <v>0</v>
      </c>
      <c r="F9">
        <f>装备!H9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1"/>
        <v>InitEquipData('E007',0,0,19200,0,0,'E008',0,0)</v>
      </c>
      <c r="N9" t="str">
        <f t="shared" si="0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19800</v>
      </c>
      <c r="E10">
        <f>装备!G10</f>
        <v>0</v>
      </c>
      <c r="F10">
        <f>装备!H10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1"/>
        <v>InitEquipData('E008',0,0,19800,0,0,'E009',0,0)</v>
      </c>
      <c r="N10" t="str">
        <f t="shared" si="0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20400</v>
      </c>
      <c r="E11">
        <f>装备!G11</f>
        <v>0</v>
      </c>
      <c r="F11">
        <f>装备!H11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1"/>
        <v>InitEquipData('E009',0,0,20400,0,0,'E010',0,0)</v>
      </c>
      <c r="N11" t="str">
        <f t="shared" si="0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21000</v>
      </c>
      <c r="E12">
        <f>装备!G12</f>
        <v>0</v>
      </c>
      <c r="F12">
        <f>装备!H12</f>
        <v>0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1"/>
        <v>InitEquipData('E010',0,0,21000,0,0,'E011',0,0)</v>
      </c>
      <c r="N12" t="str">
        <f t="shared" si="0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21800</v>
      </c>
      <c r="E13">
        <f>装备!G13</f>
        <v>0</v>
      </c>
      <c r="F13">
        <f>装备!H13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1"/>
        <v>InitEquipData('E011',0,0,21800,0,0,'E012',0,0)</v>
      </c>
      <c r="N13" t="str">
        <f t="shared" si="0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22600</v>
      </c>
      <c r="E14">
        <f>装备!G14</f>
        <v>0</v>
      </c>
      <c r="F14">
        <f>装备!H14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1"/>
        <v>InitEquipData('E012',0,0,22600,0,0,'E013',0,0)</v>
      </c>
      <c r="N14" t="str">
        <f t="shared" si="0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23400</v>
      </c>
      <c r="E15">
        <f>装备!G15</f>
        <v>0</v>
      </c>
      <c r="F15">
        <f>装备!H15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1"/>
        <v>InitEquipData('E013',0,0,23400,0,0,'E014',0,0)</v>
      </c>
      <c r="N15" t="str">
        <f t="shared" si="0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24200</v>
      </c>
      <c r="E16">
        <f>装备!G16</f>
        <v>0</v>
      </c>
      <c r="F16">
        <f>装备!H16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1"/>
        <v>InitEquipData('E014',0,0,24200,0,0,'E015',0,0)</v>
      </c>
      <c r="N16" t="str">
        <f t="shared" si="0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25000</v>
      </c>
      <c r="E17">
        <f>装备!G17</f>
        <v>0</v>
      </c>
      <c r="F17">
        <f>装备!H17</f>
        <v>0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1"/>
        <v>InitEquipData('E015',0,0,25000,0,0,'E016',0,0)</v>
      </c>
      <c r="N17" t="str">
        <f t="shared" si="0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26000</v>
      </c>
      <c r="E18">
        <f>装备!G18</f>
        <v>0</v>
      </c>
      <c r="F18">
        <f>装备!H18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1"/>
        <v>InitEquipData('E016',0,0,26000,0,0,'E017',0,0)</v>
      </c>
      <c r="N18" t="str">
        <f t="shared" si="0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27000</v>
      </c>
      <c r="E19">
        <f>装备!G19</f>
        <v>0</v>
      </c>
      <c r="F19">
        <f>装备!H19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1"/>
        <v>InitEquipData('E017',0,0,27000,0,0,'E018',0,0)</v>
      </c>
      <c r="N19" t="str">
        <f t="shared" si="0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28000</v>
      </c>
      <c r="E20">
        <f>装备!G20</f>
        <v>0</v>
      </c>
      <c r="F20">
        <f>装备!H20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1"/>
        <v>InitEquipData('E018',0,0,28000,0,0,'E019',0,0)</v>
      </c>
      <c r="N20" t="str">
        <f t="shared" si="0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29000</v>
      </c>
      <c r="E21">
        <f>装备!G21</f>
        <v>0</v>
      </c>
      <c r="F21">
        <f>装备!H21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1"/>
        <v>InitEquipData('E019',0,0,29000,0,0,'E020',0,0)</v>
      </c>
      <c r="N21" t="str">
        <f t="shared" si="0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30000</v>
      </c>
      <c r="E22">
        <f>装备!G22</f>
        <v>0</v>
      </c>
      <c r="F22">
        <f>装备!H22</f>
        <v>0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1"/>
        <v>InitEquipData('E020',0,0,30000,0,0,'E021',0,0)</v>
      </c>
      <c r="N22" t="str">
        <f t="shared" si="0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31200</v>
      </c>
      <c r="E23">
        <f>装备!G23</f>
        <v>0</v>
      </c>
      <c r="F23">
        <f>装备!H23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1"/>
        <v>InitEquipData('E021',0,0,31200,0,0,'E022',0,0)</v>
      </c>
      <c r="N23" t="str">
        <f t="shared" si="0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32400</v>
      </c>
      <c r="E24">
        <f>装备!G24</f>
        <v>0</v>
      </c>
      <c r="F24">
        <f>装备!H24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1"/>
        <v>InitEquipData('E022',0,0,32400,0,0,'E023',0,0)</v>
      </c>
      <c r="N24" t="str">
        <f t="shared" si="0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33600</v>
      </c>
      <c r="E25">
        <f>装备!G25</f>
        <v>0</v>
      </c>
      <c r="F25">
        <f>装备!H25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1"/>
        <v>InitEquipData('E023',0,0,33600,0,0,'E024',0,0)</v>
      </c>
      <c r="N25" t="str">
        <f t="shared" si="0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34800</v>
      </c>
      <c r="E26">
        <f>装备!G26</f>
        <v>0</v>
      </c>
      <c r="F26">
        <f>装备!H26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1"/>
        <v>InitEquipData('E024',0,0,34800,0,0,'E025',0,0)</v>
      </c>
      <c r="N26" t="str">
        <f t="shared" si="0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装备!G27</f>
        <v>0</v>
      </c>
      <c r="F27">
        <f>装备!H27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1"/>
        <v/>
      </c>
      <c r="N27" t="str">
        <f t="shared" si="0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6000</v>
      </c>
      <c r="E28">
        <f>装备!G28</f>
        <v>0</v>
      </c>
      <c r="F28">
        <f>装备!H28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1"/>
        <v>InitEquipData('E101',0,0,6000,0,0,'E102',0,0)</v>
      </c>
      <c r="N28" t="str">
        <f t="shared" si="0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9000</v>
      </c>
      <c r="E29">
        <f>装备!G29</f>
        <v>0</v>
      </c>
      <c r="F29">
        <f>装备!H29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1"/>
        <v>InitEquipData('E102',0,0,9000,0,0,'E103',0,0)</v>
      </c>
      <c r="N29" t="str">
        <f t="shared" si="0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12000</v>
      </c>
      <c r="E30">
        <f>装备!G30</f>
        <v>0</v>
      </c>
      <c r="F30">
        <f>装备!H30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1"/>
        <v>InitEquipData('E103',0,0,12000,0,0,'E104',0,0)</v>
      </c>
      <c r="N30" t="str">
        <f t="shared" si="0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15000</v>
      </c>
      <c r="E31">
        <f>装备!G31</f>
        <v>0</v>
      </c>
      <c r="F31">
        <f>装备!H31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1"/>
        <v>InitEquipData('E104',0,0,15000,0,0,'E105',0,0)</v>
      </c>
      <c r="N31" t="str">
        <f t="shared" si="0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18000</v>
      </c>
      <c r="E32">
        <f>装备!G32</f>
        <v>0</v>
      </c>
      <c r="F32">
        <f>装备!H32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1"/>
        <v>InitEquipData('E105',0,0,18000,0,0,'E106',0,0)</v>
      </c>
      <c r="N32" t="str">
        <f t="shared" si="0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18600</v>
      </c>
      <c r="E33">
        <f>装备!G33</f>
        <v>0</v>
      </c>
      <c r="F33">
        <f>装备!H33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1"/>
        <v>InitEquipData('E106',0,0,18600,0,0,'E107',0,0)</v>
      </c>
      <c r="N33" t="str">
        <f t="shared" si="0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19200</v>
      </c>
      <c r="E34">
        <f>装备!G34</f>
        <v>0</v>
      </c>
      <c r="F34">
        <f>装备!H34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1"/>
        <v>InitEquipData('E107',0,0,19200,0,0,'E108',0,0)</v>
      </c>
      <c r="N34" t="str">
        <f t="shared" si="0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19800</v>
      </c>
      <c r="E35">
        <f>装备!G35</f>
        <v>0</v>
      </c>
      <c r="F35">
        <f>装备!H35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1"/>
        <v>InitEquipData('E108',0,0,19800,0,0,'E109',0,0)</v>
      </c>
      <c r="N35" t="str">
        <f t="shared" si="0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20400</v>
      </c>
      <c r="E36">
        <f>装备!G36</f>
        <v>0</v>
      </c>
      <c r="F36">
        <f>装备!H36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1"/>
        <v>InitEquipData('E109',0,0,20400,0,0,'E110',0,0)</v>
      </c>
      <c r="N36" t="str">
        <f t="shared" si="0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21000</v>
      </c>
      <c r="E37">
        <f>装备!G37</f>
        <v>0</v>
      </c>
      <c r="F37">
        <f>装备!H37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1"/>
        <v>InitEquipData('E110',0,0,21000,0,0,'E111',0,0)</v>
      </c>
      <c r="N37" t="str">
        <f t="shared" si="0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21800</v>
      </c>
      <c r="E38">
        <f>装备!G38</f>
        <v>0</v>
      </c>
      <c r="F38">
        <f>装备!H38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1"/>
        <v>InitEquipData('E111',0,0,21800,0,0,'E112',0,0)</v>
      </c>
      <c r="N38" t="str">
        <f t="shared" si="0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22600</v>
      </c>
      <c r="E39">
        <f>装备!G39</f>
        <v>0</v>
      </c>
      <c r="F39">
        <f>装备!H39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1"/>
        <v>InitEquipData('E112',0,0,22600,0,0,'E113',0,0)</v>
      </c>
      <c r="N39" t="str">
        <f t="shared" si="0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23400</v>
      </c>
      <c r="E40">
        <f>装备!G40</f>
        <v>0</v>
      </c>
      <c r="F40">
        <f>装备!H40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1"/>
        <v>InitEquipData('E113',0,0,23400,0,0,'E114',0,0)</v>
      </c>
      <c r="N40" t="str">
        <f t="shared" si="0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24200</v>
      </c>
      <c r="E41">
        <f>装备!G41</f>
        <v>0</v>
      </c>
      <c r="F41">
        <f>装备!H41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1"/>
        <v>InitEquipData('E114',0,0,24200,0,0,'E115',0,0)</v>
      </c>
      <c r="N41" t="str">
        <f t="shared" si="0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25000</v>
      </c>
      <c r="E42">
        <f>装备!G42</f>
        <v>0</v>
      </c>
      <c r="F42">
        <f>装备!H42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1"/>
        <v>InitEquipData('E115',0,0,25000,0,0,'E116',0,0)</v>
      </c>
      <c r="N42" t="str">
        <f t="shared" si="0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26000</v>
      </c>
      <c r="E43">
        <f>装备!G43</f>
        <v>0</v>
      </c>
      <c r="F43">
        <f>装备!H43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1"/>
        <v>InitEquipData('E116',0,0,26000,0,0,'E117',0,0)</v>
      </c>
      <c r="N43" t="str">
        <f t="shared" si="0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27000</v>
      </c>
      <c r="E44">
        <f>装备!G44</f>
        <v>0</v>
      </c>
      <c r="F44">
        <f>装备!H44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1"/>
        <v>InitEquipData('E117',0,0,27000,0,0,'E118',0,0)</v>
      </c>
      <c r="N44" t="str">
        <f t="shared" si="0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28000</v>
      </c>
      <c r="E45">
        <f>装备!G45</f>
        <v>0</v>
      </c>
      <c r="F45">
        <f>装备!H45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1"/>
        <v>InitEquipData('E118',0,0,28000,0,0,'E119',0,0)</v>
      </c>
      <c r="N45" t="str">
        <f t="shared" si="0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29000</v>
      </c>
      <c r="E46">
        <f>装备!G46</f>
        <v>0</v>
      </c>
      <c r="F46">
        <f>装备!H46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1"/>
        <v>InitEquipData('E119',0,0,29000,0,0,'E120',0,0)</v>
      </c>
      <c r="N46" t="str">
        <f t="shared" si="0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30000</v>
      </c>
      <c r="E47">
        <f>装备!G47</f>
        <v>0</v>
      </c>
      <c r="F47">
        <f>装备!H47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1"/>
        <v>InitEquipData('E120',0,0,30000,0,0,'E121',0,0)</v>
      </c>
      <c r="N47" t="str">
        <f t="shared" si="0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31200</v>
      </c>
      <c r="E48">
        <f>装备!G48</f>
        <v>0</v>
      </c>
      <c r="F48">
        <f>装备!H48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1"/>
        <v>InitEquipData('E121',0,0,31200,0,0,'E122',0,0)</v>
      </c>
      <c r="N48" t="str">
        <f t="shared" si="0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32400</v>
      </c>
      <c r="E49">
        <f>装备!G49</f>
        <v>0</v>
      </c>
      <c r="F49">
        <f>装备!H49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1"/>
        <v>InitEquipData('E122',0,0,32400,0,0,'E123',0,0)</v>
      </c>
      <c r="N49" t="str">
        <f t="shared" si="0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33600</v>
      </c>
      <c r="E50">
        <f>装备!G50</f>
        <v>0</v>
      </c>
      <c r="F50">
        <f>装备!H50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1"/>
        <v>InitEquipData('E123',0,0,33600,0,0,'E124',0,0)</v>
      </c>
      <c r="N50" t="str">
        <f t="shared" si="0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34800</v>
      </c>
      <c r="E51">
        <f>装备!G51</f>
        <v>0</v>
      </c>
      <c r="F51">
        <f>装备!H51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1"/>
        <v>InitEquipData('E124',0,0,34800,0,0,'E125',0,0)</v>
      </c>
      <c r="N51" t="str">
        <f t="shared" si="0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装备!G52</f>
        <v>0</v>
      </c>
      <c r="F52">
        <f>装备!H52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1"/>
        <v/>
      </c>
      <c r="N52" t="str">
        <f t="shared" si="0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6000</v>
      </c>
      <c r="E53">
        <f>装备!G53</f>
        <v>0</v>
      </c>
      <c r="F53">
        <f>装备!H53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1"/>
        <v>InitEquipData('E201',0,0,6000,0,0,'E202',0,0)</v>
      </c>
      <c r="N53" t="str">
        <f t="shared" si="0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9000</v>
      </c>
      <c r="E54">
        <f>装备!G54</f>
        <v>0</v>
      </c>
      <c r="F54">
        <f>装备!H54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1"/>
        <v>InitEquipData('E202',0,0,9000,0,0,'E203',0,0)</v>
      </c>
      <c r="N54" t="str">
        <f t="shared" si="0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12000</v>
      </c>
      <c r="E55">
        <f>装备!G55</f>
        <v>0</v>
      </c>
      <c r="F55">
        <f>装备!H55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1"/>
        <v>InitEquipData('E203',0,0,12000,0,0,'E204',0,0)</v>
      </c>
      <c r="N55" t="str">
        <f t="shared" si="0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15000</v>
      </c>
      <c r="E56">
        <f>装备!G56</f>
        <v>0</v>
      </c>
      <c r="F56">
        <f>装备!H56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1"/>
        <v>InitEquipData('E204',0,0,15000,0,0,'E205',0,0)</v>
      </c>
      <c r="N56" t="str">
        <f t="shared" si="0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18000</v>
      </c>
      <c r="E57">
        <f>装备!G57</f>
        <v>0</v>
      </c>
      <c r="F57">
        <f>装备!H57</f>
        <v>0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1"/>
        <v>InitEquipData('E205',0,0,18000,0,0,'E206',0,0)</v>
      </c>
      <c r="N57" t="str">
        <f t="shared" si="0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18600</v>
      </c>
      <c r="E58">
        <f>装备!G58</f>
        <v>0</v>
      </c>
      <c r="F58">
        <f>装备!H58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1"/>
        <v>InitEquipData('E206',0,0,18600,0,0,'E207',0,0)</v>
      </c>
      <c r="N58" t="str">
        <f t="shared" si="0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19200</v>
      </c>
      <c r="E59">
        <f>装备!G59</f>
        <v>0</v>
      </c>
      <c r="F59">
        <f>装备!H59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1"/>
        <v>InitEquipData('E207',0,0,19200,0,0,'E208',0,0)</v>
      </c>
      <c r="N59" t="str">
        <f t="shared" si="0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19800</v>
      </c>
      <c r="E60">
        <f>装备!G60</f>
        <v>0</v>
      </c>
      <c r="F60">
        <f>装备!H60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1"/>
        <v>InitEquipData('E208',0,0,19800,0,0,'E209',0,0)</v>
      </c>
      <c r="N60" t="str">
        <f t="shared" si="0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20400</v>
      </c>
      <c r="E61">
        <f>装备!G61</f>
        <v>0</v>
      </c>
      <c r="F61">
        <f>装备!H61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1"/>
        <v>InitEquipData('E209',0,0,20400,0,0,'E210',0,0)</v>
      </c>
      <c r="N61" t="str">
        <f t="shared" si="0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21000</v>
      </c>
      <c r="E62">
        <f>装备!G62</f>
        <v>0</v>
      </c>
      <c r="F62">
        <f>装备!H62</f>
        <v>0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1"/>
        <v>InitEquipData('E210',0,0,21000,0,0,'E211',0,0)</v>
      </c>
      <c r="N62" t="str">
        <f t="shared" si="0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21800</v>
      </c>
      <c r="E63">
        <f>装备!G63</f>
        <v>0</v>
      </c>
      <c r="F63">
        <f>装备!H63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1"/>
        <v>InitEquipData('E211',0,0,21800,0,0,'E212',0,0)</v>
      </c>
      <c r="N63" t="str">
        <f t="shared" si="0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22600</v>
      </c>
      <c r="E64">
        <f>装备!G64</f>
        <v>0</v>
      </c>
      <c r="F64">
        <f>装备!H64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1"/>
        <v>InitEquipData('E212',0,0,22600,0,0,'E213',0,0)</v>
      </c>
      <c r="N64" t="str">
        <f t="shared" si="0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23400</v>
      </c>
      <c r="E65">
        <f>装备!G65</f>
        <v>0</v>
      </c>
      <c r="F65">
        <f>装备!H65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1"/>
        <v>InitEquipData('E213',0,0,23400,0,0,'E214',0,0)</v>
      </c>
      <c r="N65" t="str">
        <f t="shared" si="0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24200</v>
      </c>
      <c r="E66">
        <f>装备!G66</f>
        <v>0</v>
      </c>
      <c r="F66">
        <f>装备!H66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1"/>
        <v>InitEquipData('E214',0,0,24200,0,0,'E215',0,0)</v>
      </c>
      <c r="N66" t="str">
        <f t="shared" si="0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25000</v>
      </c>
      <c r="E67">
        <f>装备!G67</f>
        <v>0</v>
      </c>
      <c r="F67">
        <f>装备!H67</f>
        <v>0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1"/>
        <v>InitEquipData('E215',0,0,25000,0,0,'E216',0,0)</v>
      </c>
      <c r="N67" t="str">
        <f t="shared" ref="N67:N130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26000</v>
      </c>
      <c r="E68">
        <f>装备!G68</f>
        <v>0</v>
      </c>
      <c r="F68">
        <f>装备!H68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131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InitEquipData('E216',0,0,26000,0,0,'E217',0,0)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27000</v>
      </c>
      <c r="E69">
        <f>装备!G69</f>
        <v>0</v>
      </c>
      <c r="F69">
        <f>装备!H69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InitEquipData('E217',0,0,27000,0,0,'E218',0,0)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28000</v>
      </c>
      <c r="E70">
        <f>装备!G70</f>
        <v>0</v>
      </c>
      <c r="F70">
        <f>装备!H70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InitEquipData('E218',0,0,28000,0,0,'E219',0,0)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29000</v>
      </c>
      <c r="E71">
        <f>装备!G71</f>
        <v>0</v>
      </c>
      <c r="F71">
        <f>装备!H71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InitEquipData('E219',0,0,29000,0,0,'E220',0,0)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30000</v>
      </c>
      <c r="E72">
        <f>装备!G72</f>
        <v>0</v>
      </c>
      <c r="F72">
        <f>装备!H72</f>
        <v>0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InitEquipData('E220',0,0,30000,0,0,'E221',0,0)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31200</v>
      </c>
      <c r="E73">
        <f>装备!G73</f>
        <v>0</v>
      </c>
      <c r="F73">
        <f>装备!H73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InitEquipData('E221',0,0,31200,0,0,'E222',0,0)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32400</v>
      </c>
      <c r="E74">
        <f>装备!G74</f>
        <v>0</v>
      </c>
      <c r="F74">
        <f>装备!H74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InitEquipData('E222',0,0,32400,0,0,'E223',0,0)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33600</v>
      </c>
      <c r="E75">
        <f>装备!G75</f>
        <v>0</v>
      </c>
      <c r="F75">
        <f>装备!H75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InitEquipData('E223',0,0,33600,0,0,'E224',0,0)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34800</v>
      </c>
      <c r="E76">
        <f>装备!G76</f>
        <v>0</v>
      </c>
      <c r="F76">
        <f>装备!H76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InitEquipData('E224',0,0,34800,0,0,'E225',0,0)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装备!G77</f>
        <v>0</v>
      </c>
      <c r="F77">
        <f>装备!H77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装备!G78</f>
        <v>0</v>
      </c>
      <c r="F78">
        <f>装备!H78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装备!G79</f>
        <v>0</v>
      </c>
      <c r="F79">
        <f>装备!H79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装备!G80</f>
        <v>0</v>
      </c>
      <c r="F80">
        <f>装备!H80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装备!G81</f>
        <v>0</v>
      </c>
      <c r="F81">
        <f>装备!H81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装备!G82</f>
        <v>0</v>
      </c>
      <c r="F82">
        <f>装备!H82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装备!G83</f>
        <v>0</v>
      </c>
      <c r="F83">
        <f>装备!H83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装备!G84</f>
        <v>0</v>
      </c>
      <c r="F84">
        <f>装备!H84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装备!G85</f>
        <v>0</v>
      </c>
      <c r="F85">
        <f>装备!H85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装备!G86</f>
        <v>0</v>
      </c>
      <c r="F86">
        <f>装备!H86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装备!D88</f>
        <v>0</v>
      </c>
      <c r="C87">
        <f>装备!E87</f>
        <v>0</v>
      </c>
      <c r="D87">
        <f>装备!F87</f>
        <v>0</v>
      </c>
      <c r="E87">
        <f>装备!G87</f>
        <v>0</v>
      </c>
      <c r="F87">
        <f>装备!H87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IF(装备!B88="",0,"'"&amp;装备!B88&amp;"'")</f>
        <v>'CS01'</v>
      </c>
      <c r="B88">
        <f>装备!D89</f>
        <v>0</v>
      </c>
      <c r="C88">
        <f>装备!E88</f>
        <v>0</v>
      </c>
      <c r="D88">
        <f>装备!F88</f>
        <v>0</v>
      </c>
      <c r="E88">
        <f>装备!G88</f>
        <v>0</v>
      </c>
      <c r="F88">
        <f>装备!H88</f>
        <v>0</v>
      </c>
      <c r="G88">
        <f>IF(装备!I88="",0,"'"&amp;装备!I88&amp;"'")</f>
        <v>0</v>
      </c>
      <c r="H88">
        <f>IF(装备!R88="",0,装备!R88)</f>
        <v>0</v>
      </c>
      <c r="I88">
        <f>IF(装备!S88="",0,装备!S88)</f>
        <v>0</v>
      </c>
      <c r="J88" t="str">
        <f>IF(装备!C88="",0,""""&amp;装备!C88&amp;"""")</f>
        <v>"低阶技能书"</v>
      </c>
      <c r="K88" t="str">
        <f>IF(装备!T88="","""""",""""&amp;装备!T88&amp;"""")</f>
        <v>"随机技能"</v>
      </c>
      <c r="L88" t="str">
        <f>IF(装备!U88="",0,""""&amp;装备!U88&amp;"""")</f>
        <v>"ReplaceableTextures\\CommandButtons\\BTNTome.blp"</v>
      </c>
      <c r="M88" t="str">
        <f t="shared" si="3"/>
        <v/>
      </c>
      <c r="N88" t="str">
        <f t="shared" si="2"/>
        <v>call InitTypeIdStrings('CS01',"低阶技能书","ReplaceableTextures\\CommandButtons\\BTNTome.blp","随机技能")</v>
      </c>
    </row>
    <row r="89" spans="1:14">
      <c r="A89" t="str">
        <f>IF(装备!B89="",0,"'"&amp;装备!B89&amp;"'")</f>
        <v>'CS02'</v>
      </c>
      <c r="B89">
        <f>装备!D90</f>
        <v>0</v>
      </c>
      <c r="C89">
        <f>装备!E89</f>
        <v>0</v>
      </c>
      <c r="D89">
        <f>装备!F89</f>
        <v>0</v>
      </c>
      <c r="E89">
        <f>装备!G89</f>
        <v>0</v>
      </c>
      <c r="F89">
        <f>装备!H89</f>
        <v>0</v>
      </c>
      <c r="G89">
        <f>IF(装备!I89="",0,"'"&amp;装备!I89&amp;"'")</f>
        <v>0</v>
      </c>
      <c r="H89">
        <f>IF(装备!R89="",0,装备!R89)</f>
        <v>0</v>
      </c>
      <c r="I89">
        <f>IF(装备!S89="",0,装备!S89)</f>
        <v>0</v>
      </c>
      <c r="J89" t="str">
        <f>IF(装备!C89="",0,""""&amp;装备!C89&amp;"""")</f>
        <v>"中阶技能书"</v>
      </c>
      <c r="K89" t="str">
        <f>IF(装备!T89="","""""",""""&amp;装备!T89&amp;"""")</f>
        <v>"随机技能"</v>
      </c>
      <c r="L89" t="str">
        <f>IF(装备!U89="",0,""""&amp;装备!U89&amp;"""")</f>
        <v>"ReplaceableTextures\\CommandButtons\\BTNTome.blp"</v>
      </c>
      <c r="M89" t="str">
        <f t="shared" si="3"/>
        <v/>
      </c>
      <c r="N89" t="str">
        <f t="shared" si="2"/>
        <v>call InitTypeIdStrings('CS02',"中阶技能书","ReplaceableTextures\\CommandButtons\\BTNTome.blp","随机技能")</v>
      </c>
    </row>
    <row r="90" spans="1:14">
      <c r="A90" t="str">
        <f>IF(装备!B90="",0,"'"&amp;装备!B90&amp;"'")</f>
        <v>'CS03'</v>
      </c>
      <c r="B90">
        <f>装备!D91</f>
        <v>0</v>
      </c>
      <c r="C90">
        <f>装备!E90</f>
        <v>0</v>
      </c>
      <c r="D90">
        <f>装备!F90</f>
        <v>0</v>
      </c>
      <c r="E90">
        <f>装备!G90</f>
        <v>0</v>
      </c>
      <c r="F90">
        <f>装备!H90</f>
        <v>0</v>
      </c>
      <c r="G90">
        <f>IF(装备!I90="",0,"'"&amp;装备!I90&amp;"'")</f>
        <v>0</v>
      </c>
      <c r="H90">
        <f>IF(装备!R90="",0,装备!R90)</f>
        <v>0</v>
      </c>
      <c r="I90">
        <f>IF(装备!S90="",0,装备!S90)</f>
        <v>0</v>
      </c>
      <c r="J90" t="str">
        <f>IF(装备!C90="",0,""""&amp;装备!C90&amp;"""")</f>
        <v>"高阶技能书"</v>
      </c>
      <c r="K90" t="str">
        <f>IF(装备!T90="","""""",""""&amp;装备!T90&amp;"""")</f>
        <v>"随机技能"</v>
      </c>
      <c r="L90" t="str">
        <f>IF(装备!U90="",0,""""&amp;装备!U90&amp;"""")</f>
        <v>"ReplaceableTextures\\CommandButtons\\BTNTome.blp"</v>
      </c>
      <c r="M90" t="str">
        <f t="shared" si="3"/>
        <v/>
      </c>
      <c r="N90" t="str">
        <f t="shared" si="2"/>
        <v>call InitTypeIdStrings('CS03',"高阶技能书","ReplaceableTextures\\CommandButtons\\BTNTome.blp","随机技能")</v>
      </c>
    </row>
    <row r="91" spans="1:14">
      <c r="A91" t="str">
        <f>IF(装备!B91="",0,"'"&amp;装备!B91&amp;"'")</f>
        <v>'CS04'</v>
      </c>
      <c r="B91">
        <f>装备!D92</f>
        <v>0</v>
      </c>
      <c r="C91">
        <f>装备!E91</f>
        <v>0</v>
      </c>
      <c r="D91">
        <f>装备!F91</f>
        <v>0</v>
      </c>
      <c r="E91">
        <f>装备!G91</f>
        <v>0</v>
      </c>
      <c r="F91">
        <f>装备!H91</f>
        <v>0</v>
      </c>
      <c r="G91">
        <f>IF(装备!I91="",0,"'"&amp;装备!I91&amp;"'")</f>
        <v>0</v>
      </c>
      <c r="H91">
        <f>IF(装备!R91="",0,装备!R91)</f>
        <v>0</v>
      </c>
      <c r="I91">
        <f>IF(装备!S91="",0,装备!S91)</f>
        <v>0</v>
      </c>
      <c r="J91" t="str">
        <f>IF(装备!C91="",0,""""&amp;装备!C91&amp;"""")</f>
        <v>"神阶技能书"</v>
      </c>
      <c r="K91" t="str">
        <f>IF(装备!T91="","""""",""""&amp;装备!T91&amp;"""")</f>
        <v>"随机技能"</v>
      </c>
      <c r="L91" t="str">
        <f>IF(装备!U91="",0,""""&amp;装备!U91&amp;"""")</f>
        <v>"ReplaceableTextures\\CommandButtons\\BTNTome.blp"</v>
      </c>
      <c r="M91" t="str">
        <f t="shared" si="3"/>
        <v/>
      </c>
      <c r="N91" t="str">
        <f t="shared" si="2"/>
        <v>call InitTypeIdStrings('CS04',"神阶技能书","ReplaceableTextures\\CommandButtons\\BTNTome.blp","随机技能")</v>
      </c>
    </row>
    <row r="92" spans="1:14">
      <c r="A92" t="str">
        <f>IF(装备!B92="",0,"'"&amp;装备!B92&amp;"'")</f>
        <v>'CF01'</v>
      </c>
      <c r="B92">
        <f>装备!D93</f>
        <v>0</v>
      </c>
      <c r="C92">
        <f>装备!E92</f>
        <v>0</v>
      </c>
      <c r="D92">
        <f>装备!F92</f>
        <v>0</v>
      </c>
      <c r="E92">
        <f>装备!G92</f>
        <v>0</v>
      </c>
      <c r="F92">
        <f>装备!H92</f>
        <v>0</v>
      </c>
      <c r="G92">
        <f>IF(装备!I92="",0,"'"&amp;装备!I92&amp;"'")</f>
        <v>0</v>
      </c>
      <c r="H92">
        <f>IF(装备!R92="",0,装备!R92)</f>
        <v>0</v>
      </c>
      <c r="I92">
        <f>IF(装备!S92="",0,装备!S92)</f>
        <v>0</v>
      </c>
      <c r="J92" t="str">
        <f>IF(装备!C92="",0,""""&amp;装备!C92&amp;"""")</f>
        <v>"随机法宝"</v>
      </c>
      <c r="K92" t="str">
        <f>IF(装备!T92="","""""",""""&amp;装备!T92&amp;"""")</f>
        <v>"随机法宝"</v>
      </c>
      <c r="L92" t="str">
        <f>IF(装备!U92="",0,""""&amp;装备!U92&amp;"""")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IF(装备!B93="",0,"'"&amp;装备!B93&amp;"'")</f>
        <v>'IP01'</v>
      </c>
      <c r="B93">
        <f>装备!D94</f>
        <v>0</v>
      </c>
      <c r="C93">
        <f>装备!E93</f>
        <v>0</v>
      </c>
      <c r="D93">
        <f>装备!F93</f>
        <v>0</v>
      </c>
      <c r="E93">
        <f>装备!G93</f>
        <v>0</v>
      </c>
      <c r="F93">
        <f>装备!H93</f>
        <v>0</v>
      </c>
      <c r="G93">
        <f>IF(装备!I93="",0,"'"&amp;装备!I93&amp;"'")</f>
        <v>0</v>
      </c>
      <c r="H93">
        <f>IF(装备!R93="",0,装备!R93)</f>
        <v>0</v>
      </c>
      <c r="I93">
        <f>IF(装备!S93="",0,装备!S93)</f>
        <v>0</v>
      </c>
      <c r="J93" t="str">
        <f>IF(装备!C93="",0,""""&amp;装备!C93&amp;"""")</f>
        <v>"时渊碎片"</v>
      </c>
      <c r="K93" t="str">
        <f>IF(装备!T93="","""""",""""&amp;装备!T93&amp;"""")</f>
        <v>"进入时渊副本消耗时渊碎片"</v>
      </c>
      <c r="L93" t="str">
        <f>IF(装备!U93="",0,""""&amp;装备!U93&amp;"""")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IF(装备!B94="",0,"'"&amp;装备!B94&amp;"'")</f>
        <v>'IP02'</v>
      </c>
      <c r="B94">
        <f>装备!D95</f>
        <v>0</v>
      </c>
      <c r="C94">
        <f>装备!E94</f>
        <v>0</v>
      </c>
      <c r="D94">
        <f>装备!F94</f>
        <v>0</v>
      </c>
      <c r="E94">
        <f>装备!G94</f>
        <v>0</v>
      </c>
      <c r="F94">
        <f>装备!H94</f>
        <v>0</v>
      </c>
      <c r="G94">
        <f>IF(装备!I94="",0,"'"&amp;装备!I94&amp;"'")</f>
        <v>0</v>
      </c>
      <c r="H94">
        <f>IF(装备!R94="",0,装备!R94)</f>
        <v>0</v>
      </c>
      <c r="I94">
        <f>IF(装备!S94="",0,装备!S94)</f>
        <v>0</v>
      </c>
      <c r="J94" t="str">
        <f>IF(装备!C94="",0,""""&amp;装备!C94&amp;"""")</f>
        <v>"补天石"</v>
      </c>
      <c r="K94" t="str">
        <f>IF(装备!T94="","""""",""""&amp;装备!T94&amp;"""")</f>
        <v>"消耗补天石，可重铸指定法宝"</v>
      </c>
      <c r="L94" t="str">
        <f>IF(装备!U94="",0,""""&amp;装备!U94&amp;"""")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IF(装备!B95="",0,"'"&amp;装备!B95&amp;"'")</f>
        <v>'IP03'</v>
      </c>
      <c r="B95">
        <f>装备!D96</f>
        <v>0</v>
      </c>
      <c r="C95">
        <f>装备!E95</f>
        <v>0</v>
      </c>
      <c r="D95">
        <f>装备!F95</f>
        <v>0</v>
      </c>
      <c r="E95">
        <f>装备!G95</f>
        <v>0</v>
      </c>
      <c r="F95">
        <f>装备!H95</f>
        <v>0</v>
      </c>
      <c r="G95">
        <f>IF(装备!I95="",0,"'"&amp;装备!I95&amp;"'")</f>
        <v>0</v>
      </c>
      <c r="H95">
        <f>IF(装备!R95="",0,装备!R95)</f>
        <v>0</v>
      </c>
      <c r="I95">
        <f>IF(装备!S95="",0,装备!S95)</f>
        <v>0</v>
      </c>
      <c r="J95" t="str">
        <f>IF(装备!C95="",0,""""&amp;装备!C95&amp;"""")</f>
        <v>"鸿蒙结晶"</v>
      </c>
      <c r="K95" t="str">
        <f>IF(装备!T95="","""""",""""&amp;装备!T95&amp;"""")</f>
        <v>"消耗鸿蒙结晶，可将指定法宝锻造为高一品阶的随机法宝。"</v>
      </c>
      <c r="L95" t="str">
        <f>IF(装备!U95="",0,""""&amp;装备!U95&amp;"""")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IF(装备!B96="",0,"'"&amp;装备!B96&amp;"'")</f>
        <v>'IT01'</v>
      </c>
      <c r="B96">
        <f>装备!D97</f>
        <v>0</v>
      </c>
      <c r="C96">
        <f>装备!E96</f>
        <v>0</v>
      </c>
      <c r="D96">
        <f>装备!F96</f>
        <v>0</v>
      </c>
      <c r="E96">
        <f>装备!G96</f>
        <v>0</v>
      </c>
      <c r="F96">
        <f>装备!H96</f>
        <v>0</v>
      </c>
      <c r="G96">
        <f>IF(装备!I96="",0,"'"&amp;装备!I96&amp;"'")</f>
        <v>0</v>
      </c>
      <c r="H96">
        <f>IF(装备!R96="",0,装备!R96)</f>
        <v>-7657</v>
      </c>
      <c r="I96">
        <f>IF(装备!S96="",0,装备!S96)</f>
        <v>-4635</v>
      </c>
      <c r="J96" t="str">
        <f>IF(装备!C96="",0,""""&amp;装备!C96&amp;"""")</f>
        <v>"境界挑战1"</v>
      </c>
      <c r="K96" t="str">
        <f>IF(装备!T96="","""""",""""&amp;装备!T96&amp;"""")</f>
        <v>"境界挑战1"</v>
      </c>
      <c r="L96" t="str">
        <f>IF(装备!U96="",0,""""&amp;装备!U96&amp;"""")</f>
        <v>"ReplaceableTextures\\CommandButtons\\BTNTome.blp"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IF(装备!B97="",0,"'"&amp;装备!B97&amp;"'")</f>
        <v>'IT02'</v>
      </c>
      <c r="B97">
        <f>装备!D98</f>
        <v>0</v>
      </c>
      <c r="C97">
        <f>装备!E97</f>
        <v>0</v>
      </c>
      <c r="D97">
        <f>装备!F97</f>
        <v>0</v>
      </c>
      <c r="E97">
        <f>装备!G97</f>
        <v>0</v>
      </c>
      <c r="F97">
        <f>装备!H97</f>
        <v>0</v>
      </c>
      <c r="G97">
        <f>IF(装备!I97="",0,"'"&amp;装备!I97&amp;"'")</f>
        <v>0</v>
      </c>
      <c r="H97">
        <f>IF(装备!R97="",0,装备!R97)</f>
        <v>-7872</v>
      </c>
      <c r="I97">
        <f>IF(装备!S97="",0,装备!S97)</f>
        <v>-2816</v>
      </c>
      <c r="J97" t="str">
        <f>IF(装备!C97="",0,""""&amp;装备!C97&amp;"""")</f>
        <v>"境界挑战2"</v>
      </c>
      <c r="K97" t="str">
        <f>IF(装备!T97="","""""",""""&amp;装备!T97&amp;"""")</f>
        <v>"境界挑战2"</v>
      </c>
      <c r="L97" t="str">
        <f>IF(装备!U97="",0,""""&amp;装备!U97&amp;"""")</f>
        <v>"ReplaceableTextures\\CommandButtons\\BTNTome.blp"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InitTypeIdStrings('IT02',"境界挑战2","ReplaceableTextures\\CommandButtons\\BTNTome.blp","境界挑战2")</v>
      </c>
    </row>
    <row r="98" spans="1:14">
      <c r="A98" t="str">
        <f>IF(装备!B98="",0,"'"&amp;装备!B98&amp;"'")</f>
        <v>'IT03'</v>
      </c>
      <c r="B98">
        <f>装备!D99</f>
        <v>0</v>
      </c>
      <c r="C98">
        <f>装备!E98</f>
        <v>0</v>
      </c>
      <c r="D98">
        <f>装备!F98</f>
        <v>0</v>
      </c>
      <c r="E98">
        <f>装备!G98</f>
        <v>0</v>
      </c>
      <c r="F98">
        <f>装备!H98</f>
        <v>0</v>
      </c>
      <c r="G98">
        <f>IF(装备!I98="",0,"'"&amp;装备!I98&amp;"'")</f>
        <v>0</v>
      </c>
      <c r="H98">
        <f>IF(装备!R98="",0,装备!R98)</f>
        <v>-8048</v>
      </c>
      <c r="I98">
        <f>IF(装备!S98="",0,装备!S98)</f>
        <v>-1563</v>
      </c>
      <c r="J98" t="str">
        <f>IF(装备!C98="",0,""""&amp;装备!C98&amp;"""")</f>
        <v>"境界挑战3"</v>
      </c>
      <c r="K98" t="str">
        <f>IF(装备!T98="","""""",""""&amp;装备!T98&amp;"""")</f>
        <v>"境界挑战3"</v>
      </c>
      <c r="L98" t="str">
        <f>IF(装备!U98="",0,""""&amp;装备!U98&amp;"""")</f>
        <v>"ReplaceableTextures\\CommandButtons\\BTNTome.blp"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InitTypeIdStrings('IT03',"境界挑战3","ReplaceableTextures\\CommandButtons\\BTNTome.blp","境界挑战3")</v>
      </c>
    </row>
    <row r="99" spans="1:14">
      <c r="A99" t="str">
        <f>IF(装备!B99="",0,"'"&amp;装备!B99&amp;"'")</f>
        <v>'IT04'</v>
      </c>
      <c r="B99">
        <f>装备!D100</f>
        <v>0</v>
      </c>
      <c r="C99">
        <f>装备!E99</f>
        <v>0</v>
      </c>
      <c r="D99">
        <f>装备!F99</f>
        <v>0</v>
      </c>
      <c r="E99">
        <f>装备!G99</f>
        <v>0</v>
      </c>
      <c r="F99">
        <f>装备!H99</f>
        <v>0</v>
      </c>
      <c r="G99">
        <f>IF(装备!I99="",0,"'"&amp;装备!I99&amp;"'")</f>
        <v>0</v>
      </c>
      <c r="H99">
        <f>IF(装备!R99="",0,装备!R99)</f>
        <v>-7794</v>
      </c>
      <c r="I99">
        <f>IF(装备!S99="",0,装备!S99)</f>
        <v>195</v>
      </c>
      <c r="J99" t="str">
        <f>IF(装备!C99="",0,""""&amp;装备!C99&amp;"""")</f>
        <v>"境界挑战4"</v>
      </c>
      <c r="K99" t="str">
        <f>IF(装备!T99="","""""",""""&amp;装备!T99&amp;"""")</f>
        <v>"境界挑战4"</v>
      </c>
      <c r="L99" t="str">
        <f>IF(装备!U99="",0,""""&amp;装备!U99&amp;"""")</f>
        <v>"ReplaceableTextures\\CommandButtons\\BTNTome.blp"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InitTypeIdStrings('IT04',"境界挑战4","ReplaceableTextures\\CommandButtons\\BTNTome.blp","境界挑战4")</v>
      </c>
    </row>
    <row r="100" spans="1:14">
      <c r="A100" t="str">
        <f>IF(装备!B100="",0,"'"&amp;装备!B100&amp;"'")</f>
        <v>'IT05'</v>
      </c>
      <c r="B100">
        <f>装备!D101</f>
        <v>0</v>
      </c>
      <c r="C100">
        <f>装备!E100</f>
        <v>0</v>
      </c>
      <c r="D100">
        <f>装备!F100</f>
        <v>0</v>
      </c>
      <c r="E100">
        <f>装备!G100</f>
        <v>0</v>
      </c>
      <c r="F100">
        <f>装备!H100</f>
        <v>0</v>
      </c>
      <c r="G100">
        <f>IF(装备!I100="",0,"'"&amp;装备!I100&amp;"'")</f>
        <v>0</v>
      </c>
      <c r="H100">
        <f>IF(装备!R100="",0,装备!R100)</f>
        <v>-8110</v>
      </c>
      <c r="I100">
        <f>IF(装备!S100="",0,装备!S100)</f>
        <v>1810</v>
      </c>
      <c r="J100" t="str">
        <f>IF(装备!C100="",0,""""&amp;装备!C100&amp;"""")</f>
        <v>"境界挑战5"</v>
      </c>
      <c r="K100" t="str">
        <f>IF(装备!T100="","""""",""""&amp;装备!T100&amp;"""")</f>
        <v>"境界挑战5"</v>
      </c>
      <c r="L100" t="str">
        <f>IF(装备!U100="",0,""""&amp;装备!U100&amp;"""")</f>
        <v>"ReplaceableTextures\\CommandButtons\\BTNTome.blp"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InitTypeIdStrings('IT05',"境界挑战5","ReplaceableTextures\\CommandButtons\\BTNTome.blp","境界挑战5")</v>
      </c>
    </row>
    <row r="101" spans="1:14">
      <c r="A101" t="str">
        <f>IF(装备!B101="",0,"'"&amp;装备!B101&amp;"'")</f>
        <v>'IT06'</v>
      </c>
      <c r="B101">
        <f>装备!D102</f>
        <v>0</v>
      </c>
      <c r="C101">
        <f>装备!E101</f>
        <v>0</v>
      </c>
      <c r="D101">
        <f>装备!F101</f>
        <v>0</v>
      </c>
      <c r="E101">
        <f>装备!G101</f>
        <v>0</v>
      </c>
      <c r="F101">
        <f>装备!H101</f>
        <v>0</v>
      </c>
      <c r="G101">
        <f>IF(装备!I101="",0,"'"&amp;装备!I101&amp;"'")</f>
        <v>0</v>
      </c>
      <c r="H101">
        <f>IF(装备!R101="",0,装备!R101)</f>
        <v>-7896</v>
      </c>
      <c r="I101">
        <f>IF(装备!S101="",0,装备!S101)</f>
        <v>3839</v>
      </c>
      <c r="J101" t="str">
        <f>IF(装备!C101="",0,""""&amp;装备!C101&amp;"""")</f>
        <v>"境界挑战6"</v>
      </c>
      <c r="K101" t="str">
        <f>IF(装备!T101="","""""",""""&amp;装备!T101&amp;"""")</f>
        <v>"境界挑战6"</v>
      </c>
      <c r="L101" t="str">
        <f>IF(装备!U101="",0,""""&amp;装备!U101&amp;"""")</f>
        <v>"ReplaceableTextures\\CommandButtons\\BTNTome.blp"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InitTypeIdStrings('IT06',"境界挑战6","ReplaceableTextures\\CommandButtons\\BTNTome.blp","境界挑战6")</v>
      </c>
    </row>
    <row r="102" spans="1:14">
      <c r="A102" t="str">
        <f>IF(装备!B102="",0,"'"&amp;装备!B102&amp;"'")</f>
        <v>'IT07'</v>
      </c>
      <c r="B102">
        <f>装备!D103</f>
        <v>0</v>
      </c>
      <c r="C102">
        <f>装备!E102</f>
        <v>0</v>
      </c>
      <c r="D102">
        <f>装备!F102</f>
        <v>0</v>
      </c>
      <c r="E102">
        <f>装备!G102</f>
        <v>0</v>
      </c>
      <c r="F102">
        <f>装备!H102</f>
        <v>0</v>
      </c>
      <c r="G102">
        <f>IF(装备!I102="",0,"'"&amp;装备!I102&amp;"'")</f>
        <v>0</v>
      </c>
      <c r="H102">
        <f>IF(装备!R102="",0,装备!R102)</f>
        <v>-7896</v>
      </c>
      <c r="I102">
        <f>IF(装备!S102="",0,装备!S102)</f>
        <v>5906</v>
      </c>
      <c r="J102" t="str">
        <f>IF(装备!C102="",0,""""&amp;装备!C102&amp;"""")</f>
        <v>"境界挑战7"</v>
      </c>
      <c r="K102" t="str">
        <f>IF(装备!T102="","""""",""""&amp;装备!T102&amp;"""")</f>
        <v>"境界挑战7"</v>
      </c>
      <c r="L102" t="str">
        <f>IF(装备!U102="",0,""""&amp;装备!U102&amp;"""")</f>
        <v>"ReplaceableTextures\\CommandButtons\\BTNTome.blp"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InitTypeIdStrings('IT07',"境界挑战7","ReplaceableTextures\\CommandButtons\\BTNTome.blp","境界挑战7")</v>
      </c>
    </row>
    <row r="103" spans="1:14">
      <c r="A103" t="str">
        <f>IF(装备!B103="",0,"'"&amp;装备!B103&amp;"'")</f>
        <v>'IT08'</v>
      </c>
      <c r="B103">
        <f>装备!D104</f>
        <v>0</v>
      </c>
      <c r="C103">
        <f>装备!E103</f>
        <v>0</v>
      </c>
      <c r="D103">
        <f>装备!F103</f>
        <v>0</v>
      </c>
      <c r="E103">
        <f>装备!G103</f>
        <v>0</v>
      </c>
      <c r="F103">
        <f>装备!H103</f>
        <v>0</v>
      </c>
      <c r="G103">
        <f>IF(装备!I103="",0,"'"&amp;装备!I103&amp;"'")</f>
        <v>0</v>
      </c>
      <c r="H103">
        <f>IF(装备!R103="",0,装备!R103)</f>
        <v>-7970</v>
      </c>
      <c r="I103">
        <f>IF(装备!S103="",0,装备!S103)</f>
        <v>7965</v>
      </c>
      <c r="J103" t="str">
        <f>IF(装备!C103="",0,""""&amp;装备!C103&amp;"""")</f>
        <v>"境界挑战8"</v>
      </c>
      <c r="K103" t="str">
        <f>IF(装备!T103="","""""",""""&amp;装备!T103&amp;"""")</f>
        <v>"境界挑战8"</v>
      </c>
      <c r="L103" t="str">
        <f>IF(装备!U103="",0,""""&amp;装备!U103&amp;"""")</f>
        <v>"ReplaceableTextures\\CommandButtons\\BTNTome.blp"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InitTypeIdStrings('IT08',"境界挑战8","ReplaceableTextures\\CommandButtons\\BTNTome.blp","境界挑战8")</v>
      </c>
    </row>
    <row r="104" spans="1:14">
      <c r="A104" t="str">
        <f>IF(装备!B104="",0,"'"&amp;装备!B104&amp;"'")</f>
        <v>'IT09'</v>
      </c>
      <c r="B104">
        <f>装备!D105</f>
        <v>0</v>
      </c>
      <c r="C104">
        <f>装备!E104</f>
        <v>0</v>
      </c>
      <c r="D104">
        <f>装备!F104</f>
        <v>0</v>
      </c>
      <c r="E104">
        <f>装备!G104</f>
        <v>0</v>
      </c>
      <c r="F104">
        <f>装备!H104</f>
        <v>0</v>
      </c>
      <c r="G104">
        <f>IF(装备!I104="",0,"'"&amp;装备!I104&amp;"'")</f>
        <v>0</v>
      </c>
      <c r="H104">
        <f>IF(装备!R104="",0,装备!R104)</f>
        <v>1891</v>
      </c>
      <c r="I104">
        <f>IF(装备!S104="",0,装备!S104)</f>
        <v>-8026</v>
      </c>
      <c r="J104" t="str">
        <f>IF(装备!C104="",0,""""&amp;装备!C104&amp;"""")</f>
        <v>"境界挑战9"</v>
      </c>
      <c r="K104" t="str">
        <f>IF(装备!T104="","""""",""""&amp;装备!T104&amp;"""")</f>
        <v>"境界挑战9"</v>
      </c>
      <c r="L104" t="str">
        <f>IF(装备!U104="",0,""""&amp;装备!U104&amp;"""")</f>
        <v>"ReplaceableTextures\\CommandButtons\\BTNTome.blp"</v>
      </c>
      <c r="M104" t="str">
        <f t="shared" si="4"/>
        <v>InitEquipData('IT09',0,0,0,0,0,0,1891,-8026)</v>
      </c>
      <c r="N104" t="str">
        <f t="shared" si="5"/>
        <v>call InitTypeIdStrings('IT09',"境界挑战9","ReplaceableTextures\\CommandButtons\\BTNTome.blp","境界挑战9")</v>
      </c>
    </row>
    <row r="105" spans="1:14">
      <c r="A105" t="str">
        <f>IF(装备!B105="",0,"'"&amp;装备!B105&amp;"'")</f>
        <v>'IT10'</v>
      </c>
      <c r="B105">
        <f>装备!D106</f>
        <v>0</v>
      </c>
      <c r="C105">
        <f>装备!E105</f>
        <v>0</v>
      </c>
      <c r="D105">
        <f>装备!F105</f>
        <v>0</v>
      </c>
      <c r="E105">
        <f>装备!G105</f>
        <v>0</v>
      </c>
      <c r="F105">
        <f>装备!H105</f>
        <v>0</v>
      </c>
      <c r="G105">
        <f>IF(装备!I105="",0,"'"&amp;装备!I105&amp;"'")</f>
        <v>0</v>
      </c>
      <c r="H105">
        <f>IF(装备!R105="",0,装备!R105)</f>
        <v>4814</v>
      </c>
      <c r="I105">
        <f>IF(装备!S105="",0,装备!S105)</f>
        <v>-8830</v>
      </c>
      <c r="J105" t="str">
        <f>IF(装备!C105="",0,""""&amp;装备!C105&amp;"""")</f>
        <v>"境界挑战10"</v>
      </c>
      <c r="K105" t="str">
        <f>IF(装备!T105="","""""",""""&amp;装备!T105&amp;"""")</f>
        <v>"境界挑战10"</v>
      </c>
      <c r="L105" t="str">
        <f>IF(装备!U105="",0,""""&amp;装备!U105&amp;"""")</f>
        <v>"ReplaceableTextures\\CommandButtons\\BTNTome.blp"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InitTypeIdStrings('IT10',"境界挑战10","ReplaceableTextures\\CommandButtons\\BTNTome.blp","境界挑战10")</v>
      </c>
    </row>
    <row r="106" spans="1:14">
      <c r="A106" t="str">
        <f>IF(装备!B106="",0,"'"&amp;装备!B106&amp;"'")</f>
        <v>'IT11'</v>
      </c>
      <c r="B106">
        <f>装备!D107</f>
        <v>0</v>
      </c>
      <c r="C106">
        <f>装备!E106</f>
        <v>0</v>
      </c>
      <c r="D106">
        <f>装备!F106</f>
        <v>0</v>
      </c>
      <c r="E106">
        <f>装备!G106</f>
        <v>0</v>
      </c>
      <c r="F106">
        <f>装备!H106</f>
        <v>0</v>
      </c>
      <c r="G106">
        <f>IF(装备!I106="",0,"'"&amp;装备!I106&amp;"'")</f>
        <v>0</v>
      </c>
      <c r="H106">
        <f>IF(装备!R106="",0,装备!R106)</f>
        <v>7429</v>
      </c>
      <c r="I106">
        <f>IF(装备!S106="",0,装备!S106)</f>
        <v>-8773</v>
      </c>
      <c r="J106" t="str">
        <f>IF(装备!C106="",0,""""&amp;装备!C106&amp;"""")</f>
        <v>"境界挑战11"</v>
      </c>
      <c r="K106" t="str">
        <f>IF(装备!T106="","""""",""""&amp;装备!T106&amp;"""")</f>
        <v>"境界挑战11"</v>
      </c>
      <c r="L106" t="str">
        <f>IF(装备!U106="",0,""""&amp;装备!U106&amp;"""")</f>
        <v>"ReplaceableTextures\\CommandButtons\\BTNTome.blp"</v>
      </c>
      <c r="M106" t="str">
        <f t="shared" si="4"/>
        <v>InitEquipData('IT11',0,0,0,0,0,0,7429,-8773)</v>
      </c>
      <c r="N106" t="str">
        <f t="shared" si="5"/>
        <v>call InitTypeIdStrings('IT11',"境界挑战11","ReplaceableTextures\\CommandButtons\\BTNTome.blp","境界挑战11")</v>
      </c>
    </row>
    <row r="107" spans="1:14">
      <c r="A107" t="str">
        <f>IF(装备!B107="",0,"'"&amp;装备!B107&amp;"'")</f>
        <v>'IT12'</v>
      </c>
      <c r="B107">
        <f>装备!D108</f>
        <v>0</v>
      </c>
      <c r="C107">
        <f>装备!E107</f>
        <v>0</v>
      </c>
      <c r="D107">
        <f>装备!F107</f>
        <v>0</v>
      </c>
      <c r="E107">
        <f>装备!G107</f>
        <v>0</v>
      </c>
      <c r="F107">
        <f>装备!H107</f>
        <v>0</v>
      </c>
      <c r="G107">
        <f>IF(装备!I107="",0,"'"&amp;装备!I107&amp;"'")</f>
        <v>0</v>
      </c>
      <c r="H107">
        <f>IF(装备!R107="",0,装备!R107)</f>
        <v>1840</v>
      </c>
      <c r="I107">
        <f>IF(装备!S107="",0,装备!S107)</f>
        <v>-5224</v>
      </c>
      <c r="J107" t="str">
        <f>IF(装备!C107="",0,""""&amp;装备!C107&amp;"""")</f>
        <v>"境界挑战12"</v>
      </c>
      <c r="K107" t="str">
        <f>IF(装备!T107="","""""",""""&amp;装备!T107&amp;"""")</f>
        <v>"境界挑战12"</v>
      </c>
      <c r="L107" t="str">
        <f>IF(装备!U107="",0,""""&amp;装备!U107&amp;"""")</f>
        <v>"ReplaceableTextures\\CommandButtons\\BTNTome.blp"</v>
      </c>
      <c r="M107" t="str">
        <f t="shared" si="4"/>
        <v>InitEquipData('IT12',0,0,0,0,0,0,1840,-5224)</v>
      </c>
      <c r="N107" t="str">
        <f t="shared" si="5"/>
        <v>call InitTypeIdStrings('IT12',"境界挑战12","ReplaceableTextures\\CommandButtons\\BTNTome.blp","境界挑战12")</v>
      </c>
    </row>
    <row r="108" spans="1:14">
      <c r="A108" t="str">
        <f>IF(装备!B108="",0,"'"&amp;装备!B108&amp;"'")</f>
        <v>'IT13'</v>
      </c>
      <c r="B108">
        <f>装备!D109</f>
        <v>0</v>
      </c>
      <c r="C108">
        <f>装备!E108</f>
        <v>0</v>
      </c>
      <c r="D108">
        <f>装备!F108</f>
        <v>0</v>
      </c>
      <c r="E108">
        <f>装备!G108</f>
        <v>0</v>
      </c>
      <c r="F108">
        <f>装备!H108</f>
        <v>0</v>
      </c>
      <c r="G108">
        <f>IF(装备!I108="",0,"'"&amp;装备!I108&amp;"'")</f>
        <v>0</v>
      </c>
      <c r="H108">
        <f>IF(装备!R108="",0,装备!R108)</f>
        <v>4398</v>
      </c>
      <c r="I108">
        <f>IF(装备!S108="",0,装备!S108)</f>
        <v>-5206</v>
      </c>
      <c r="J108" t="str">
        <f>IF(装备!C108="",0,""""&amp;装备!C108&amp;"""")</f>
        <v>"境界挑战13"</v>
      </c>
      <c r="K108" t="str">
        <f>IF(装备!T108="","""""",""""&amp;装备!T108&amp;"""")</f>
        <v>"境界挑战13"</v>
      </c>
      <c r="L108" t="str">
        <f>IF(装备!U108="",0,""""&amp;装备!U108&amp;"""")</f>
        <v>"ReplaceableTextures\\CommandButtons\\BTNTome.blp"</v>
      </c>
      <c r="M108" t="str">
        <f t="shared" si="4"/>
        <v>InitEquipData('IT13',0,0,0,0,0,0,4398,-5206)</v>
      </c>
      <c r="N108" t="str">
        <f t="shared" si="5"/>
        <v>call InitTypeIdStrings('IT13',"境界挑战13","ReplaceableTextures\\CommandButtons\\BTNTome.blp","境界挑战13")</v>
      </c>
    </row>
    <row r="109" spans="1:14">
      <c r="A109" t="str">
        <f>IF(装备!B109="",0,"'"&amp;装备!B109&amp;"'")</f>
        <v>'IT14'</v>
      </c>
      <c r="B109">
        <f>装备!D110</f>
        <v>0</v>
      </c>
      <c r="C109">
        <f>装备!E109</f>
        <v>0</v>
      </c>
      <c r="D109">
        <f>装备!F109</f>
        <v>0</v>
      </c>
      <c r="E109">
        <f>装备!G109</f>
        <v>0</v>
      </c>
      <c r="F109">
        <f>装备!H109</f>
        <v>0</v>
      </c>
      <c r="G109">
        <f>IF(装备!I109="",0,"'"&amp;装备!I109&amp;"'")</f>
        <v>0</v>
      </c>
      <c r="H109">
        <f>IF(装备!R109="",0,装备!R109)</f>
        <v>7548</v>
      </c>
      <c r="I109">
        <f>IF(装备!S109="",0,装备!S109)</f>
        <v>-6605</v>
      </c>
      <c r="J109" t="str">
        <f>IF(装备!C109="",0,""""&amp;装备!C109&amp;"""")</f>
        <v>"境界挑战14"</v>
      </c>
      <c r="K109" t="str">
        <f>IF(装备!T109="","""""",""""&amp;装备!T109&amp;"""")</f>
        <v>"境界挑战14"</v>
      </c>
      <c r="L109" t="str">
        <f>IF(装备!U109="",0,""""&amp;装备!U109&amp;"""")</f>
        <v>"ReplaceableTextures\\CommandButtons\\BTNTome.blp"</v>
      </c>
      <c r="M109" t="str">
        <f t="shared" si="4"/>
        <v>InitEquipData('IT14',0,0,0,0,0,0,7548,-6605)</v>
      </c>
      <c r="N109" t="str">
        <f t="shared" si="5"/>
        <v>call InitTypeIdStrings('IT14',"境界挑战14","ReplaceableTextures\\CommandButtons\\BTNTome.blp","境界挑战14")</v>
      </c>
    </row>
    <row r="110" spans="1:14">
      <c r="A110" t="str">
        <f>IF(装备!B110="",0,"'"&amp;装备!B110&amp;"'")</f>
        <v>'IS01'</v>
      </c>
      <c r="B110">
        <f>装备!D111</f>
        <v>0</v>
      </c>
      <c r="C110">
        <f>装备!E110</f>
        <v>0</v>
      </c>
      <c r="D110">
        <f>装备!F110</f>
        <v>0</v>
      </c>
      <c r="E110">
        <f>装备!G110</f>
        <v>0</v>
      </c>
      <c r="F110">
        <f>装备!H110</f>
        <v>0</v>
      </c>
      <c r="G110">
        <f>IF(装备!I110="",0,"'"&amp;装备!I110&amp;"'")</f>
        <v>0</v>
      </c>
      <c r="H110">
        <f>IF(装备!R110="",0,装备!R110)</f>
        <v>0</v>
      </c>
      <c r="I110">
        <f>IF(装备!S110="",0,装备!S110)</f>
        <v>0</v>
      </c>
      <c r="J110" t="str">
        <f>IF(装备!C110="",0,""""&amp;装备!C110&amp;"""")</f>
        <v>"抽技能DC"</v>
      </c>
      <c r="K110" t="str">
        <f>IF(装备!T110="","""""",""""&amp;装备!T110&amp;"""")</f>
        <v>"抽技能DC"</v>
      </c>
      <c r="L110" t="str">
        <f>IF(装备!U110="",0,""""&amp;装备!U110&amp;"""")</f>
        <v>"ReplaceableTextures\\CommandButtons\\BTNTome.blp"</v>
      </c>
      <c r="M110" t="str">
        <f t="shared" si="4"/>
        <v/>
      </c>
      <c r="N110" t="str">
        <f t="shared" si="5"/>
        <v>call InitTypeIdStrings('IS01',"抽技能DC","ReplaceableTextures\\CommandButtons\\BTNTome.blp","抽技能DC")</v>
      </c>
    </row>
    <row r="111" spans="1:14">
      <c r="A111" t="str">
        <f>IF(装备!B111="",0,"'"&amp;装备!B111&amp;"'")</f>
        <v>'IS02'</v>
      </c>
      <c r="B111">
        <f>装备!D112</f>
        <v>0</v>
      </c>
      <c r="C111">
        <f>装备!E111</f>
        <v>0</v>
      </c>
      <c r="D111">
        <f>装备!F111</f>
        <v>0</v>
      </c>
      <c r="E111">
        <f>装备!G111</f>
        <v>0</v>
      </c>
      <c r="F111">
        <f>装备!H111</f>
        <v>0</v>
      </c>
      <c r="G111">
        <f>IF(装备!I111="",0,"'"&amp;装备!I111&amp;"'")</f>
        <v>0</v>
      </c>
      <c r="H111">
        <f>IF(装备!R111="",0,装备!R111)</f>
        <v>0</v>
      </c>
      <c r="I111">
        <f>IF(装备!S111="",0,装备!S111)</f>
        <v>0</v>
      </c>
      <c r="J111" t="str">
        <f>IF(装备!C111="",0,""""&amp;装备!C111&amp;"""")</f>
        <v>"抽技能B"</v>
      </c>
      <c r="K111" t="str">
        <f>IF(装备!T111="","""""",""""&amp;装备!T111&amp;"""")</f>
        <v>"抽技能B"</v>
      </c>
      <c r="L111" t="str">
        <f>IF(装备!U111="",0,""""&amp;装备!U111&amp;"""")</f>
        <v>"ReplaceableTextures\\CommandButtons\\BTNTome.blp"</v>
      </c>
      <c r="M111" t="str">
        <f t="shared" si="4"/>
        <v/>
      </c>
      <c r="N111" t="str">
        <f t="shared" si="5"/>
        <v>call InitTypeIdStrings('IS02',"抽技能B","ReplaceableTextures\\CommandButtons\\BTNTome.blp","抽技能B")</v>
      </c>
    </row>
    <row r="112" spans="1:14">
      <c r="A112" t="str">
        <f>IF(装备!B112="",0,"'"&amp;装备!B112&amp;"'")</f>
        <v>'IS03'</v>
      </c>
      <c r="B112">
        <f>装备!D113</f>
        <v>0</v>
      </c>
      <c r="C112">
        <f>装备!E112</f>
        <v>0</v>
      </c>
      <c r="D112">
        <f>装备!F112</f>
        <v>0</v>
      </c>
      <c r="E112">
        <f>装备!G112</f>
        <v>0</v>
      </c>
      <c r="F112">
        <f>装备!H112</f>
        <v>0</v>
      </c>
      <c r="G112">
        <f>IF(装备!I112="",0,"'"&amp;装备!I112&amp;"'")</f>
        <v>0</v>
      </c>
      <c r="H112">
        <f>IF(装备!R112="",0,装备!R112)</f>
        <v>0</v>
      </c>
      <c r="I112">
        <f>IF(装备!S112="",0,装备!S112)</f>
        <v>0</v>
      </c>
      <c r="J112" t="str">
        <f>IF(装备!C112="",0,""""&amp;装备!C112&amp;"""")</f>
        <v>"抽技能A"</v>
      </c>
      <c r="K112" t="str">
        <f>IF(装备!T112="","""""",""""&amp;装备!T112&amp;"""")</f>
        <v>"抽技能A"</v>
      </c>
      <c r="L112" t="str">
        <f>IF(装备!U112="",0,""""&amp;装备!U112&amp;"""")</f>
        <v>"ReplaceableTextures\\CommandButtons\\BTNTome.blp"</v>
      </c>
      <c r="M112" t="str">
        <f t="shared" si="4"/>
        <v/>
      </c>
      <c r="N112" t="str">
        <f t="shared" si="5"/>
        <v>call InitTypeIdStrings('IS03',"抽技能A","ReplaceableTextures\\CommandButtons\\BTNTome.blp","抽技能A")</v>
      </c>
    </row>
    <row r="113" spans="1:14">
      <c r="A113" t="str">
        <f>IF(装备!B113="",0,"'"&amp;装备!B113&amp;"'")</f>
        <v>'IS04'</v>
      </c>
      <c r="B113">
        <f>装备!D114</f>
        <v>0</v>
      </c>
      <c r="C113">
        <f>装备!E113</f>
        <v>0</v>
      </c>
      <c r="D113">
        <f>装备!F113</f>
        <v>0</v>
      </c>
      <c r="E113">
        <f>装备!G113</f>
        <v>0</v>
      </c>
      <c r="F113">
        <f>装备!H113</f>
        <v>0</v>
      </c>
      <c r="G113">
        <f>IF(装备!I113="",0,"'"&amp;装备!I113&amp;"'")</f>
        <v>0</v>
      </c>
      <c r="H113">
        <f>IF(装备!R113="",0,装备!R113)</f>
        <v>0</v>
      </c>
      <c r="I113">
        <f>IF(装备!S113="",0,装备!S113)</f>
        <v>0</v>
      </c>
      <c r="J113" t="str">
        <f>IF(装备!C113="",0,""""&amp;装备!C113&amp;"""")</f>
        <v>"抽技能S"</v>
      </c>
      <c r="K113" t="str">
        <f>IF(装备!T113="","""""",""""&amp;装备!T113&amp;"""")</f>
        <v>"抽技能S"</v>
      </c>
      <c r="L113" t="str">
        <f>IF(装备!U113="",0,""""&amp;装备!U113&amp;"""")</f>
        <v>"ReplaceableTextures\\CommandButtons\\BTNTome.blp"</v>
      </c>
      <c r="M113" t="str">
        <f t="shared" si="4"/>
        <v/>
      </c>
      <c r="N113" t="str">
        <f t="shared" si="5"/>
        <v>call InitTypeIdStrings('IS04',"抽技能S","ReplaceableTextures\\CommandButtons\\BTNTome.blp","抽技能S")</v>
      </c>
    </row>
    <row r="114" spans="1:14">
      <c r="A114" t="str">
        <f>IF(装备!B114="",0,"'"&amp;装备!B114&amp;"'")</f>
        <v>'IH00'</v>
      </c>
      <c r="B114">
        <f>装备!D115</f>
        <v>0</v>
      </c>
      <c r="C114">
        <f>装备!E114</f>
        <v>0</v>
      </c>
      <c r="D114">
        <f>装备!F114</f>
        <v>0</v>
      </c>
      <c r="E114">
        <f>装备!G114</f>
        <v>0</v>
      </c>
      <c r="F114">
        <f>装备!H114</f>
        <v>0</v>
      </c>
      <c r="G114">
        <f>IF(装备!I114="",0,"'"&amp;装备!I114&amp;"'")</f>
        <v>0</v>
      </c>
      <c r="H114">
        <f>IF(装备!R114="",0,装备!R114)</f>
        <v>0</v>
      </c>
      <c r="I114">
        <f>IF(装备!S114="",0,装备!S114)</f>
        <v>0</v>
      </c>
      <c r="J114" t="str">
        <f>IF(装备!C114="",0,""""&amp;装备!C114&amp;"""")</f>
        <v>"觉醒兽魂"</v>
      </c>
      <c r="K114" t="str">
        <f>IF(装备!T114="","""""",""""&amp;装备!T114&amp;"""")</f>
        <v>"觉醒兽魂"</v>
      </c>
      <c r="L114" t="str">
        <f>IF(装备!U114="",0,""""&amp;装备!U114&amp;"""")</f>
        <v>"ReplaceableTextures\\CommandButtons\\BTNTome.blp"</v>
      </c>
      <c r="M114" t="str">
        <f t="shared" si="4"/>
        <v/>
      </c>
      <c r="N114" t="str">
        <f t="shared" si="5"/>
        <v>call InitTypeIdStrings('IH00',"觉醒兽魂","ReplaceableTextures\\CommandButtons\\BTNTome.blp","觉醒兽魂")</v>
      </c>
    </row>
    <row r="115" spans="1:14">
      <c r="A115" t="str">
        <f>IF(装备!B115="",0,"'"&amp;装备!B115&amp;"'")</f>
        <v>'IH01'</v>
      </c>
      <c r="B115">
        <f>装备!D116</f>
        <v>0</v>
      </c>
      <c r="C115">
        <f>装备!E115</f>
        <v>0</v>
      </c>
      <c r="D115">
        <f>装备!F115</f>
        <v>0</v>
      </c>
      <c r="E115">
        <f>装备!G115</f>
        <v>0</v>
      </c>
      <c r="F115">
        <f>装备!H115</f>
        <v>0</v>
      </c>
      <c r="G115">
        <f>IF(装备!I115="",0,"'"&amp;装备!I115&amp;"'")</f>
        <v>0</v>
      </c>
      <c r="H115">
        <f>IF(装备!R115="",0,装备!R115)</f>
        <v>0</v>
      </c>
      <c r="I115">
        <f>IF(装备!S115="",0,装备!S115)</f>
        <v>0</v>
      </c>
      <c r="J115" t="str">
        <f>IF(装备!C115="",0,""""&amp;装备!C115&amp;"""")</f>
        <v>"兽魂1"</v>
      </c>
      <c r="K115" t="str">
        <f>IF(装备!T115="","""""",""""&amp;装备!T115&amp;"""")</f>
        <v>"觉醒兽魂"</v>
      </c>
      <c r="L115" t="str">
        <f>IF(装备!U115="",0,""""&amp;装备!U115&amp;"""")</f>
        <v>"ReplaceableTextures\\CommandButtons\\BTNTome.blp"</v>
      </c>
      <c r="M115" t="str">
        <f t="shared" si="4"/>
        <v/>
      </c>
      <c r="N115" t="str">
        <f t="shared" si="5"/>
        <v>call InitTypeIdStrings('IH01',"兽魂1","ReplaceableTextures\\CommandButtons\\BTNTome.blp","觉醒兽魂")</v>
      </c>
    </row>
    <row r="116" spans="1:14">
      <c r="A116" t="str">
        <f>IF(装备!B116="",0,"'"&amp;装备!B116&amp;"'")</f>
        <v>'IH02'</v>
      </c>
      <c r="B116">
        <f>装备!D117</f>
        <v>0</v>
      </c>
      <c r="C116">
        <f>装备!E116</f>
        <v>0</v>
      </c>
      <c r="D116">
        <f>装备!F116</f>
        <v>0</v>
      </c>
      <c r="E116">
        <f>装备!G116</f>
        <v>0</v>
      </c>
      <c r="F116">
        <f>装备!H116</f>
        <v>0</v>
      </c>
      <c r="G116">
        <f>IF(装备!I116="",0,"'"&amp;装备!I116&amp;"'")</f>
        <v>0</v>
      </c>
      <c r="H116">
        <f>IF(装备!R116="",0,装备!R116)</f>
        <v>0</v>
      </c>
      <c r="I116">
        <f>IF(装备!S116="",0,装备!S116)</f>
        <v>0</v>
      </c>
      <c r="J116" t="str">
        <f>IF(装备!C116="",0,""""&amp;装备!C116&amp;"""")</f>
        <v>"兽魂2"</v>
      </c>
      <c r="K116" t="str">
        <f>IF(装备!T116="","""""",""""&amp;装备!T116&amp;"""")</f>
        <v>"觉醒兽魂"</v>
      </c>
      <c r="L116" t="str">
        <f>IF(装备!U116="",0,""""&amp;装备!U116&amp;"""")</f>
        <v>"ReplaceableTextures\\CommandButtons\\BTNTome.blp"</v>
      </c>
      <c r="M116" t="str">
        <f t="shared" si="4"/>
        <v/>
      </c>
      <c r="N116" t="str">
        <f t="shared" si="5"/>
        <v>call InitTypeIdStrings('IH02',"兽魂2","ReplaceableTextures\\CommandButtons\\BTNTome.blp","觉醒兽魂")</v>
      </c>
    </row>
    <row r="117" spans="1:14">
      <c r="A117" t="str">
        <f>IF(装备!B117="",0,"'"&amp;装备!B117&amp;"'")</f>
        <v>'IH03'</v>
      </c>
      <c r="B117">
        <f>装备!D118</f>
        <v>0</v>
      </c>
      <c r="C117">
        <f>装备!E117</f>
        <v>0</v>
      </c>
      <c r="D117">
        <f>装备!F117</f>
        <v>0</v>
      </c>
      <c r="E117">
        <f>装备!G117</f>
        <v>0</v>
      </c>
      <c r="F117">
        <f>装备!H117</f>
        <v>0</v>
      </c>
      <c r="G117">
        <f>IF(装备!I117="",0,"'"&amp;装备!I117&amp;"'")</f>
        <v>0</v>
      </c>
      <c r="H117">
        <f>IF(装备!R117="",0,装备!R117)</f>
        <v>0</v>
      </c>
      <c r="I117">
        <f>IF(装备!S117="",0,装备!S117)</f>
        <v>0</v>
      </c>
      <c r="J117" t="str">
        <f>IF(装备!C117="",0,""""&amp;装备!C117&amp;"""")</f>
        <v>"兽魂3"</v>
      </c>
      <c r="K117" t="str">
        <f>IF(装备!T117="","""""",""""&amp;装备!T117&amp;"""")</f>
        <v>"觉醒兽魂"</v>
      </c>
      <c r="L117" t="str">
        <f>IF(装备!U117="",0,""""&amp;装备!U117&amp;"""")</f>
        <v>"ReplaceableTextures\\CommandButtons\\BTNTome.blp"</v>
      </c>
      <c r="M117" t="str">
        <f t="shared" si="4"/>
        <v/>
      </c>
      <c r="N117" t="str">
        <f t="shared" si="5"/>
        <v>call InitTypeIdStrings('IH03',"兽魂3","ReplaceableTextures\\CommandButtons\\BTNTome.blp","觉醒兽魂")</v>
      </c>
    </row>
    <row r="118" spans="1:14">
      <c r="A118" t="str">
        <f>IF(装备!B118="",0,"'"&amp;装备!B118&amp;"'")</f>
        <v>'IH04'</v>
      </c>
      <c r="B118">
        <f>装备!D119</f>
        <v>0</v>
      </c>
      <c r="C118">
        <f>装备!E118</f>
        <v>0</v>
      </c>
      <c r="D118">
        <f>装备!F118</f>
        <v>0</v>
      </c>
      <c r="E118">
        <f>装备!G118</f>
        <v>0</v>
      </c>
      <c r="F118">
        <f>装备!H118</f>
        <v>0</v>
      </c>
      <c r="G118">
        <f>IF(装备!I118="",0,"'"&amp;装备!I118&amp;"'")</f>
        <v>0</v>
      </c>
      <c r="H118">
        <f>IF(装备!R118="",0,装备!R118)</f>
        <v>0</v>
      </c>
      <c r="I118">
        <f>IF(装备!S118="",0,装备!S118)</f>
        <v>0</v>
      </c>
      <c r="J118" t="str">
        <f>IF(装备!C118="",0,""""&amp;装备!C118&amp;"""")</f>
        <v>"兽魂4"</v>
      </c>
      <c r="K118" t="str">
        <f>IF(装备!T118="","""""",""""&amp;装备!T118&amp;"""")</f>
        <v>"觉醒兽魂"</v>
      </c>
      <c r="L118" t="str">
        <f>IF(装备!U118="",0,""""&amp;装备!U118&amp;"""")</f>
        <v>"ReplaceableTextures\\CommandButtons\\BTNTome.blp"</v>
      </c>
      <c r="M118" t="str">
        <f t="shared" si="4"/>
        <v/>
      </c>
      <c r="N118" t="str">
        <f t="shared" si="5"/>
        <v>call InitTypeIdStrings('IH04',"兽魂4","ReplaceableTextures\\CommandButtons\\BTNTome.blp","觉醒兽魂")</v>
      </c>
    </row>
    <row r="119" spans="1:14">
      <c r="A119" t="str">
        <f>IF(装备!B119="",0,"'"&amp;装备!B119&amp;"'")</f>
        <v>'IH05'</v>
      </c>
      <c r="B119">
        <f>装备!D120</f>
        <v>0</v>
      </c>
      <c r="C119">
        <f>装备!E119</f>
        <v>0</v>
      </c>
      <c r="D119">
        <f>装备!F119</f>
        <v>0</v>
      </c>
      <c r="E119">
        <f>装备!G119</f>
        <v>0</v>
      </c>
      <c r="F119">
        <f>装备!H119</f>
        <v>0</v>
      </c>
      <c r="G119">
        <f>IF(装备!I119="",0,"'"&amp;装备!I119&amp;"'")</f>
        <v>0</v>
      </c>
      <c r="H119">
        <f>IF(装备!R119="",0,装备!R119)</f>
        <v>0</v>
      </c>
      <c r="I119">
        <f>IF(装备!S119="",0,装备!S119)</f>
        <v>0</v>
      </c>
      <c r="J119" t="str">
        <f>IF(装备!C119="",0,""""&amp;装备!C119&amp;"""")</f>
        <v>"兽魂5"</v>
      </c>
      <c r="K119" t="str">
        <f>IF(装备!T119="","""""",""""&amp;装备!T119&amp;"""")</f>
        <v>"觉醒兽魂"</v>
      </c>
      <c r="L119" t="str">
        <f>IF(装备!U119="",0,""""&amp;装备!U119&amp;"""")</f>
        <v>"ReplaceableTextures\\CommandButtons\\BTNTome.blp"</v>
      </c>
      <c r="M119" t="str">
        <f t="shared" si="4"/>
        <v/>
      </c>
      <c r="N119" t="str">
        <f t="shared" si="5"/>
        <v>call InitTypeIdStrings('IH05',"兽魂5","ReplaceableTextures\\CommandButtons\\BTNTome.blp","觉醒兽魂")</v>
      </c>
    </row>
    <row r="120" spans="1:14">
      <c r="A120" t="str">
        <f>IF(装备!B120="",0,"'"&amp;装备!B120&amp;"'")</f>
        <v>'IH06'</v>
      </c>
      <c r="B120">
        <f>装备!D121</f>
        <v>0</v>
      </c>
      <c r="C120">
        <f>装备!E120</f>
        <v>0</v>
      </c>
      <c r="D120">
        <f>装备!F120</f>
        <v>0</v>
      </c>
      <c r="E120">
        <f>装备!G120</f>
        <v>0</v>
      </c>
      <c r="F120">
        <f>装备!H120</f>
        <v>0</v>
      </c>
      <c r="G120">
        <f>IF(装备!I120="",0,"'"&amp;装备!I120&amp;"'")</f>
        <v>0</v>
      </c>
      <c r="H120">
        <f>IF(装备!R120="",0,装备!R120)</f>
        <v>0</v>
      </c>
      <c r="I120">
        <f>IF(装备!S120="",0,装备!S120)</f>
        <v>0</v>
      </c>
      <c r="J120" t="str">
        <f>IF(装备!C120="",0,""""&amp;装备!C120&amp;"""")</f>
        <v>"兽魂6"</v>
      </c>
      <c r="K120" t="str">
        <f>IF(装备!T120="","""""",""""&amp;装备!T120&amp;"""")</f>
        <v>"觉醒兽魂"</v>
      </c>
      <c r="L120" t="str">
        <f>IF(装备!U120="",0,""""&amp;装备!U120&amp;"""")</f>
        <v>"ReplaceableTextures\\CommandButtons\\BTNTome.blp"</v>
      </c>
      <c r="M120" t="str">
        <f t="shared" si="4"/>
        <v/>
      </c>
      <c r="N120" t="str">
        <f t="shared" si="5"/>
        <v>call InitTypeIdStrings('IH06',"兽魂6","ReplaceableTextures\\CommandButtons\\BTNTome.blp","觉醒兽魂")</v>
      </c>
    </row>
    <row r="121" spans="1:14">
      <c r="A121" t="str">
        <f>IF(装备!B121="",0,"'"&amp;装备!B121&amp;"'")</f>
        <v>'IH07'</v>
      </c>
      <c r="B121">
        <f>装备!D122</f>
        <v>0</v>
      </c>
      <c r="C121">
        <f>装备!E121</f>
        <v>0</v>
      </c>
      <c r="D121">
        <f>装备!F121</f>
        <v>0</v>
      </c>
      <c r="E121">
        <f>装备!G121</f>
        <v>0</v>
      </c>
      <c r="F121">
        <f>装备!H121</f>
        <v>0</v>
      </c>
      <c r="G121">
        <f>IF(装备!I121="",0,"'"&amp;装备!I121&amp;"'")</f>
        <v>0</v>
      </c>
      <c r="H121">
        <f>IF(装备!R121="",0,装备!R121)</f>
        <v>0</v>
      </c>
      <c r="I121">
        <f>IF(装备!S121="",0,装备!S121)</f>
        <v>0</v>
      </c>
      <c r="J121" t="str">
        <f>IF(装备!C121="",0,""""&amp;装备!C121&amp;"""")</f>
        <v>"兽魂7"</v>
      </c>
      <c r="K121" t="str">
        <f>IF(装备!T121="","""""",""""&amp;装备!T121&amp;"""")</f>
        <v>"觉醒兽魂"</v>
      </c>
      <c r="L121" t="str">
        <f>IF(装备!U121="",0,""""&amp;装备!U121&amp;"""")</f>
        <v>"ReplaceableTextures\\CommandButtons\\BTNTome.blp"</v>
      </c>
      <c r="M121" t="str">
        <f t="shared" si="4"/>
        <v/>
      </c>
      <c r="N121" t="str">
        <f t="shared" si="5"/>
        <v>call InitTypeIdStrings('IH07',"兽魂7","ReplaceableTextures\\CommandButtons\\BTNTome.blp","觉醒兽魂")</v>
      </c>
    </row>
    <row r="122" spans="1:14">
      <c r="A122" t="str">
        <f>IF(装备!B122="",0,"'"&amp;装备!B122&amp;"'")</f>
        <v>'IH08'</v>
      </c>
      <c r="B122">
        <f>装备!D123</f>
        <v>0</v>
      </c>
      <c r="C122">
        <f>装备!E122</f>
        <v>0</v>
      </c>
      <c r="D122">
        <f>装备!F122</f>
        <v>0</v>
      </c>
      <c r="E122">
        <f>装备!G122</f>
        <v>0</v>
      </c>
      <c r="F122">
        <f>装备!H122</f>
        <v>0</v>
      </c>
      <c r="G122">
        <f>IF(装备!I122="",0,"'"&amp;装备!I122&amp;"'")</f>
        <v>0</v>
      </c>
      <c r="H122">
        <f>IF(装备!R122="",0,装备!R122)</f>
        <v>0</v>
      </c>
      <c r="I122">
        <f>IF(装备!S122="",0,装备!S122)</f>
        <v>0</v>
      </c>
      <c r="J122" t="str">
        <f>IF(装备!C122="",0,""""&amp;装备!C122&amp;"""")</f>
        <v>"兽魂8"</v>
      </c>
      <c r="K122" t="str">
        <f>IF(装备!T122="","""""",""""&amp;装备!T122&amp;"""")</f>
        <v>"觉醒兽魂"</v>
      </c>
      <c r="L122" t="str">
        <f>IF(装备!U122="",0,""""&amp;装备!U122&amp;"""")</f>
        <v>"ReplaceableTextures\\CommandButtons\\BTNTome.blp"</v>
      </c>
      <c r="M122" t="str">
        <f t="shared" si="4"/>
        <v/>
      </c>
      <c r="N122" t="str">
        <f t="shared" si="5"/>
        <v>call InitTypeIdStrings('IH08',"兽魂8","ReplaceableTextures\\CommandButtons\\BTNTome.blp","觉醒兽魂")</v>
      </c>
    </row>
    <row r="123" spans="1:14">
      <c r="A123" t="str">
        <f>IF(装备!B123="",0,"'"&amp;装备!B123&amp;"'")</f>
        <v>'IB01'</v>
      </c>
      <c r="B123">
        <f>装备!D124</f>
        <v>0</v>
      </c>
      <c r="C123">
        <f>装备!E123</f>
        <v>0</v>
      </c>
      <c r="D123">
        <f>装备!F123</f>
        <v>0</v>
      </c>
      <c r="E123">
        <f>装备!G123</f>
        <v>0</v>
      </c>
      <c r="F123">
        <f>装备!H123</f>
        <v>0</v>
      </c>
      <c r="G123">
        <f>IF(装备!I123="",0,"'"&amp;装备!I123&amp;"'")</f>
        <v>0</v>
      </c>
      <c r="H123">
        <f>IF(装备!R123="",0,装备!R123)</f>
        <v>0</v>
      </c>
      <c r="I123">
        <f>IF(装备!S123="",0,装备!S123)</f>
        <v>0</v>
      </c>
      <c r="J123" t="str">
        <f>IF(装备!C123="",0,""""&amp;装备!C123&amp;"""")</f>
        <v>"入群礼包"</v>
      </c>
      <c r="K123" t="str">
        <f>IF(装备!T123="","""""",""""&amp;装备!T123&amp;"""")</f>
        <v>"入群礼包"</v>
      </c>
      <c r="L123" t="str">
        <f>IF(装备!U123="",0,""""&amp;装备!U123&amp;"""")</f>
        <v>"ReplaceableTextures\\CommandButtons\\BTNTome.blp"</v>
      </c>
      <c r="M123" t="str">
        <f t="shared" si="4"/>
        <v/>
      </c>
      <c r="N123" t="str">
        <f t="shared" si="5"/>
        <v>call InitTypeIdStrings('IB01',"入群礼包","ReplaceableTextures\\CommandButtons\\BTNTome.blp","入群礼包")</v>
      </c>
    </row>
    <row r="124" spans="1:14">
      <c r="A124" t="str">
        <f>IF(装备!B124="",0,"'"&amp;装备!B124&amp;"'")</f>
        <v>'IB02'</v>
      </c>
      <c r="B124">
        <f>装备!D125</f>
        <v>0</v>
      </c>
      <c r="C124">
        <f>装备!E124</f>
        <v>0</v>
      </c>
      <c r="D124">
        <f>装备!F124</f>
        <v>0</v>
      </c>
      <c r="E124">
        <f>装备!G124</f>
        <v>0</v>
      </c>
      <c r="F124">
        <f>装备!H124</f>
        <v>0</v>
      </c>
      <c r="G124">
        <f>IF(装备!I124="",0,"'"&amp;装备!I124&amp;"'")</f>
        <v>0</v>
      </c>
      <c r="H124">
        <f>IF(装备!R124="",0,装备!R124)</f>
        <v>0</v>
      </c>
      <c r="I124">
        <f>IF(装备!S124="",0,装备!S124)</f>
        <v>0</v>
      </c>
      <c r="J124" t="str">
        <f>IF(装备!C124="",0,""""&amp;装备!C124&amp;"""")</f>
        <v>"公众号礼包"</v>
      </c>
      <c r="K124" t="str">
        <f>IF(装备!T124="","""""",""""&amp;装备!T124&amp;"""")</f>
        <v>"公众号礼包"</v>
      </c>
      <c r="L124" t="str">
        <f>IF(装备!U124="",0,""""&amp;装备!U124&amp;"""")</f>
        <v>"ReplaceableTextures\\CommandButtons\\BTNTome.blp"</v>
      </c>
      <c r="M124" t="str">
        <f t="shared" si="4"/>
        <v/>
      </c>
      <c r="N124" t="str">
        <f t="shared" si="5"/>
        <v>call InitTypeIdStrings('IB02',"公众号礼包","ReplaceableTextures\\CommandButtons\\BTNTome.blp","公众号礼包")</v>
      </c>
    </row>
    <row r="125" spans="1:14">
      <c r="A125" t="str">
        <f>IF(装备!B125="",0,"'"&amp;装备!B125&amp;"'")</f>
        <v>'IB03'</v>
      </c>
      <c r="B125">
        <f>装备!D126</f>
        <v>0</v>
      </c>
      <c r="C125">
        <f>装备!E125</f>
        <v>0</v>
      </c>
      <c r="D125">
        <f>装备!F125</f>
        <v>0</v>
      </c>
      <c r="E125">
        <f>装备!G125</f>
        <v>0</v>
      </c>
      <c r="F125">
        <f>装备!H125</f>
        <v>0</v>
      </c>
      <c r="G125">
        <f>IF(装备!I125="",0,"'"&amp;装备!I125&amp;"'")</f>
        <v>0</v>
      </c>
      <c r="H125">
        <f>IF(装备!R125="",0,装备!R125)</f>
        <v>0</v>
      </c>
      <c r="I125">
        <f>IF(装备!S125="",0,装备!S125)</f>
        <v>0</v>
      </c>
      <c r="J125" t="str">
        <f>IF(装备!C125="",0,""""&amp;装备!C125&amp;"""")</f>
        <v>"好评礼包"</v>
      </c>
      <c r="K125" t="str">
        <f>IF(装备!T125="","""""",""""&amp;装备!T125&amp;"""")</f>
        <v>"好评礼包"</v>
      </c>
      <c r="L125" t="str">
        <f>IF(装备!U125="",0,""""&amp;装备!U125&amp;"""")</f>
        <v>"ReplaceableTextures\\CommandButtons\\BTNTome.blp"</v>
      </c>
      <c r="M125" t="str">
        <f t="shared" si="4"/>
        <v/>
      </c>
      <c r="N125" t="str">
        <f t="shared" si="5"/>
        <v>call InitTypeIdStrings('IB03',"好评礼包","ReplaceableTextures\\CommandButtons\\BTNTome.blp","好评礼包")</v>
      </c>
    </row>
    <row r="126" spans="1:14">
      <c r="A126" t="str">
        <f>IF(装备!B126="",0,"'"&amp;装备!B126&amp;"'")</f>
        <v>'IB04'</v>
      </c>
      <c r="B126">
        <f>装备!D127</f>
        <v>0</v>
      </c>
      <c r="C126">
        <f>装备!E126</f>
        <v>0</v>
      </c>
      <c r="D126">
        <f>装备!F126</f>
        <v>0</v>
      </c>
      <c r="E126">
        <f>装备!G126</f>
        <v>0</v>
      </c>
      <c r="F126">
        <f>装备!H126</f>
        <v>0</v>
      </c>
      <c r="G126">
        <f>IF(装备!I126="",0,"'"&amp;装备!I126&amp;"'")</f>
        <v>0</v>
      </c>
      <c r="H126">
        <f>IF(装备!R126="",0,装备!R126)</f>
        <v>0</v>
      </c>
      <c r="I126">
        <f>IF(装备!S126="",0,装备!S126)</f>
        <v>0</v>
      </c>
      <c r="J126" t="str">
        <f>IF(装备!C126="",0,""""&amp;装备!C126&amp;"""")</f>
        <v>"老铁礼包"</v>
      </c>
      <c r="K126" t="str">
        <f>IF(装备!T126="","""""",""""&amp;装备!T126&amp;"""")</f>
        <v>"老铁礼包"</v>
      </c>
      <c r="L126" t="str">
        <f>IF(装备!U126="",0,""""&amp;装备!U126&amp;"""")</f>
        <v>"ReplaceableTextures\\CommandButtons\\BTNTome.blp"</v>
      </c>
      <c r="M126" t="str">
        <f t="shared" si="4"/>
        <v/>
      </c>
      <c r="N126" t="str">
        <f t="shared" si="5"/>
        <v>call InitTypeIdStrings('IB04',"老铁礼包","ReplaceableTextures\\CommandButtons\\BTNTome.blp","老铁礼包")</v>
      </c>
    </row>
    <row r="127" spans="1:14">
      <c r="A127" t="str">
        <f>IF(装备!B127="",0,"'"&amp;装备!B127&amp;"'")</f>
        <v>'IB05'</v>
      </c>
      <c r="B127">
        <f>装备!D128</f>
        <v>0</v>
      </c>
      <c r="C127">
        <f>装备!E127</f>
        <v>0</v>
      </c>
      <c r="D127">
        <f>装备!F127</f>
        <v>0</v>
      </c>
      <c r="E127">
        <f>装备!G127</f>
        <v>0</v>
      </c>
      <c r="F127">
        <f>装备!H127</f>
        <v>0</v>
      </c>
      <c r="G127">
        <f>IF(装备!I127="",0,"'"&amp;装备!I127&amp;"'")</f>
        <v>0</v>
      </c>
      <c r="H127">
        <f>IF(装备!R127="",0,装备!R127)</f>
        <v>0</v>
      </c>
      <c r="I127">
        <f>IF(装备!S127="",0,装备!S127)</f>
        <v>0</v>
      </c>
      <c r="J127" t="str">
        <f>IF(装备!C127="",0,""""&amp;装备!C127&amp;"""")</f>
        <v>"工会礼包"</v>
      </c>
      <c r="K127" t="str">
        <f>IF(装备!T127="","""""",""""&amp;装备!T127&amp;"""")</f>
        <v>"工会礼包"</v>
      </c>
      <c r="L127" t="str">
        <f>IF(装备!U127="",0,""""&amp;装备!U127&amp;"""")</f>
        <v>"ReplaceableTextures\\CommandButtons\\BTNTome.blp"</v>
      </c>
      <c r="M127" t="str">
        <f t="shared" si="4"/>
        <v/>
      </c>
      <c r="N127" t="str">
        <f t="shared" si="5"/>
        <v>call InitTypeIdStrings('IB05',"工会礼包","ReplaceableTextures\\CommandButtons\\BTNTome.blp","工会礼包")</v>
      </c>
    </row>
    <row r="128" spans="1:14">
      <c r="A128">
        <f>IF(装备!B128="",0,"'"&amp;装备!B128&amp;"'")</f>
        <v>0</v>
      </c>
      <c r="B128">
        <f>装备!D129</f>
        <v>0</v>
      </c>
      <c r="C128">
        <f>装备!E128</f>
        <v>0</v>
      </c>
      <c r="D128">
        <f>装备!F128</f>
        <v>0</v>
      </c>
      <c r="E128">
        <f>装备!G128</f>
        <v>0</v>
      </c>
      <c r="F128">
        <f>装备!H128</f>
        <v>0</v>
      </c>
      <c r="G128">
        <f>IF(装备!I128="",0,"'"&amp;装备!I128&amp;"'")</f>
        <v>0</v>
      </c>
      <c r="H128">
        <f>IF(装备!R128="",0,装备!R128)</f>
        <v>0</v>
      </c>
      <c r="I128">
        <f>IF(装备!S128="",0,装备!S128)</f>
        <v>0</v>
      </c>
      <c r="J128">
        <f>IF(装备!C128="",0,""""&amp;装备!C128&amp;"""")</f>
        <v>0</v>
      </c>
      <c r="K128" t="str">
        <f>IF(装备!T128="","""""",""""&amp;装备!T128&amp;"""")</f>
        <v>""</v>
      </c>
      <c r="L128">
        <f>IF(装备!U128="",0,""""&amp;装备!U128&amp;"""")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IF(装备!B129="",0,"'"&amp;装备!B129&amp;"'")</f>
        <v>0</v>
      </c>
      <c r="B129">
        <f>装备!D130</f>
        <v>0</v>
      </c>
      <c r="C129">
        <f>装备!E129</f>
        <v>0</v>
      </c>
      <c r="D129">
        <f>装备!F129</f>
        <v>0</v>
      </c>
      <c r="E129">
        <f>装备!G129</f>
        <v>0</v>
      </c>
      <c r="F129">
        <f>装备!H129</f>
        <v>0</v>
      </c>
      <c r="G129">
        <f>IF(装备!I129="",0,"'"&amp;装备!I129&amp;"'")</f>
        <v>0</v>
      </c>
      <c r="H129">
        <f>IF(装备!R129="",0,装备!R129)</f>
        <v>0</v>
      </c>
      <c r="I129">
        <f>IF(装备!S129="",0,装备!S129)</f>
        <v>0</v>
      </c>
      <c r="J129">
        <f>IF(装备!C129="",0,""""&amp;装备!C129&amp;"""")</f>
        <v>0</v>
      </c>
      <c r="K129" t="str">
        <f>IF(装备!T129="","""""",""""&amp;装备!T129&amp;"""")</f>
        <v>""</v>
      </c>
      <c r="L129">
        <f>IF(装备!U129="",0,""""&amp;装备!U129&amp;"""")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IF(装备!B130="",0,"'"&amp;装备!B130&amp;"'")</f>
        <v>0</v>
      </c>
      <c r="B130">
        <f>装备!D131</f>
        <v>0</v>
      </c>
      <c r="C130">
        <f>装备!E130</f>
        <v>0</v>
      </c>
      <c r="D130">
        <f>装备!F130</f>
        <v>0</v>
      </c>
      <c r="E130">
        <f>装备!G130</f>
        <v>0</v>
      </c>
      <c r="F130">
        <f>装备!H130</f>
        <v>0</v>
      </c>
      <c r="G130">
        <f>IF(装备!I130="",0,"'"&amp;装备!I130&amp;"'")</f>
        <v>0</v>
      </c>
      <c r="H130">
        <f>IF(装备!R130="",0,装备!R130)</f>
        <v>0</v>
      </c>
      <c r="I130">
        <f>IF(装备!S130="",0,装备!S130)</f>
        <v>0</v>
      </c>
      <c r="J130">
        <f>IF(装备!C130="",0,""""&amp;装备!C130&amp;"""")</f>
        <v>0</v>
      </c>
      <c r="K130" t="str">
        <f>IF(装备!T130="","""""",""""&amp;装备!T130&amp;"""")</f>
        <v>""</v>
      </c>
      <c r="L130">
        <f>IF(装备!U130="",0,""""&amp;装备!U130&amp;"""")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IF(装备!B131="",0,"'"&amp;装备!B131&amp;"'")</f>
        <v>0</v>
      </c>
      <c r="B131">
        <f>装备!D132</f>
        <v>0</v>
      </c>
      <c r="C131">
        <f>装备!E131</f>
        <v>0</v>
      </c>
      <c r="D131">
        <f>装备!F131</f>
        <v>0</v>
      </c>
      <c r="E131">
        <f>装备!G131</f>
        <v>0</v>
      </c>
      <c r="F131">
        <f>装备!H131</f>
        <v>0</v>
      </c>
      <c r="G131">
        <f>IF(装备!I131="",0,"'"&amp;装备!I131&amp;"'")</f>
        <v>0</v>
      </c>
      <c r="H131">
        <f>IF(装备!R131="",0,装备!R131)</f>
        <v>0</v>
      </c>
      <c r="I131">
        <f>IF(装备!S131="",0,装备!S131)</f>
        <v>0</v>
      </c>
      <c r="J131">
        <f>IF(装备!C131="",0,""""&amp;装备!C131&amp;"""")</f>
        <v>0</v>
      </c>
      <c r="K131" t="str">
        <f>IF(装备!T131="","""""",""""&amp;装备!T131&amp;"""")</f>
        <v>""</v>
      </c>
      <c r="L131">
        <f>IF(装备!U131="",0,""""&amp;装备!U131&amp;"""")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IF(装备!B132="",0,"'"&amp;装备!B132&amp;"'")</f>
        <v>0</v>
      </c>
      <c r="B132">
        <f>装备!D133</f>
        <v>0</v>
      </c>
      <c r="C132">
        <f>装备!E132</f>
        <v>0</v>
      </c>
      <c r="D132">
        <f>装备!F132</f>
        <v>0</v>
      </c>
      <c r="E132">
        <f>装备!G132</f>
        <v>0</v>
      </c>
      <c r="F132">
        <f>装备!H132</f>
        <v>0</v>
      </c>
      <c r="G132">
        <f>IF(装备!I132="",0,"'"&amp;装备!I132&amp;"'")</f>
        <v>0</v>
      </c>
      <c r="H132">
        <f>IF(装备!R132="",0,装备!R132)</f>
        <v>0</v>
      </c>
      <c r="I132">
        <f>IF(装备!S132="",0,装备!S132)</f>
        <v>0</v>
      </c>
      <c r="J132">
        <f>IF(装备!C132="",0,""""&amp;装备!C132&amp;"""")</f>
        <v>0</v>
      </c>
      <c r="K132" t="str">
        <f>IF(装备!T132="","""""",""""&amp;装备!T132&amp;"""")</f>
        <v>""</v>
      </c>
      <c r="L132">
        <f>IF(装备!U132="",0,""""&amp;装备!U132&amp;"""")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IF(装备!B133="",0,"'"&amp;装备!B133&amp;"'")</f>
        <v>0</v>
      </c>
      <c r="B133">
        <f>装备!D134</f>
        <v>0</v>
      </c>
      <c r="C133">
        <f>装备!E133</f>
        <v>0</v>
      </c>
      <c r="D133">
        <f>装备!F133</f>
        <v>0</v>
      </c>
      <c r="E133">
        <f>装备!G133</f>
        <v>0</v>
      </c>
      <c r="F133">
        <f>装备!H133</f>
        <v>0</v>
      </c>
      <c r="G133">
        <f>IF(装备!I133="",0,"'"&amp;装备!I133&amp;"'")</f>
        <v>0</v>
      </c>
      <c r="H133">
        <f>IF(装备!R133="",0,装备!R133)</f>
        <v>0</v>
      </c>
      <c r="I133">
        <f>IF(装备!S133="",0,装备!S133)</f>
        <v>0</v>
      </c>
      <c r="J133">
        <f>IF(装备!C133="",0,""""&amp;装备!C133&amp;"""")</f>
        <v>0</v>
      </c>
      <c r="K133" t="str">
        <f>IF(装备!T133="","""""",""""&amp;装备!T133&amp;"""")</f>
        <v>""</v>
      </c>
      <c r="L133">
        <f>IF(装备!U133="",0,""""&amp;装备!U133&amp;"""")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IF(装备!B134="",0,"'"&amp;装备!B134&amp;"'")</f>
        <v>0</v>
      </c>
      <c r="B134">
        <f>装备!D135</f>
        <v>0</v>
      </c>
      <c r="C134">
        <f>装备!E134</f>
        <v>0</v>
      </c>
      <c r="D134">
        <f>装备!F134</f>
        <v>0</v>
      </c>
      <c r="E134">
        <f>装备!G134</f>
        <v>0</v>
      </c>
      <c r="F134">
        <f>装备!H134</f>
        <v>0</v>
      </c>
      <c r="G134">
        <f>IF(装备!I134="",0,"'"&amp;装备!I134&amp;"'")</f>
        <v>0</v>
      </c>
      <c r="H134">
        <f>IF(装备!R134="",0,装备!R134)</f>
        <v>0</v>
      </c>
      <c r="I134">
        <f>IF(装备!S134="",0,装备!S134)</f>
        <v>0</v>
      </c>
      <c r="J134">
        <f>IF(装备!C134="",0,""""&amp;装备!C134&amp;"""")</f>
        <v>0</v>
      </c>
      <c r="K134" t="str">
        <f>IF(装备!T134="","""""",""""&amp;装备!T134&amp;"""")</f>
        <v>""</v>
      </c>
      <c r="L134">
        <f>IF(装备!U134="",0,""""&amp;装备!U134&amp;"""")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IF(装备!B135="",0,"'"&amp;装备!B135&amp;"'")</f>
        <v>0</v>
      </c>
      <c r="B135">
        <f>装备!D136</f>
        <v>0</v>
      </c>
      <c r="C135">
        <f>装备!E135</f>
        <v>0</v>
      </c>
      <c r="D135">
        <f>装备!F135</f>
        <v>0</v>
      </c>
      <c r="E135">
        <f>装备!G135</f>
        <v>0</v>
      </c>
      <c r="F135">
        <f>装备!H135</f>
        <v>0</v>
      </c>
      <c r="G135">
        <f>IF(装备!I135="",0,"'"&amp;装备!I135&amp;"'")</f>
        <v>0</v>
      </c>
      <c r="H135">
        <f>IF(装备!R135="",0,装备!R135)</f>
        <v>0</v>
      </c>
      <c r="I135">
        <f>IF(装备!S135="",0,装备!S135)</f>
        <v>0</v>
      </c>
      <c r="J135">
        <f>IF(装备!C135="",0,""""&amp;装备!C135&amp;"""")</f>
        <v>0</v>
      </c>
      <c r="K135" t="str">
        <f>IF(装备!T135="","""""",""""&amp;装备!T135&amp;"""")</f>
        <v>""</v>
      </c>
      <c r="L135">
        <f>IF(装备!U135="",0,""""&amp;装备!U135&amp;"""")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IF(装备!B136="",0,"'"&amp;装备!B136&amp;"'")</f>
        <v>0</v>
      </c>
      <c r="B136">
        <f>装备!D137</f>
        <v>0</v>
      </c>
      <c r="C136">
        <f>装备!E136</f>
        <v>0</v>
      </c>
      <c r="D136">
        <f>装备!F136</f>
        <v>0</v>
      </c>
      <c r="E136">
        <f>装备!G136</f>
        <v>0</v>
      </c>
      <c r="F136">
        <f>装备!H136</f>
        <v>0</v>
      </c>
      <c r="G136">
        <f>IF(装备!I136="",0,"'"&amp;装备!I136&amp;"'")</f>
        <v>0</v>
      </c>
      <c r="H136">
        <f>IF(装备!R136="",0,装备!R136)</f>
        <v>0</v>
      </c>
      <c r="I136">
        <f>IF(装备!S136="",0,装备!S136)</f>
        <v>0</v>
      </c>
      <c r="J136">
        <f>IF(装备!C136="",0,""""&amp;装备!C136&amp;"""")</f>
        <v>0</v>
      </c>
      <c r="K136" t="str">
        <f>IF(装备!T136="","""""",""""&amp;装备!T136&amp;"""")</f>
        <v>""</v>
      </c>
      <c r="L136">
        <f>IF(装备!U136="",0,""""&amp;装备!U136&amp;"""")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IF(装备!B137="",0,"'"&amp;装备!B137&amp;"'")</f>
        <v>0</v>
      </c>
      <c r="B137">
        <f>装备!D138</f>
        <v>0</v>
      </c>
      <c r="C137">
        <f>装备!E137</f>
        <v>0</v>
      </c>
      <c r="D137">
        <f>装备!F137</f>
        <v>0</v>
      </c>
      <c r="E137">
        <f>装备!G137</f>
        <v>0</v>
      </c>
      <c r="F137">
        <f>装备!H137</f>
        <v>0</v>
      </c>
      <c r="G137">
        <f>IF(装备!I137="",0,"'"&amp;装备!I137&amp;"'")</f>
        <v>0</v>
      </c>
      <c r="H137">
        <f>IF(装备!R137="",0,装备!R137)</f>
        <v>0</v>
      </c>
      <c r="I137">
        <f>IF(装备!S137="",0,装备!S137)</f>
        <v>0</v>
      </c>
      <c r="J137">
        <f>IF(装备!C137="",0,""""&amp;装备!C137&amp;"""")</f>
        <v>0</v>
      </c>
      <c r="K137" t="str">
        <f>IF(装备!T137="","""""",""""&amp;装备!T137&amp;"""")</f>
        <v>""</v>
      </c>
      <c r="L137">
        <f>IF(装备!U137="",0,""""&amp;装备!U137&amp;"""")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IF(装备!B138="",0,"'"&amp;装备!B138&amp;"'")</f>
        <v>0</v>
      </c>
      <c r="B138">
        <f>装备!D139</f>
        <v>0</v>
      </c>
      <c r="C138">
        <f>装备!E138</f>
        <v>0</v>
      </c>
      <c r="D138">
        <f>装备!F138</f>
        <v>0</v>
      </c>
      <c r="E138">
        <f>装备!G138</f>
        <v>0</v>
      </c>
      <c r="F138">
        <f>装备!H138</f>
        <v>0</v>
      </c>
      <c r="G138">
        <f>IF(装备!I138="",0,"'"&amp;装备!I138&amp;"'")</f>
        <v>0</v>
      </c>
      <c r="H138">
        <f>IF(装备!R138="",0,装备!R138)</f>
        <v>0</v>
      </c>
      <c r="I138">
        <f>IF(装备!S138="",0,装备!S138)</f>
        <v>0</v>
      </c>
      <c r="J138">
        <f>IF(装备!C138="",0,""""&amp;装备!C138&amp;"""")</f>
        <v>0</v>
      </c>
      <c r="K138" t="str">
        <f>IF(装备!T138="","""""",""""&amp;装备!T138&amp;"""")</f>
        <v>""</v>
      </c>
      <c r="L138">
        <f>IF(装备!U138="",0,""""&amp;装备!U138&amp;"""")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IF(装备!B139="",0,"'"&amp;装备!B139&amp;"'")</f>
        <v>0</v>
      </c>
      <c r="B139">
        <f>装备!D140</f>
        <v>0</v>
      </c>
      <c r="C139">
        <f>装备!E139</f>
        <v>0</v>
      </c>
      <c r="D139">
        <f>装备!F139</f>
        <v>0</v>
      </c>
      <c r="E139">
        <f>装备!G139</f>
        <v>0</v>
      </c>
      <c r="F139">
        <f>装备!H139</f>
        <v>0</v>
      </c>
      <c r="G139">
        <f>IF(装备!I139="",0,"'"&amp;装备!I139&amp;"'")</f>
        <v>0</v>
      </c>
      <c r="H139">
        <f>IF(装备!R139="",0,装备!R139)</f>
        <v>0</v>
      </c>
      <c r="I139">
        <f>IF(装备!S139="",0,装备!S139)</f>
        <v>0</v>
      </c>
      <c r="J139">
        <f>IF(装备!C139="",0,""""&amp;装备!C139&amp;"""")</f>
        <v>0</v>
      </c>
      <c r="K139" t="str">
        <f>IF(装备!T139="","""""",""""&amp;装备!T139&amp;"""")</f>
        <v>""</v>
      </c>
      <c r="L139">
        <f>IF(装备!U139="",0,""""&amp;装备!U139&amp;"""")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IF(装备!B140="",0,"'"&amp;装备!B140&amp;"'")</f>
        <v>0</v>
      </c>
      <c r="B140">
        <f>装备!D141</f>
        <v>0</v>
      </c>
      <c r="C140">
        <f>装备!E140</f>
        <v>0</v>
      </c>
      <c r="D140">
        <f>装备!F140</f>
        <v>0</v>
      </c>
      <c r="E140">
        <f>装备!G140</f>
        <v>0</v>
      </c>
      <c r="F140">
        <f>装备!H140</f>
        <v>0</v>
      </c>
      <c r="G140">
        <f>IF(装备!I140="",0,"'"&amp;装备!I140&amp;"'")</f>
        <v>0</v>
      </c>
      <c r="H140">
        <f>IF(装备!R140="",0,装备!R140)</f>
        <v>0</v>
      </c>
      <c r="I140">
        <f>IF(装备!S140="",0,装备!S140)</f>
        <v>0</v>
      </c>
      <c r="J140">
        <f>IF(装备!C140="",0,""""&amp;装备!C140&amp;"""")</f>
        <v>0</v>
      </c>
      <c r="K140" t="str">
        <f>IF(装备!T140="","""""",""""&amp;装备!T140&amp;"""")</f>
        <v>""</v>
      </c>
      <c r="L140">
        <f>IF(装备!U140="",0,""""&amp;装备!U140&amp;"""")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IF(装备!B141="",0,"'"&amp;装备!B141&amp;"'")</f>
        <v>0</v>
      </c>
      <c r="B141">
        <f>装备!D142</f>
        <v>0</v>
      </c>
      <c r="C141">
        <f>装备!E141</f>
        <v>0</v>
      </c>
      <c r="D141">
        <f>装备!F141</f>
        <v>0</v>
      </c>
      <c r="E141">
        <f>装备!G141</f>
        <v>0</v>
      </c>
      <c r="F141">
        <f>装备!H141</f>
        <v>0</v>
      </c>
      <c r="G141">
        <f>IF(装备!I141="",0,"'"&amp;装备!I141&amp;"'")</f>
        <v>0</v>
      </c>
      <c r="H141">
        <f>IF(装备!R141="",0,装备!R141)</f>
        <v>0</v>
      </c>
      <c r="I141">
        <f>IF(装备!S141="",0,装备!S141)</f>
        <v>0</v>
      </c>
      <c r="J141">
        <f>IF(装备!C141="",0,""""&amp;装备!C141&amp;"""")</f>
        <v>0</v>
      </c>
      <c r="K141" t="str">
        <f>IF(装备!T141="","""""",""""&amp;装备!T141&amp;"""")</f>
        <v>""</v>
      </c>
      <c r="L141">
        <f>IF(装备!U141="",0,""""&amp;装备!U141&amp;"""")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IF(装备!B142="",0,"'"&amp;装备!B142&amp;"'")</f>
        <v>0</v>
      </c>
      <c r="B142">
        <f>装备!D143</f>
        <v>0</v>
      </c>
      <c r="C142">
        <f>装备!E142</f>
        <v>0</v>
      </c>
      <c r="D142">
        <f>装备!F142</f>
        <v>0</v>
      </c>
      <c r="E142">
        <f>装备!G142</f>
        <v>0</v>
      </c>
      <c r="F142">
        <f>装备!H142</f>
        <v>0</v>
      </c>
      <c r="G142">
        <f>IF(装备!I142="",0,"'"&amp;装备!I142&amp;"'")</f>
        <v>0</v>
      </c>
      <c r="H142">
        <f>IF(装备!R142="",0,装备!R142)</f>
        <v>0</v>
      </c>
      <c r="I142">
        <f>IF(装备!S142="",0,装备!S142)</f>
        <v>0</v>
      </c>
      <c r="J142">
        <f>IF(装备!C142="",0,""""&amp;装备!C142&amp;"""")</f>
        <v>0</v>
      </c>
      <c r="K142" t="str">
        <f>IF(装备!T142="","""""",""""&amp;装备!T142&amp;"""")</f>
        <v>""</v>
      </c>
      <c r="L142">
        <f>IF(装备!U142="",0,""""&amp;装备!U142&amp;"""")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IF(装备!B143="",0,"'"&amp;装备!B143&amp;"'")</f>
        <v>0</v>
      </c>
      <c r="B143">
        <f>装备!D144</f>
        <v>0</v>
      </c>
      <c r="C143">
        <f>装备!E143</f>
        <v>0</v>
      </c>
      <c r="D143">
        <f>装备!F143</f>
        <v>0</v>
      </c>
      <c r="E143">
        <f>装备!G143</f>
        <v>0</v>
      </c>
      <c r="F143">
        <f>装备!H143</f>
        <v>0</v>
      </c>
      <c r="G143">
        <f>IF(装备!I143="",0,"'"&amp;装备!I143&amp;"'")</f>
        <v>0</v>
      </c>
      <c r="H143">
        <f>IF(装备!R143="",0,装备!R143)</f>
        <v>0</v>
      </c>
      <c r="I143">
        <f>IF(装备!S143="",0,装备!S143)</f>
        <v>0</v>
      </c>
      <c r="J143">
        <f>IF(装备!C143="",0,""""&amp;装备!C143&amp;"""")</f>
        <v>0</v>
      </c>
      <c r="K143" t="str">
        <f>IF(装备!T143="","""""",""""&amp;装备!T143&amp;"""")</f>
        <v>""</v>
      </c>
      <c r="L143">
        <f>IF(装备!U143="",0,""""&amp;装备!U143&amp;"""")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IF(装备!B144="",0,"'"&amp;装备!B144&amp;"'")</f>
        <v>0</v>
      </c>
      <c r="B144">
        <f>装备!D145</f>
        <v>0</v>
      </c>
      <c r="C144">
        <f>装备!E144</f>
        <v>0</v>
      </c>
      <c r="D144">
        <f>装备!F144</f>
        <v>0</v>
      </c>
      <c r="E144">
        <f>装备!G144</f>
        <v>0</v>
      </c>
      <c r="F144">
        <f>装备!H144</f>
        <v>0</v>
      </c>
      <c r="G144">
        <f>IF(装备!I144="",0,"'"&amp;装备!I144&amp;"'")</f>
        <v>0</v>
      </c>
      <c r="H144">
        <f>IF(装备!R144="",0,装备!R144)</f>
        <v>0</v>
      </c>
      <c r="I144">
        <f>IF(装备!S144="",0,装备!S144)</f>
        <v>0</v>
      </c>
      <c r="J144">
        <f>IF(装备!C144="",0,""""&amp;装备!C144&amp;"""")</f>
        <v>0</v>
      </c>
      <c r="K144" t="str">
        <f>IF(装备!T144="","""""",""""&amp;装备!T144&amp;"""")</f>
        <v>""</v>
      </c>
      <c r="L144">
        <f>IF(装备!U144="",0,""""&amp;装备!U144&amp;"""")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IF(装备!B145="",0,"'"&amp;装备!B145&amp;"'")</f>
        <v>0</v>
      </c>
      <c r="B145">
        <f>装备!D146</f>
        <v>0</v>
      </c>
      <c r="C145">
        <f>装备!E145</f>
        <v>0</v>
      </c>
      <c r="D145">
        <f>装备!F145</f>
        <v>0</v>
      </c>
      <c r="E145">
        <f>装备!G145</f>
        <v>0</v>
      </c>
      <c r="F145">
        <f>装备!H145</f>
        <v>0</v>
      </c>
      <c r="G145">
        <f>IF(装备!I145="",0,"'"&amp;装备!I145&amp;"'")</f>
        <v>0</v>
      </c>
      <c r="H145">
        <f>IF(装备!R145="",0,装备!R145)</f>
        <v>0</v>
      </c>
      <c r="I145">
        <f>IF(装备!S145="",0,装备!S145)</f>
        <v>0</v>
      </c>
      <c r="J145">
        <f>IF(装备!C145="",0,""""&amp;装备!C145&amp;"""")</f>
        <v>0</v>
      </c>
      <c r="K145" t="str">
        <f>IF(装备!T145="","""""",""""&amp;装备!T145&amp;"""")</f>
        <v>""</v>
      </c>
      <c r="L145">
        <f>IF(装备!U145="",0,""""&amp;装备!U145&amp;"""")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IF(装备!B146="",0,"'"&amp;装备!B146&amp;"'")</f>
        <v>0</v>
      </c>
      <c r="B146">
        <f>装备!D147</f>
        <v>0</v>
      </c>
      <c r="C146">
        <f>装备!E146</f>
        <v>0</v>
      </c>
      <c r="D146">
        <f>装备!F146</f>
        <v>0</v>
      </c>
      <c r="E146">
        <f>装备!G146</f>
        <v>0</v>
      </c>
      <c r="F146">
        <f>装备!H146</f>
        <v>0</v>
      </c>
      <c r="G146">
        <f>IF(装备!I146="",0,"'"&amp;装备!I146&amp;"'")</f>
        <v>0</v>
      </c>
      <c r="H146">
        <f>IF(装备!R146="",0,装备!R146)</f>
        <v>0</v>
      </c>
      <c r="I146">
        <f>IF(装备!S146="",0,装备!S146)</f>
        <v>0</v>
      </c>
      <c r="J146">
        <f>IF(装备!C146="",0,""""&amp;装备!C146&amp;"""")</f>
        <v>0</v>
      </c>
      <c r="K146" t="str">
        <f>IF(装备!T146="","""""",""""&amp;装备!T146&amp;"""")</f>
        <v>""</v>
      </c>
      <c r="L146">
        <f>IF(装备!U146="",0,""""&amp;装备!U146&amp;"""")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IF(装备!B147="",0,"'"&amp;装备!B147&amp;"'")</f>
        <v>0</v>
      </c>
      <c r="B147">
        <f>装备!D148</f>
        <v>0</v>
      </c>
      <c r="C147">
        <f>装备!E147</f>
        <v>0</v>
      </c>
      <c r="D147">
        <f>装备!F147</f>
        <v>0</v>
      </c>
      <c r="E147">
        <f>装备!G147</f>
        <v>0</v>
      </c>
      <c r="F147">
        <f>装备!H147</f>
        <v>0</v>
      </c>
      <c r="G147">
        <f>IF(装备!I147="",0,"'"&amp;装备!I147&amp;"'")</f>
        <v>0</v>
      </c>
      <c r="H147">
        <f>IF(装备!R147="",0,装备!R147)</f>
        <v>0</v>
      </c>
      <c r="I147">
        <f>IF(装备!S147="",0,装备!S147)</f>
        <v>0</v>
      </c>
      <c r="J147">
        <f>IF(装备!C147="",0,""""&amp;装备!C147&amp;"""")</f>
        <v>0</v>
      </c>
      <c r="K147" t="str">
        <f>IF(装备!T147="","""""",""""&amp;装备!T147&amp;"""")</f>
        <v>""</v>
      </c>
      <c r="L147">
        <f>IF(装备!U147="",0,""""&amp;装备!U147&amp;"""")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IF(装备!B148="",0,"'"&amp;装备!B148&amp;"'")</f>
        <v>0</v>
      </c>
      <c r="B148">
        <f>装备!D149</f>
        <v>0</v>
      </c>
      <c r="C148">
        <f>装备!E148</f>
        <v>0</v>
      </c>
      <c r="D148">
        <f>装备!F148</f>
        <v>0</v>
      </c>
      <c r="E148">
        <f>装备!G148</f>
        <v>0</v>
      </c>
      <c r="F148">
        <f>装备!H148</f>
        <v>0</v>
      </c>
      <c r="G148">
        <f>IF(装备!I148="",0,"'"&amp;装备!I148&amp;"'")</f>
        <v>0</v>
      </c>
      <c r="H148">
        <f>IF(装备!R148="",0,装备!R148)</f>
        <v>0</v>
      </c>
      <c r="I148">
        <f>IF(装备!S148="",0,装备!S148)</f>
        <v>0</v>
      </c>
      <c r="J148">
        <f>IF(装备!C148="",0,""""&amp;装备!C148&amp;"""")</f>
        <v>0</v>
      </c>
      <c r="K148" t="str">
        <f>IF(装备!T148="","""""",""""&amp;装备!T148&amp;"""")</f>
        <v>""</v>
      </c>
      <c r="L148">
        <f>IF(装备!U148="",0,""""&amp;装备!U148&amp;"""")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IF(装备!B149="",0,"'"&amp;装备!B149&amp;"'")</f>
        <v>0</v>
      </c>
      <c r="B149">
        <f>装备!D150</f>
        <v>0</v>
      </c>
      <c r="C149">
        <f>装备!E149</f>
        <v>0</v>
      </c>
      <c r="D149">
        <f>装备!F149</f>
        <v>0</v>
      </c>
      <c r="E149">
        <f>装备!G149</f>
        <v>0</v>
      </c>
      <c r="F149">
        <f>装备!H149</f>
        <v>0</v>
      </c>
      <c r="G149">
        <f>IF(装备!I149="",0,"'"&amp;装备!I149&amp;"'")</f>
        <v>0</v>
      </c>
      <c r="H149">
        <f>IF(装备!R149="",0,装备!R149)</f>
        <v>0</v>
      </c>
      <c r="I149">
        <f>IF(装备!S149="",0,装备!S149)</f>
        <v>0</v>
      </c>
      <c r="J149">
        <f>IF(装备!C149="",0,""""&amp;装备!C149&amp;"""")</f>
        <v>0</v>
      </c>
      <c r="K149" t="str">
        <f>IF(装备!T149="","""""",""""&amp;装备!T149&amp;"""")</f>
        <v>""</v>
      </c>
      <c r="L149">
        <f>IF(装备!U149="",0,""""&amp;装备!U149&amp;"""")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IF(装备!B150="",0,"'"&amp;装备!B150&amp;"'")</f>
        <v>0</v>
      </c>
      <c r="B150">
        <f>装备!D151</f>
        <v>0</v>
      </c>
      <c r="C150">
        <f>装备!E150</f>
        <v>0</v>
      </c>
      <c r="D150">
        <f>装备!F150</f>
        <v>0</v>
      </c>
      <c r="E150">
        <f>装备!G150</f>
        <v>0</v>
      </c>
      <c r="F150">
        <f>装备!H150</f>
        <v>0</v>
      </c>
      <c r="G150">
        <f>IF(装备!I150="",0,"'"&amp;装备!I150&amp;"'")</f>
        <v>0</v>
      </c>
      <c r="H150">
        <f>IF(装备!R150="",0,装备!R150)</f>
        <v>0</v>
      </c>
      <c r="I150">
        <f>IF(装备!S150="",0,装备!S150)</f>
        <v>0</v>
      </c>
      <c r="J150">
        <f>IF(装备!C150="",0,""""&amp;装备!C150&amp;"""")</f>
        <v>0</v>
      </c>
      <c r="K150" t="str">
        <f>IF(装备!T150="","""""",""""&amp;装备!T150&amp;"""")</f>
        <v>""</v>
      </c>
      <c r="L150">
        <f>IF(装备!U150="",0,""""&amp;装备!U150&amp;"""")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IF(装备!B151="",0,"'"&amp;装备!B151&amp;"'")</f>
        <v>0</v>
      </c>
      <c r="B151">
        <f>装备!D152</f>
        <v>0</v>
      </c>
      <c r="C151">
        <f>装备!E151</f>
        <v>0</v>
      </c>
      <c r="D151">
        <f>装备!F151</f>
        <v>0</v>
      </c>
      <c r="E151">
        <f>装备!G151</f>
        <v>0</v>
      </c>
      <c r="F151">
        <f>装备!H151</f>
        <v>0</v>
      </c>
      <c r="G151">
        <f>IF(装备!I151="",0,"'"&amp;装备!I151&amp;"'")</f>
        <v>0</v>
      </c>
      <c r="H151">
        <f>IF(装备!R151="",0,装备!R151)</f>
        <v>0</v>
      </c>
      <c r="I151">
        <f>IF(装备!S151="",0,装备!S151)</f>
        <v>0</v>
      </c>
      <c r="J151">
        <f>IF(装备!C151="",0,""""&amp;装备!C151&amp;"""")</f>
        <v>0</v>
      </c>
      <c r="K151" t="str">
        <f>IF(装备!T151="","""""",""""&amp;装备!T151&amp;"""")</f>
        <v>""</v>
      </c>
      <c r="L151">
        <f>IF(装备!U151="",0,""""&amp;装备!U151&amp;"""")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IF(装备!B152="",0,"'"&amp;装备!B152&amp;"'")</f>
        <v>0</v>
      </c>
      <c r="B152">
        <f>装备!D153</f>
        <v>0</v>
      </c>
      <c r="C152">
        <f>装备!E152</f>
        <v>0</v>
      </c>
      <c r="D152">
        <f>装备!F152</f>
        <v>0</v>
      </c>
      <c r="E152">
        <f>装备!G152</f>
        <v>0</v>
      </c>
      <c r="F152">
        <f>装备!H152</f>
        <v>0</v>
      </c>
      <c r="G152">
        <f>IF(装备!I152="",0,"'"&amp;装备!I152&amp;"'")</f>
        <v>0</v>
      </c>
      <c r="H152">
        <f>IF(装备!R152="",0,装备!R152)</f>
        <v>0</v>
      </c>
      <c r="I152">
        <f>IF(装备!S152="",0,装备!S152)</f>
        <v>0</v>
      </c>
      <c r="J152">
        <f>IF(装备!C152="",0,""""&amp;装备!C152&amp;"""")</f>
        <v>0</v>
      </c>
      <c r="K152" t="str">
        <f>IF(装备!T152="","""""",""""&amp;装备!T152&amp;"""")</f>
        <v>""</v>
      </c>
      <c r="L152">
        <f>IF(装备!U152="",0,""""&amp;装备!U152&amp;"""")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IF(装备!B153="",0,"'"&amp;装备!B153&amp;"'")</f>
        <v>0</v>
      </c>
      <c r="B153">
        <f>装备!D154</f>
        <v>0</v>
      </c>
      <c r="C153">
        <f>装备!E153</f>
        <v>0</v>
      </c>
      <c r="D153">
        <f>装备!F153</f>
        <v>0</v>
      </c>
      <c r="E153">
        <f>装备!G153</f>
        <v>0</v>
      </c>
      <c r="F153">
        <f>装备!H153</f>
        <v>0</v>
      </c>
      <c r="G153">
        <f>IF(装备!I153="",0,"'"&amp;装备!I153&amp;"'")</f>
        <v>0</v>
      </c>
      <c r="H153">
        <f>IF(装备!R153="",0,装备!R153)</f>
        <v>0</v>
      </c>
      <c r="I153">
        <f>IF(装备!S153="",0,装备!S153)</f>
        <v>0</v>
      </c>
      <c r="J153">
        <f>IF(装备!C153="",0,""""&amp;装备!C153&amp;"""")</f>
        <v>0</v>
      </c>
      <c r="K153" t="str">
        <f>IF(装备!T153="","""""",""""&amp;装备!T153&amp;"""")</f>
        <v>""</v>
      </c>
      <c r="L153">
        <f>IF(装备!U153="",0,""""&amp;装备!U153&amp;"""")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IF(装备!B154="",0,"'"&amp;装备!B154&amp;"'")</f>
        <v>0</v>
      </c>
      <c r="B154">
        <f>装备!D155</f>
        <v>0</v>
      </c>
      <c r="C154">
        <f>装备!E154</f>
        <v>0</v>
      </c>
      <c r="D154">
        <f>装备!F154</f>
        <v>0</v>
      </c>
      <c r="E154">
        <f>装备!G154</f>
        <v>0</v>
      </c>
      <c r="F154">
        <f>装备!H154</f>
        <v>0</v>
      </c>
      <c r="G154">
        <f>IF(装备!I154="",0,"'"&amp;装备!I154&amp;"'")</f>
        <v>0</v>
      </c>
      <c r="H154">
        <f>IF(装备!R154="",0,装备!R154)</f>
        <v>0</v>
      </c>
      <c r="I154">
        <f>IF(装备!S154="",0,装备!S154)</f>
        <v>0</v>
      </c>
      <c r="J154">
        <f>IF(装备!C154="",0,""""&amp;装备!C154&amp;"""")</f>
        <v>0</v>
      </c>
      <c r="K154" t="str">
        <f>IF(装备!T154="","""""",""""&amp;装备!T154&amp;"""")</f>
        <v>""</v>
      </c>
      <c r="L154">
        <f>IF(装备!U154="",0,""""&amp;装备!U154&amp;"""")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IF(装备!B155="",0,"'"&amp;装备!B155&amp;"'")</f>
        <v>0</v>
      </c>
      <c r="B155">
        <f>装备!D156</f>
        <v>0</v>
      </c>
      <c r="C155">
        <f>装备!E155</f>
        <v>0</v>
      </c>
      <c r="D155">
        <f>装备!F155</f>
        <v>0</v>
      </c>
      <c r="E155">
        <f>装备!G155</f>
        <v>0</v>
      </c>
      <c r="F155">
        <f>装备!H155</f>
        <v>0</v>
      </c>
      <c r="G155">
        <f>IF(装备!I155="",0,"'"&amp;装备!I155&amp;"'")</f>
        <v>0</v>
      </c>
      <c r="H155">
        <f>IF(装备!R155="",0,装备!R155)</f>
        <v>0</v>
      </c>
      <c r="I155">
        <f>IF(装备!S155="",0,装备!S155)</f>
        <v>0</v>
      </c>
      <c r="J155">
        <f>IF(装备!C155="",0,""""&amp;装备!C155&amp;"""")</f>
        <v>0</v>
      </c>
      <c r="K155" t="str">
        <f>IF(装备!T155="","""""",""""&amp;装备!T155&amp;"""")</f>
        <v>""</v>
      </c>
      <c r="L155">
        <f>IF(装备!U155="",0,""""&amp;装备!U155&amp;"""")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IF(装备!B156="",0,"'"&amp;装备!B156&amp;"'")</f>
        <v>0</v>
      </c>
      <c r="B156">
        <f>装备!D157</f>
        <v>0</v>
      </c>
      <c r="C156">
        <f>装备!E156</f>
        <v>0</v>
      </c>
      <c r="D156">
        <f>装备!F156</f>
        <v>0</v>
      </c>
      <c r="E156">
        <f>装备!G156</f>
        <v>0</v>
      </c>
      <c r="F156">
        <f>装备!H156</f>
        <v>0</v>
      </c>
      <c r="G156">
        <f>IF(装备!I156="",0,"'"&amp;装备!I156&amp;"'")</f>
        <v>0</v>
      </c>
      <c r="H156">
        <f>IF(装备!R156="",0,装备!R156)</f>
        <v>0</v>
      </c>
      <c r="I156">
        <f>IF(装备!S156="",0,装备!S156)</f>
        <v>0</v>
      </c>
      <c r="J156">
        <f>IF(装备!C156="",0,""""&amp;装备!C156&amp;"""")</f>
        <v>0</v>
      </c>
      <c r="K156" t="str">
        <f>IF(装备!T156="","""""",""""&amp;装备!T156&amp;"""")</f>
        <v>""</v>
      </c>
      <c r="L156">
        <f>IF(装备!U156="",0,""""&amp;装备!U156&amp;"""")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IF(装备!B157="",0,"'"&amp;装备!B157&amp;"'")</f>
        <v>0</v>
      </c>
      <c r="B157">
        <f>装备!D158</f>
        <v>0</v>
      </c>
      <c r="C157">
        <f>装备!E157</f>
        <v>0</v>
      </c>
      <c r="D157">
        <f>装备!F157</f>
        <v>0</v>
      </c>
      <c r="E157">
        <f>装备!G157</f>
        <v>0</v>
      </c>
      <c r="F157">
        <f>装备!H157</f>
        <v>0</v>
      </c>
      <c r="G157">
        <f>IF(装备!I157="",0,"'"&amp;装备!I157&amp;"'")</f>
        <v>0</v>
      </c>
      <c r="H157">
        <f>IF(装备!R157="",0,装备!R157)</f>
        <v>0</v>
      </c>
      <c r="I157">
        <f>IF(装备!S157="",0,装备!S157)</f>
        <v>0</v>
      </c>
      <c r="J157">
        <f>IF(装备!C157="",0,""""&amp;装备!C157&amp;"""")</f>
        <v>0</v>
      </c>
      <c r="K157" t="str">
        <f>IF(装备!T157="","""""",""""&amp;装备!T157&amp;"""")</f>
        <v>""</v>
      </c>
      <c r="L157">
        <f>IF(装备!U157="",0,""""&amp;装备!U157&amp;"""")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IF(装备!B158="",0,"'"&amp;装备!B158&amp;"'")</f>
        <v>0</v>
      </c>
      <c r="B158">
        <f>装备!D159</f>
        <v>0</v>
      </c>
      <c r="C158">
        <f>装备!E158</f>
        <v>0</v>
      </c>
      <c r="D158">
        <f>装备!F158</f>
        <v>0</v>
      </c>
      <c r="E158">
        <f>装备!G158</f>
        <v>0</v>
      </c>
      <c r="F158">
        <f>装备!H158</f>
        <v>0</v>
      </c>
      <c r="G158">
        <f>IF(装备!I158="",0,"'"&amp;装备!I158&amp;"'")</f>
        <v>0</v>
      </c>
      <c r="H158">
        <f>IF(装备!R158="",0,装备!R158)</f>
        <v>0</v>
      </c>
      <c r="I158">
        <f>IF(装备!S158="",0,装备!S158)</f>
        <v>0</v>
      </c>
      <c r="J158">
        <f>IF(装备!C158="",0,""""&amp;装备!C158&amp;"""")</f>
        <v>0</v>
      </c>
      <c r="K158" t="str">
        <f>IF(装备!T158="","""""",""""&amp;装备!T158&amp;"""")</f>
        <v>""</v>
      </c>
      <c r="L158">
        <f>IF(装备!U158="",0,""""&amp;装备!U158&amp;"""")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IF(装备!B159="",0,"'"&amp;装备!B159&amp;"'")</f>
        <v>0</v>
      </c>
      <c r="B159">
        <f>装备!D160</f>
        <v>0</v>
      </c>
      <c r="C159">
        <f>装备!E159</f>
        <v>0</v>
      </c>
      <c r="D159">
        <f>装备!F159</f>
        <v>0</v>
      </c>
      <c r="E159">
        <f>装备!G159</f>
        <v>0</v>
      </c>
      <c r="F159">
        <f>装备!H159</f>
        <v>0</v>
      </c>
      <c r="G159">
        <f>IF(装备!I159="",0,"'"&amp;装备!I159&amp;"'")</f>
        <v>0</v>
      </c>
      <c r="H159">
        <f>IF(装备!R159="",0,装备!R159)</f>
        <v>0</v>
      </c>
      <c r="I159">
        <f>IF(装备!S159="",0,装备!S159)</f>
        <v>0</v>
      </c>
      <c r="J159">
        <f>IF(装备!C159="",0,""""&amp;装备!C159&amp;"""")</f>
        <v>0</v>
      </c>
      <c r="K159" t="str">
        <f>IF(装备!T159="","""""",""""&amp;装备!T159&amp;"""")</f>
        <v>""</v>
      </c>
      <c r="L159">
        <f>IF(装备!U159="",0,""""&amp;装备!U159&amp;"""")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IF(装备!B160="",0,"'"&amp;装备!B160&amp;"'")</f>
        <v>0</v>
      </c>
      <c r="B160">
        <f>装备!D161</f>
        <v>0</v>
      </c>
      <c r="C160">
        <f>装备!E160</f>
        <v>0</v>
      </c>
      <c r="D160">
        <f>装备!F160</f>
        <v>0</v>
      </c>
      <c r="E160">
        <f>装备!G160</f>
        <v>0</v>
      </c>
      <c r="F160">
        <f>装备!H160</f>
        <v>0</v>
      </c>
      <c r="G160">
        <f>IF(装备!I160="",0,"'"&amp;装备!I160&amp;"'")</f>
        <v>0</v>
      </c>
      <c r="H160">
        <f>IF(装备!R160="",0,装备!R160)</f>
        <v>0</v>
      </c>
      <c r="I160">
        <f>IF(装备!S160="",0,装备!S160)</f>
        <v>0</v>
      </c>
      <c r="J160">
        <f>IF(装备!C160="",0,""""&amp;装备!C160&amp;"""")</f>
        <v>0</v>
      </c>
      <c r="K160" t="str">
        <f>IF(装备!T160="","""""",""""&amp;装备!T160&amp;"""")</f>
        <v>""</v>
      </c>
      <c r="L160">
        <f>IF(装备!U160="",0,""""&amp;装备!U160&amp;"""")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IF(装备!B161="",0,"'"&amp;装备!B161&amp;"'")</f>
        <v>0</v>
      </c>
      <c r="B161">
        <f>装备!D162</f>
        <v>0</v>
      </c>
      <c r="C161">
        <f>装备!E161</f>
        <v>0</v>
      </c>
      <c r="D161">
        <f>装备!F161</f>
        <v>0</v>
      </c>
      <c r="E161">
        <f>装备!G161</f>
        <v>0</v>
      </c>
      <c r="F161">
        <f>装备!H161</f>
        <v>0</v>
      </c>
      <c r="G161">
        <f>IF(装备!I161="",0,"'"&amp;装备!I161&amp;"'")</f>
        <v>0</v>
      </c>
      <c r="H161">
        <f>IF(装备!R161="",0,装备!R161)</f>
        <v>0</v>
      </c>
      <c r="I161">
        <f>IF(装备!S161="",0,装备!S161)</f>
        <v>0</v>
      </c>
      <c r="J161">
        <f>IF(装备!C161="",0,""""&amp;装备!C161&amp;"""")</f>
        <v>0</v>
      </c>
      <c r="K161" t="str">
        <f>IF(装备!T161="","""""",""""&amp;装备!T161&amp;"""")</f>
        <v>""</v>
      </c>
      <c r="L161">
        <f>IF(装备!U161="",0,""""&amp;装备!U161&amp;"""")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IF(装备!B162="",0,"'"&amp;装备!B162&amp;"'")</f>
        <v>0</v>
      </c>
      <c r="B162">
        <f>装备!D163</f>
        <v>0</v>
      </c>
      <c r="C162">
        <f>装备!E162</f>
        <v>0</v>
      </c>
      <c r="D162">
        <f>装备!F162</f>
        <v>0</v>
      </c>
      <c r="E162">
        <f>装备!G162</f>
        <v>0</v>
      </c>
      <c r="F162">
        <f>装备!H162</f>
        <v>0</v>
      </c>
      <c r="G162">
        <f>IF(装备!I162="",0,"'"&amp;装备!I162&amp;"'")</f>
        <v>0</v>
      </c>
      <c r="H162">
        <f>IF(装备!R162="",0,装备!R162)</f>
        <v>0</v>
      </c>
      <c r="I162">
        <f>IF(装备!S162="",0,装备!S162)</f>
        <v>0</v>
      </c>
      <c r="J162">
        <f>IF(装备!C162="",0,""""&amp;装备!C162&amp;"""")</f>
        <v>0</v>
      </c>
      <c r="K162" t="str">
        <f>IF(装备!T162="","""""",""""&amp;装备!T162&amp;"""")</f>
        <v>""</v>
      </c>
      <c r="L162">
        <f>IF(装备!U162="",0,""""&amp;装备!U162&amp;"""")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IF(装备!B163="",0,"'"&amp;装备!B163&amp;"'")</f>
        <v>0</v>
      </c>
      <c r="B163">
        <f>装备!D164</f>
        <v>0</v>
      </c>
      <c r="C163">
        <f>装备!E163</f>
        <v>0</v>
      </c>
      <c r="D163">
        <f>装备!F163</f>
        <v>0</v>
      </c>
      <c r="E163">
        <f>装备!G163</f>
        <v>0</v>
      </c>
      <c r="F163">
        <f>装备!H163</f>
        <v>0</v>
      </c>
      <c r="G163">
        <f>IF(装备!I163="",0,"'"&amp;装备!I163&amp;"'")</f>
        <v>0</v>
      </c>
      <c r="H163">
        <f>IF(装备!R163="",0,装备!R163)</f>
        <v>0</v>
      </c>
      <c r="I163">
        <f>IF(装备!S163="",0,装备!S163)</f>
        <v>0</v>
      </c>
      <c r="J163">
        <f>IF(装备!C163="",0,""""&amp;装备!C163&amp;"""")</f>
        <v>0</v>
      </c>
      <c r="K163" t="str">
        <f>IF(装备!T163="","""""",""""&amp;装备!T163&amp;"""")</f>
        <v>""</v>
      </c>
      <c r="L163">
        <f>IF(装备!U163="",0,""""&amp;装备!U163&amp;"""")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IF(装备!B164="",0,"'"&amp;装备!B164&amp;"'")</f>
        <v>0</v>
      </c>
      <c r="B164">
        <f>装备!D165</f>
        <v>0</v>
      </c>
      <c r="C164">
        <f>装备!E164</f>
        <v>0</v>
      </c>
      <c r="D164">
        <f>装备!F164</f>
        <v>0</v>
      </c>
      <c r="E164">
        <f>装备!G164</f>
        <v>0</v>
      </c>
      <c r="F164">
        <f>装备!H164</f>
        <v>0</v>
      </c>
      <c r="G164">
        <f>IF(装备!I164="",0,"'"&amp;装备!I164&amp;"'")</f>
        <v>0</v>
      </c>
      <c r="H164">
        <f>IF(装备!R164="",0,装备!R164)</f>
        <v>0</v>
      </c>
      <c r="I164">
        <f>IF(装备!S164="",0,装备!S164)</f>
        <v>0</v>
      </c>
      <c r="J164">
        <f>IF(装备!C164="",0,""""&amp;装备!C164&amp;"""")</f>
        <v>0</v>
      </c>
      <c r="K164" t="str">
        <f>IF(装备!T164="","""""",""""&amp;装备!T164&amp;"""")</f>
        <v>""</v>
      </c>
      <c r="L164">
        <f>IF(装备!U164="",0,""""&amp;装备!U164&amp;"""")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IF(装备!B165="",0,"'"&amp;装备!B165&amp;"'")</f>
        <v>0</v>
      </c>
      <c r="B165">
        <f>装备!D166</f>
        <v>0</v>
      </c>
      <c r="C165">
        <f>装备!E165</f>
        <v>0</v>
      </c>
      <c r="D165">
        <f>装备!F165</f>
        <v>0</v>
      </c>
      <c r="E165">
        <f>装备!G165</f>
        <v>0</v>
      </c>
      <c r="F165">
        <f>装备!H165</f>
        <v>0</v>
      </c>
      <c r="G165">
        <f>IF(装备!I165="",0,"'"&amp;装备!I165&amp;"'")</f>
        <v>0</v>
      </c>
      <c r="H165">
        <f>IF(装备!R165="",0,装备!R165)</f>
        <v>0</v>
      </c>
      <c r="I165">
        <f>IF(装备!S165="",0,装备!S165)</f>
        <v>0</v>
      </c>
      <c r="J165">
        <f>IF(装备!C165="",0,""""&amp;装备!C165&amp;"""")</f>
        <v>0</v>
      </c>
      <c r="K165" t="str">
        <f>IF(装备!T165="","""""",""""&amp;装备!T165&amp;"""")</f>
        <v>""</v>
      </c>
      <c r="L165">
        <f>IF(装备!U165="",0,""""&amp;装备!U165&amp;"""")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IF(装备!B166="",0,"'"&amp;装备!B166&amp;"'")</f>
        <v>0</v>
      </c>
      <c r="B166">
        <f>装备!D167</f>
        <v>0</v>
      </c>
      <c r="C166">
        <f>装备!E166</f>
        <v>0</v>
      </c>
      <c r="D166">
        <f>装备!F166</f>
        <v>0</v>
      </c>
      <c r="E166">
        <f>装备!G166</f>
        <v>0</v>
      </c>
      <c r="F166">
        <f>装备!H166</f>
        <v>0</v>
      </c>
      <c r="G166">
        <f>IF(装备!I166="",0,"'"&amp;装备!I166&amp;"'")</f>
        <v>0</v>
      </c>
      <c r="H166">
        <f>IF(装备!R166="",0,装备!R166)</f>
        <v>0</v>
      </c>
      <c r="I166">
        <f>IF(装备!S166="",0,装备!S166)</f>
        <v>0</v>
      </c>
      <c r="J166">
        <f>IF(装备!C166="",0,""""&amp;装备!C166&amp;"""")</f>
        <v>0</v>
      </c>
      <c r="K166" t="str">
        <f>IF(装备!T166="","""""",""""&amp;装备!T166&amp;"""")</f>
        <v>""</v>
      </c>
      <c r="L166">
        <f>IF(装备!U166="",0,""""&amp;装备!U166&amp;"""")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IF(装备!B167="",0,"'"&amp;装备!B167&amp;"'")</f>
        <v>0</v>
      </c>
      <c r="B167">
        <f>装备!D168</f>
        <v>0</v>
      </c>
      <c r="C167">
        <f>装备!E167</f>
        <v>0</v>
      </c>
      <c r="D167">
        <f>装备!F167</f>
        <v>0</v>
      </c>
      <c r="E167">
        <f>装备!G167</f>
        <v>0</v>
      </c>
      <c r="F167">
        <f>装备!H167</f>
        <v>0</v>
      </c>
      <c r="G167">
        <f>IF(装备!I167="",0,"'"&amp;装备!I167&amp;"'")</f>
        <v>0</v>
      </c>
      <c r="H167">
        <f>IF(装备!R167="",0,装备!R167)</f>
        <v>0</v>
      </c>
      <c r="I167">
        <f>IF(装备!S167="",0,装备!S167)</f>
        <v>0</v>
      </c>
      <c r="J167">
        <f>IF(装备!C167="",0,""""&amp;装备!C167&amp;"""")</f>
        <v>0</v>
      </c>
      <c r="K167" t="str">
        <f>IF(装备!T167="","""""",""""&amp;装备!T167&amp;"""")</f>
        <v>""</v>
      </c>
      <c r="L167">
        <f>IF(装备!U167="",0,""""&amp;装备!U167&amp;"""")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IF(装备!B168="",0,"'"&amp;装备!B168&amp;"'")</f>
        <v>0</v>
      </c>
      <c r="B168">
        <f>装备!D169</f>
        <v>0</v>
      </c>
      <c r="C168">
        <f>装备!E168</f>
        <v>0</v>
      </c>
      <c r="D168">
        <f>装备!F168</f>
        <v>0</v>
      </c>
      <c r="E168">
        <f>装备!G168</f>
        <v>0</v>
      </c>
      <c r="F168">
        <f>装备!H168</f>
        <v>0</v>
      </c>
      <c r="G168">
        <f>IF(装备!I168="",0,"'"&amp;装备!I168&amp;"'")</f>
        <v>0</v>
      </c>
      <c r="H168">
        <f>IF(装备!R168="",0,装备!R168)</f>
        <v>0</v>
      </c>
      <c r="I168">
        <f>IF(装备!S168="",0,装备!S168)</f>
        <v>0</v>
      </c>
      <c r="J168">
        <f>IF(装备!C168="",0,""""&amp;装备!C168&amp;"""")</f>
        <v>0</v>
      </c>
      <c r="K168" t="str">
        <f>IF(装备!T168="","""""",""""&amp;装备!T168&amp;"""")</f>
        <v>""</v>
      </c>
      <c r="L168">
        <f>IF(装备!U168="",0,""""&amp;装备!U168&amp;"""")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IF(装备!B169="",0,"'"&amp;装备!B169&amp;"'")</f>
        <v>0</v>
      </c>
      <c r="B169">
        <f>装备!D170</f>
        <v>0</v>
      </c>
      <c r="C169">
        <f>装备!E169</f>
        <v>0</v>
      </c>
      <c r="D169">
        <f>装备!F169</f>
        <v>0</v>
      </c>
      <c r="E169">
        <f>装备!G169</f>
        <v>0</v>
      </c>
      <c r="F169">
        <f>装备!H169</f>
        <v>0</v>
      </c>
      <c r="G169">
        <f>IF(装备!I169="",0,"'"&amp;装备!I169&amp;"'")</f>
        <v>0</v>
      </c>
      <c r="H169">
        <f>IF(装备!R169="",0,装备!R169)</f>
        <v>0</v>
      </c>
      <c r="I169">
        <f>IF(装备!S169="",0,装备!S169)</f>
        <v>0</v>
      </c>
      <c r="J169">
        <f>IF(装备!C169="",0,""""&amp;装备!C169&amp;"""")</f>
        <v>0</v>
      </c>
      <c r="K169" t="str">
        <f>IF(装备!T169="","""""",""""&amp;装备!T169&amp;"""")</f>
        <v>""</v>
      </c>
      <c r="L169">
        <f>IF(装备!U169="",0,""""&amp;装备!U169&amp;"""")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IF(装备!B170="",0,"'"&amp;装备!B170&amp;"'")</f>
        <v>0</v>
      </c>
      <c r="B170">
        <f>装备!D171</f>
        <v>0</v>
      </c>
      <c r="C170">
        <f>装备!E170</f>
        <v>0</v>
      </c>
      <c r="D170">
        <f>装备!F170</f>
        <v>0</v>
      </c>
      <c r="E170">
        <f>装备!G170</f>
        <v>0</v>
      </c>
      <c r="F170">
        <f>装备!H170</f>
        <v>0</v>
      </c>
      <c r="G170">
        <f>IF(装备!I170="",0,"'"&amp;装备!I170&amp;"'")</f>
        <v>0</v>
      </c>
      <c r="H170">
        <f>IF(装备!R170="",0,装备!R170)</f>
        <v>0</v>
      </c>
      <c r="I170">
        <f>IF(装备!S170="",0,装备!S170)</f>
        <v>0</v>
      </c>
      <c r="J170">
        <f>IF(装备!C170="",0,""""&amp;装备!C170&amp;"""")</f>
        <v>0</v>
      </c>
      <c r="K170" t="str">
        <f>IF(装备!T170="","""""",""""&amp;装备!T170&amp;"""")</f>
        <v>""</v>
      </c>
      <c r="L170">
        <f>IF(装备!U170="",0,""""&amp;装备!U170&amp;"""")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IF(装备!B171="",0,"'"&amp;装备!B171&amp;"'")</f>
        <v>0</v>
      </c>
      <c r="B171">
        <f>装备!D172</f>
        <v>0</v>
      </c>
      <c r="C171">
        <f>装备!E171</f>
        <v>0</v>
      </c>
      <c r="D171">
        <f>装备!F171</f>
        <v>0</v>
      </c>
      <c r="E171">
        <f>装备!G171</f>
        <v>0</v>
      </c>
      <c r="F171">
        <f>装备!H171</f>
        <v>0</v>
      </c>
      <c r="G171">
        <f>IF(装备!I171="",0,"'"&amp;装备!I171&amp;"'")</f>
        <v>0</v>
      </c>
      <c r="H171">
        <f>IF(装备!R171="",0,装备!R171)</f>
        <v>0</v>
      </c>
      <c r="I171">
        <f>IF(装备!S171="",0,装备!S171)</f>
        <v>0</v>
      </c>
      <c r="J171">
        <f>IF(装备!C171="",0,""""&amp;装备!C171&amp;"""")</f>
        <v>0</v>
      </c>
      <c r="K171" t="str">
        <f>IF(装备!T171="","""""",""""&amp;装备!T171&amp;"""")</f>
        <v>""</v>
      </c>
      <c r="L171">
        <f>IF(装备!U171="",0,""""&amp;装备!U171&amp;"""")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IF(装备!B172="",0,"'"&amp;装备!B172&amp;"'")</f>
        <v>0</v>
      </c>
      <c r="B172">
        <f>装备!D173</f>
        <v>0</v>
      </c>
      <c r="C172">
        <f>装备!E172</f>
        <v>0</v>
      </c>
      <c r="D172">
        <f>装备!F172</f>
        <v>0</v>
      </c>
      <c r="E172">
        <f>装备!G172</f>
        <v>0</v>
      </c>
      <c r="F172">
        <f>装备!H172</f>
        <v>0</v>
      </c>
      <c r="G172">
        <f>IF(装备!I172="",0,"'"&amp;装备!I172&amp;"'")</f>
        <v>0</v>
      </c>
      <c r="H172">
        <f>IF(装备!R172="",0,装备!R172)</f>
        <v>0</v>
      </c>
      <c r="I172">
        <f>IF(装备!S172="",0,装备!S172)</f>
        <v>0</v>
      </c>
      <c r="J172">
        <f>IF(装备!C172="",0,""""&amp;装备!C172&amp;"""")</f>
        <v>0</v>
      </c>
      <c r="K172" t="str">
        <f>IF(装备!T172="","""""",""""&amp;装备!T172&amp;"""")</f>
        <v>""</v>
      </c>
      <c r="L172">
        <f>IF(装备!U172="",0,""""&amp;装备!U172&amp;"""")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IF(装备!B173="",0,"'"&amp;装备!B173&amp;"'")</f>
        <v>0</v>
      </c>
      <c r="B173">
        <f>装备!D174</f>
        <v>0</v>
      </c>
      <c r="C173">
        <f>装备!E173</f>
        <v>0</v>
      </c>
      <c r="D173">
        <f>装备!F173</f>
        <v>0</v>
      </c>
      <c r="E173">
        <f>装备!G173</f>
        <v>0</v>
      </c>
      <c r="F173">
        <f>装备!H173</f>
        <v>0</v>
      </c>
      <c r="G173">
        <f>IF(装备!I173="",0,"'"&amp;装备!I173&amp;"'")</f>
        <v>0</v>
      </c>
      <c r="H173">
        <f>IF(装备!R173="",0,装备!R173)</f>
        <v>0</v>
      </c>
      <c r="I173">
        <f>IF(装备!S173="",0,装备!S173)</f>
        <v>0</v>
      </c>
      <c r="J173">
        <f>IF(装备!C173="",0,""""&amp;装备!C173&amp;"""")</f>
        <v>0</v>
      </c>
      <c r="K173" t="str">
        <f>IF(装备!T173="","""""",""""&amp;装备!T173&amp;"""")</f>
        <v>""</v>
      </c>
      <c r="L173">
        <f>IF(装备!U173="",0,""""&amp;装备!U173&amp;"""")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IF(装备!B174="",0,"'"&amp;装备!B174&amp;"'")</f>
        <v>0</v>
      </c>
      <c r="B174">
        <f>装备!D175</f>
        <v>0</v>
      </c>
      <c r="C174">
        <f>装备!E174</f>
        <v>0</v>
      </c>
      <c r="D174">
        <f>装备!F174</f>
        <v>0</v>
      </c>
      <c r="E174">
        <f>装备!G174</f>
        <v>0</v>
      </c>
      <c r="F174">
        <f>装备!H174</f>
        <v>0</v>
      </c>
      <c r="G174">
        <f>IF(装备!I174="",0,"'"&amp;装备!I174&amp;"'")</f>
        <v>0</v>
      </c>
      <c r="H174">
        <f>IF(装备!R174="",0,装备!R174)</f>
        <v>0</v>
      </c>
      <c r="I174">
        <f>IF(装备!S174="",0,装备!S174)</f>
        <v>0</v>
      </c>
      <c r="J174">
        <f>IF(装备!C174="",0,""""&amp;装备!C174&amp;"""")</f>
        <v>0</v>
      </c>
      <c r="K174" t="str">
        <f>IF(装备!T174="","""""",""""&amp;装备!T174&amp;"""")</f>
        <v>""</v>
      </c>
      <c r="L174">
        <f>IF(装备!U174="",0,""""&amp;装备!U174&amp;"""")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IF(装备!B175="",0,"'"&amp;装备!B175&amp;"'")</f>
        <v>0</v>
      </c>
      <c r="B175">
        <f>装备!D176</f>
        <v>0</v>
      </c>
      <c r="C175">
        <f>装备!E175</f>
        <v>0</v>
      </c>
      <c r="D175">
        <f>装备!F175</f>
        <v>0</v>
      </c>
      <c r="E175">
        <f>装备!G175</f>
        <v>0</v>
      </c>
      <c r="F175">
        <f>装备!H175</f>
        <v>0</v>
      </c>
      <c r="G175">
        <f>IF(装备!I175="",0,"'"&amp;装备!I175&amp;"'")</f>
        <v>0</v>
      </c>
      <c r="H175">
        <f>IF(装备!R175="",0,装备!R175)</f>
        <v>0</v>
      </c>
      <c r="I175">
        <f>IF(装备!S175="",0,装备!S175)</f>
        <v>0</v>
      </c>
      <c r="J175">
        <f>IF(装备!C175="",0,""""&amp;装备!C175&amp;"""")</f>
        <v>0</v>
      </c>
      <c r="K175" t="str">
        <f>IF(装备!T175="","""""",""""&amp;装备!T175&amp;"""")</f>
        <v>""</v>
      </c>
      <c r="L175">
        <f>IF(装备!U175="",0,""""&amp;装备!U175&amp;"""")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IF(装备!B176="",0,"'"&amp;装备!B176&amp;"'")</f>
        <v>0</v>
      </c>
      <c r="B176">
        <f>装备!D177</f>
        <v>0</v>
      </c>
      <c r="C176">
        <f>装备!E176</f>
        <v>0</v>
      </c>
      <c r="D176">
        <f>装备!F176</f>
        <v>0</v>
      </c>
      <c r="E176">
        <f>装备!G176</f>
        <v>0</v>
      </c>
      <c r="F176">
        <f>装备!H176</f>
        <v>0</v>
      </c>
      <c r="G176">
        <f>IF(装备!I176="",0,"'"&amp;装备!I176&amp;"'")</f>
        <v>0</v>
      </c>
      <c r="H176">
        <f>IF(装备!R176="",0,装备!R176)</f>
        <v>0</v>
      </c>
      <c r="I176">
        <f>IF(装备!S176="",0,装备!S176)</f>
        <v>0</v>
      </c>
      <c r="J176">
        <f>IF(装备!C176="",0,""""&amp;装备!C176&amp;"""")</f>
        <v>0</v>
      </c>
      <c r="K176" t="str">
        <f>IF(装备!T176="","""""",""""&amp;装备!T176&amp;"""")</f>
        <v>""</v>
      </c>
      <c r="L176">
        <f>IF(装备!U176="",0,""""&amp;装备!U176&amp;"""")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IF(装备!B177="",0,"'"&amp;装备!B177&amp;"'")</f>
        <v>0</v>
      </c>
      <c r="B177">
        <f>装备!D178</f>
        <v>0</v>
      </c>
      <c r="C177">
        <f>装备!E177</f>
        <v>0</v>
      </c>
      <c r="D177">
        <f>装备!F177</f>
        <v>0</v>
      </c>
      <c r="E177">
        <f>装备!G177</f>
        <v>0</v>
      </c>
      <c r="F177">
        <f>装备!H177</f>
        <v>0</v>
      </c>
      <c r="G177">
        <f>IF(装备!I177="",0,"'"&amp;装备!I177&amp;"'")</f>
        <v>0</v>
      </c>
      <c r="H177">
        <f>IF(装备!R177="",0,装备!R177)</f>
        <v>0</v>
      </c>
      <c r="I177">
        <f>IF(装备!S177="",0,装备!S177)</f>
        <v>0</v>
      </c>
      <c r="J177">
        <f>IF(装备!C177="",0,""""&amp;装备!C177&amp;"""")</f>
        <v>0</v>
      </c>
      <c r="K177" t="str">
        <f>IF(装备!T177="","""""",""""&amp;装备!T177&amp;"""")</f>
        <v>""</v>
      </c>
      <c r="L177">
        <f>IF(装备!U177="",0,""""&amp;装备!U177&amp;"""")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IF(装备!B178="",0,"'"&amp;装备!B178&amp;"'")</f>
        <v>0</v>
      </c>
      <c r="B178">
        <f>装备!D179</f>
        <v>0</v>
      </c>
      <c r="C178">
        <f>装备!E178</f>
        <v>0</v>
      </c>
      <c r="D178">
        <f>装备!F178</f>
        <v>0</v>
      </c>
      <c r="E178">
        <f>装备!G178</f>
        <v>0</v>
      </c>
      <c r="F178">
        <f>装备!H178</f>
        <v>0</v>
      </c>
      <c r="G178">
        <f>IF(装备!I178="",0,"'"&amp;装备!I178&amp;"'")</f>
        <v>0</v>
      </c>
      <c r="H178">
        <f>IF(装备!R178="",0,装备!R178)</f>
        <v>0</v>
      </c>
      <c r="I178">
        <f>IF(装备!S178="",0,装备!S178)</f>
        <v>0</v>
      </c>
      <c r="J178">
        <f>IF(装备!C178="",0,""""&amp;装备!C178&amp;"""")</f>
        <v>0</v>
      </c>
      <c r="K178" t="str">
        <f>IF(装备!T178="","""""",""""&amp;装备!T178&amp;"""")</f>
        <v>""</v>
      </c>
      <c r="L178">
        <f>IF(装备!U178="",0,""""&amp;装备!U178&amp;"""")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IF(装备!B179="",0,"'"&amp;装备!B179&amp;"'")</f>
        <v>0</v>
      </c>
      <c r="B179">
        <f>装备!D180</f>
        <v>0</v>
      </c>
      <c r="C179">
        <f>装备!E179</f>
        <v>0</v>
      </c>
      <c r="D179">
        <f>装备!F179</f>
        <v>0</v>
      </c>
      <c r="E179">
        <f>装备!G179</f>
        <v>0</v>
      </c>
      <c r="F179">
        <f>装备!H179</f>
        <v>0</v>
      </c>
      <c r="G179">
        <f>IF(装备!I179="",0,"'"&amp;装备!I179&amp;"'")</f>
        <v>0</v>
      </c>
      <c r="H179">
        <f>IF(装备!R179="",0,装备!R179)</f>
        <v>0</v>
      </c>
      <c r="I179">
        <f>IF(装备!S179="",0,装备!S179)</f>
        <v>0</v>
      </c>
      <c r="J179">
        <f>IF(装备!C179="",0,""""&amp;装备!C179&amp;"""")</f>
        <v>0</v>
      </c>
      <c r="K179" t="str">
        <f>IF(装备!T179="","""""",""""&amp;装备!T179&amp;"""")</f>
        <v>""</v>
      </c>
      <c r="L179">
        <f>IF(装备!U179="",0,""""&amp;装备!U179&amp;"""")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IF(装备!B180="",0,"'"&amp;装备!B180&amp;"'")</f>
        <v>0</v>
      </c>
      <c r="B180">
        <f>装备!D181</f>
        <v>0</v>
      </c>
      <c r="C180">
        <f>装备!E180</f>
        <v>0</v>
      </c>
      <c r="D180">
        <f>装备!F180</f>
        <v>0</v>
      </c>
      <c r="E180">
        <f>装备!G180</f>
        <v>0</v>
      </c>
      <c r="F180">
        <f>装备!H180</f>
        <v>0</v>
      </c>
      <c r="G180">
        <f>IF(装备!I180="",0,"'"&amp;装备!I180&amp;"'")</f>
        <v>0</v>
      </c>
      <c r="H180">
        <f>IF(装备!R180="",0,装备!R180)</f>
        <v>0</v>
      </c>
      <c r="I180">
        <f>IF(装备!S180="",0,装备!S180)</f>
        <v>0</v>
      </c>
      <c r="J180">
        <f>IF(装备!C180="",0,""""&amp;装备!C180&amp;"""")</f>
        <v>0</v>
      </c>
      <c r="K180" t="str">
        <f>IF(装备!T180="","""""",""""&amp;装备!T180&amp;"""")</f>
        <v>""</v>
      </c>
      <c r="L180">
        <f>IF(装备!U180="",0,""""&amp;装备!U180&amp;"""")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IF(装备!B181="",0,"'"&amp;装备!B181&amp;"'")</f>
        <v>0</v>
      </c>
      <c r="B181">
        <f>装备!D182</f>
        <v>0</v>
      </c>
      <c r="C181">
        <f>装备!E181</f>
        <v>0</v>
      </c>
      <c r="D181">
        <f>装备!F181</f>
        <v>0</v>
      </c>
      <c r="E181">
        <f>装备!G181</f>
        <v>0</v>
      </c>
      <c r="F181">
        <f>装备!H181</f>
        <v>0</v>
      </c>
      <c r="G181">
        <f>IF(装备!I181="",0,"'"&amp;装备!I181&amp;"'")</f>
        <v>0</v>
      </c>
      <c r="H181">
        <f>IF(装备!R181="",0,装备!R181)</f>
        <v>0</v>
      </c>
      <c r="I181">
        <f>IF(装备!S181="",0,装备!S181)</f>
        <v>0</v>
      </c>
      <c r="J181">
        <f>IF(装备!C181="",0,""""&amp;装备!C181&amp;"""")</f>
        <v>0</v>
      </c>
      <c r="K181" t="str">
        <f>IF(装备!T181="","""""",""""&amp;装备!T181&amp;"""")</f>
        <v>""</v>
      </c>
      <c r="L181">
        <f>IF(装备!U181="",0,""""&amp;装备!U181&amp;"""")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IF(装备!B182="",0,"'"&amp;装备!B182&amp;"'")</f>
        <v>0</v>
      </c>
      <c r="B182">
        <f>装备!D183</f>
        <v>0</v>
      </c>
      <c r="C182">
        <f>装备!E182</f>
        <v>0</v>
      </c>
      <c r="D182">
        <f>装备!F182</f>
        <v>0</v>
      </c>
      <c r="E182">
        <f>装备!G182</f>
        <v>0</v>
      </c>
      <c r="F182">
        <f>装备!H182</f>
        <v>0</v>
      </c>
      <c r="G182">
        <f>IF(装备!I182="",0,"'"&amp;装备!I182&amp;"'")</f>
        <v>0</v>
      </c>
      <c r="H182">
        <f>IF(装备!R182="",0,装备!R182)</f>
        <v>0</v>
      </c>
      <c r="I182">
        <f>IF(装备!S182="",0,装备!S182)</f>
        <v>0</v>
      </c>
      <c r="J182">
        <f>IF(装备!C182="",0,""""&amp;装备!C182&amp;"""")</f>
        <v>0</v>
      </c>
      <c r="K182" t="str">
        <f>IF(装备!T182="","""""",""""&amp;装备!T182&amp;"""")</f>
        <v>""</v>
      </c>
      <c r="L182">
        <f>IF(装备!U182="",0,""""&amp;装备!U182&amp;"""")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IF(装备!B183="",0,"'"&amp;装备!B183&amp;"'")</f>
        <v>0</v>
      </c>
      <c r="B183">
        <f>装备!D184</f>
        <v>0</v>
      </c>
      <c r="C183">
        <f>装备!E183</f>
        <v>0</v>
      </c>
      <c r="D183">
        <f>装备!F183</f>
        <v>0</v>
      </c>
      <c r="E183">
        <f>装备!G183</f>
        <v>0</v>
      </c>
      <c r="F183">
        <f>装备!H183</f>
        <v>0</v>
      </c>
      <c r="G183">
        <f>IF(装备!I183="",0,"'"&amp;装备!I183&amp;"'")</f>
        <v>0</v>
      </c>
      <c r="H183">
        <f>IF(装备!R183="",0,装备!R183)</f>
        <v>0</v>
      </c>
      <c r="I183">
        <f>IF(装备!S183="",0,装备!S183)</f>
        <v>0</v>
      </c>
      <c r="J183">
        <f>IF(装备!C183="",0,""""&amp;装备!C183&amp;"""")</f>
        <v>0</v>
      </c>
      <c r="K183" t="str">
        <f>IF(装备!T183="","""""",""""&amp;装备!T183&amp;"""")</f>
        <v>""</v>
      </c>
      <c r="L183">
        <f>IF(装备!U183="",0,""""&amp;装备!U183&amp;"""")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IF(装备!B184="",0,"'"&amp;装备!B184&amp;"'")</f>
        <v>0</v>
      </c>
      <c r="B184">
        <f>装备!D185</f>
        <v>0</v>
      </c>
      <c r="C184">
        <f>装备!E184</f>
        <v>0</v>
      </c>
      <c r="D184">
        <f>装备!F184</f>
        <v>0</v>
      </c>
      <c r="E184">
        <f>装备!G184</f>
        <v>0</v>
      </c>
      <c r="F184">
        <f>装备!H184</f>
        <v>0</v>
      </c>
      <c r="G184">
        <f>IF(装备!I184="",0,"'"&amp;装备!I184&amp;"'")</f>
        <v>0</v>
      </c>
      <c r="H184">
        <f>IF(装备!R184="",0,装备!R184)</f>
        <v>0</v>
      </c>
      <c r="I184">
        <f>IF(装备!S184="",0,装备!S184)</f>
        <v>0</v>
      </c>
      <c r="J184">
        <f>IF(装备!C184="",0,""""&amp;装备!C184&amp;"""")</f>
        <v>0</v>
      </c>
      <c r="K184" t="str">
        <f>IF(装备!T184="","""""",""""&amp;装备!T184&amp;"""")</f>
        <v>""</v>
      </c>
      <c r="L184">
        <f>IF(装备!U184="",0,""""&amp;装备!U184&amp;"""")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IF(装备!B194="",0,"'"&amp;装备!B194&amp;"'")</f>
        <v>0</v>
      </c>
      <c r="B185">
        <f>装备!D195</f>
        <v>0</v>
      </c>
      <c r="C185">
        <f>装备!E194</f>
        <v>0</v>
      </c>
      <c r="D185">
        <f>装备!F194</f>
        <v>0</v>
      </c>
      <c r="E185">
        <f>装备!G194</f>
        <v>0</v>
      </c>
      <c r="F185">
        <f>装备!H194</f>
        <v>0</v>
      </c>
      <c r="G185">
        <f>IF(装备!I194="",0,"'"&amp;装备!I194&amp;"'")</f>
        <v>0</v>
      </c>
      <c r="H185">
        <f>IF(装备!R185="",0,装备!R185)</f>
        <v>0</v>
      </c>
      <c r="I185">
        <f>IF(装备!S185="",0,装备!S185)</f>
        <v>0</v>
      </c>
      <c r="J185">
        <f>IF(装备!C194="",0,""""&amp;装备!C194&amp;"""")</f>
        <v>0</v>
      </c>
      <c r="K185" t="str">
        <f>IF(装备!T194="","""""",""""&amp;装备!T194&amp;"""")</f>
        <v>""</v>
      </c>
      <c r="L185">
        <f>IF(装备!U194="",0,""""&amp;装备!U194&amp;"""")</f>
        <v>0</v>
      </c>
      <c r="M185" t="str">
        <f t="shared" ref="M132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31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IF(装备!B195="",0,"'"&amp;装备!B195&amp;"'")</f>
        <v>0</v>
      </c>
      <c r="B186">
        <f>装备!D196</f>
        <v>0</v>
      </c>
      <c r="C186">
        <f>装备!E195</f>
        <v>0</v>
      </c>
      <c r="D186">
        <f>装备!F195</f>
        <v>0</v>
      </c>
      <c r="E186">
        <f>装备!G195</f>
        <v>0</v>
      </c>
      <c r="F186">
        <f>装备!H195</f>
        <v>0</v>
      </c>
      <c r="G186">
        <f>IF(装备!I195="",0,"'"&amp;装备!I195&amp;"'")</f>
        <v>0</v>
      </c>
      <c r="H186">
        <f>IF(装备!R186="",0,装备!R186)</f>
        <v>0</v>
      </c>
      <c r="I186">
        <f>IF(装备!S186="",0,装备!S186)</f>
        <v>0</v>
      </c>
      <c r="J186">
        <f>IF(装备!C195="",0,""""&amp;装备!C195&amp;"""")</f>
        <v>0</v>
      </c>
      <c r="K186" t="str">
        <f>IF(装备!T195="","""""",""""&amp;装备!T195&amp;"""")</f>
        <v>""</v>
      </c>
      <c r="L186">
        <f>IF(装备!U195="",0,""""&amp;装备!U195&amp;"""")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IF(装备!B196="",0,"'"&amp;装备!B196&amp;"'")</f>
        <v>0</v>
      </c>
      <c r="B187">
        <f>装备!D197</f>
        <v>0</v>
      </c>
      <c r="C187">
        <f>装备!E196</f>
        <v>0</v>
      </c>
      <c r="D187">
        <f>装备!F196</f>
        <v>0</v>
      </c>
      <c r="E187">
        <f>装备!G196</f>
        <v>0</v>
      </c>
      <c r="F187">
        <f>装备!H196</f>
        <v>0</v>
      </c>
      <c r="G187">
        <f>IF(装备!I196="",0,"'"&amp;装备!I196&amp;"'")</f>
        <v>0</v>
      </c>
      <c r="H187">
        <f>IF(装备!R187="",0,装备!R187)</f>
        <v>0</v>
      </c>
      <c r="I187">
        <f>IF(装备!S187="",0,装备!S187)</f>
        <v>0</v>
      </c>
      <c r="J187">
        <f>IF(装备!C196="",0,""""&amp;装备!C196&amp;"""")</f>
        <v>0</v>
      </c>
      <c r="K187" t="str">
        <f>IF(装备!T196="","""""",""""&amp;装备!T196&amp;"""")</f>
        <v>""</v>
      </c>
      <c r="L187">
        <f>IF(装备!U196="",0,""""&amp;装备!U196&amp;"""")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IF(装备!B197="",0,"'"&amp;装备!B197&amp;"'")</f>
        <v>0</v>
      </c>
      <c r="B188">
        <f>装备!D198</f>
        <v>0</v>
      </c>
      <c r="C188">
        <f>装备!E197</f>
        <v>0</v>
      </c>
      <c r="D188">
        <f>装备!F197</f>
        <v>0</v>
      </c>
      <c r="E188">
        <f>装备!G197</f>
        <v>0</v>
      </c>
      <c r="F188">
        <f>装备!H197</f>
        <v>0</v>
      </c>
      <c r="G188">
        <f>IF(装备!I197="",0,"'"&amp;装备!I197&amp;"'")</f>
        <v>0</v>
      </c>
      <c r="H188">
        <f>IF(装备!R188="",0,装备!R188)</f>
        <v>0</v>
      </c>
      <c r="I188">
        <f>IF(装备!S188="",0,装备!S188)</f>
        <v>0</v>
      </c>
      <c r="J188">
        <f>IF(装备!C197="",0,""""&amp;装备!C197&amp;"""")</f>
        <v>0</v>
      </c>
      <c r="K188" t="str">
        <f>IF(装备!T197="","""""",""""&amp;装备!T197&amp;"""")</f>
        <v>""</v>
      </c>
      <c r="L188">
        <f>IF(装备!U197="",0,""""&amp;装备!U197&amp;"""")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IF(装备!B198="",0,"'"&amp;装备!B198&amp;"'")</f>
        <v>0</v>
      </c>
      <c r="B189">
        <f>装备!D199</f>
        <v>0</v>
      </c>
      <c r="C189">
        <f>装备!E198</f>
        <v>0</v>
      </c>
      <c r="D189">
        <f>装备!F198</f>
        <v>0</v>
      </c>
      <c r="E189">
        <f>装备!G198</f>
        <v>0</v>
      </c>
      <c r="F189">
        <f>装备!H198</f>
        <v>0</v>
      </c>
      <c r="G189">
        <f>IF(装备!I198="",0,"'"&amp;装备!I198&amp;"'")</f>
        <v>0</v>
      </c>
      <c r="H189">
        <f>IF(装备!R189="",0,装备!R189)</f>
        <v>0</v>
      </c>
      <c r="I189">
        <f>IF(装备!S189="",0,装备!S189)</f>
        <v>0</v>
      </c>
      <c r="J189">
        <f>IF(装备!C198="",0,""""&amp;装备!C198&amp;"""")</f>
        <v>0</v>
      </c>
      <c r="K189" t="str">
        <f>IF(装备!T198="","""""",""""&amp;装备!T198&amp;"""")</f>
        <v>""</v>
      </c>
      <c r="L189">
        <f>IF(装备!U198="",0,""""&amp;装备!U198&amp;"""")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IF(装备!B199="",0,"'"&amp;装备!B199&amp;"'")</f>
        <v>0</v>
      </c>
      <c r="B190">
        <f>装备!D200</f>
        <v>0</v>
      </c>
      <c r="C190">
        <f>装备!E199</f>
        <v>0</v>
      </c>
      <c r="D190">
        <f>装备!F199</f>
        <v>0</v>
      </c>
      <c r="E190">
        <f>装备!G199</f>
        <v>0</v>
      </c>
      <c r="F190">
        <f>装备!H199</f>
        <v>0</v>
      </c>
      <c r="G190">
        <f>IF(装备!I199="",0,"'"&amp;装备!I199&amp;"'")</f>
        <v>0</v>
      </c>
      <c r="H190">
        <f>IF(装备!R190="",0,装备!R190)</f>
        <v>0</v>
      </c>
      <c r="I190">
        <f>IF(装备!S190="",0,装备!S190)</f>
        <v>0</v>
      </c>
      <c r="J190">
        <f>IF(装备!C199="",0,""""&amp;装备!C199&amp;"""")</f>
        <v>0</v>
      </c>
      <c r="K190" t="str">
        <f>IF(装备!T199="","""""",""""&amp;装备!T199&amp;"""")</f>
        <v>""</v>
      </c>
      <c r="L190">
        <f>IF(装备!U199="",0,""""&amp;装备!U199&amp;"""")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IF(装备!B200="",0,"'"&amp;装备!B200&amp;"'")</f>
        <v>0</v>
      </c>
      <c r="B191">
        <f>装备!D201</f>
        <v>0</v>
      </c>
      <c r="C191">
        <f>装备!E200</f>
        <v>0</v>
      </c>
      <c r="D191">
        <f>装备!F200</f>
        <v>0</v>
      </c>
      <c r="E191">
        <f>装备!G200</f>
        <v>0</v>
      </c>
      <c r="F191">
        <f>装备!H200</f>
        <v>0</v>
      </c>
      <c r="G191">
        <f>IF(装备!I200="",0,"'"&amp;装备!I200&amp;"'")</f>
        <v>0</v>
      </c>
      <c r="H191">
        <f>IF(装备!R191="",0,装备!R191)</f>
        <v>0</v>
      </c>
      <c r="I191">
        <f>IF(装备!S191="",0,装备!S191)</f>
        <v>0</v>
      </c>
      <c r="J191">
        <f>IF(装备!C200="",0,""""&amp;装备!C200&amp;"""")</f>
        <v>0</v>
      </c>
      <c r="K191" t="str">
        <f>IF(装备!T200="","""""",""""&amp;装备!T200&amp;"""")</f>
        <v>""</v>
      </c>
      <c r="L191">
        <f>IF(装备!U200="",0,""""&amp;装备!U200&amp;"""")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IF(装备!B201="",0,"'"&amp;装备!B201&amp;"'")</f>
        <v>0</v>
      </c>
      <c r="B192">
        <f>装备!D202</f>
        <v>0</v>
      </c>
      <c r="C192">
        <f>装备!E201</f>
        <v>0</v>
      </c>
      <c r="D192">
        <f>装备!F201</f>
        <v>0</v>
      </c>
      <c r="E192">
        <f>装备!G201</f>
        <v>0</v>
      </c>
      <c r="F192">
        <f>装备!H201</f>
        <v>0</v>
      </c>
      <c r="G192">
        <f>IF(装备!I201="",0,"'"&amp;装备!I201&amp;"'")</f>
        <v>0</v>
      </c>
      <c r="H192">
        <f>IF(装备!R192="",0,装备!R192)</f>
        <v>0</v>
      </c>
      <c r="I192">
        <f>IF(装备!S192="",0,装备!S192)</f>
        <v>0</v>
      </c>
      <c r="J192">
        <f>IF(装备!C201="",0,""""&amp;装备!C201&amp;"""")</f>
        <v>0</v>
      </c>
      <c r="K192" t="str">
        <f>IF(装备!T201="","""""",""""&amp;装备!T201&amp;"""")</f>
        <v>""</v>
      </c>
      <c r="L192">
        <f>IF(装备!U201="",0,""""&amp;装备!U201&amp;"""")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IF(装备!B202="",0,"'"&amp;装备!B202&amp;"'")</f>
        <v>0</v>
      </c>
      <c r="B193">
        <f>装备!D203</f>
        <v>0</v>
      </c>
      <c r="C193">
        <f>装备!E202</f>
        <v>0</v>
      </c>
      <c r="D193">
        <f>装备!F202</f>
        <v>0</v>
      </c>
      <c r="E193">
        <f>装备!G202</f>
        <v>0</v>
      </c>
      <c r="F193">
        <f>装备!H202</f>
        <v>0</v>
      </c>
      <c r="G193">
        <f>IF(装备!I202="",0,"'"&amp;装备!I202&amp;"'")</f>
        <v>0</v>
      </c>
      <c r="H193">
        <f>IF(装备!R193="",0,装备!R193)</f>
        <v>0</v>
      </c>
      <c r="I193">
        <f>IF(装备!S193="",0,装备!S193)</f>
        <v>0</v>
      </c>
      <c r="J193">
        <f>IF(装备!C202="",0,""""&amp;装备!C202&amp;"""")</f>
        <v>0</v>
      </c>
      <c r="K193" t="str">
        <f>IF(装备!T202="","""""",""""&amp;装备!T202&amp;"""")</f>
        <v>""</v>
      </c>
      <c r="L193">
        <f>IF(装备!U202="",0,""""&amp;装备!U202&amp;"""")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IF(装备!B203="",0,"'"&amp;装备!B203&amp;"'")</f>
        <v>0</v>
      </c>
      <c r="B194">
        <f>装备!D204</f>
        <v>0</v>
      </c>
      <c r="C194">
        <f>装备!E203</f>
        <v>0</v>
      </c>
      <c r="D194">
        <f>装备!F203</f>
        <v>0</v>
      </c>
      <c r="E194">
        <f>装备!G203</f>
        <v>0</v>
      </c>
      <c r="F194">
        <f>装备!H203</f>
        <v>0</v>
      </c>
      <c r="G194">
        <f>IF(装备!I203="",0,"'"&amp;装备!I203&amp;"'")</f>
        <v>0</v>
      </c>
      <c r="H194">
        <f>IF(装备!R194="",0,装备!R194)</f>
        <v>0</v>
      </c>
      <c r="I194">
        <f>IF(装备!S194="",0,装备!S194)</f>
        <v>0</v>
      </c>
      <c r="J194">
        <f>IF(装备!C203="",0,""""&amp;装备!C203&amp;"""")</f>
        <v>0</v>
      </c>
      <c r="K194" t="str">
        <f>IF(装备!T203="","""""",""""&amp;装备!T203&amp;"""")</f>
        <v>""</v>
      </c>
      <c r="L194">
        <f>IF(装备!U203="",0,""""&amp;装备!U203&amp;"""")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IF(装备!B204="",0,"'"&amp;装备!B204&amp;"'")</f>
        <v>0</v>
      </c>
      <c r="B195">
        <f>装备!D205</f>
        <v>0</v>
      </c>
      <c r="C195">
        <f>装备!E204</f>
        <v>0</v>
      </c>
      <c r="D195">
        <f>装备!F204</f>
        <v>0</v>
      </c>
      <c r="E195">
        <f>装备!G204</f>
        <v>0</v>
      </c>
      <c r="F195">
        <f>装备!H204</f>
        <v>0</v>
      </c>
      <c r="G195">
        <f>IF(装备!I204="",0,"'"&amp;装备!I204&amp;"'")</f>
        <v>0</v>
      </c>
      <c r="H195">
        <f>IF(装备!R195="",0,装备!R195)</f>
        <v>0</v>
      </c>
      <c r="I195">
        <f>IF(装备!S195="",0,装备!S195)</f>
        <v>0</v>
      </c>
      <c r="J195">
        <f>IF(装备!C204="",0,""""&amp;装备!C204&amp;"""")</f>
        <v>0</v>
      </c>
      <c r="K195" t="str">
        <f>IF(装备!T204="","""""",""""&amp;装备!T204&amp;"""")</f>
        <v>""</v>
      </c>
      <c r="L195">
        <f>IF(装备!U204="",0,""""&amp;装备!U204&amp;"""")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IF(装备!B205="",0,"'"&amp;装备!B205&amp;"'")</f>
        <v>0</v>
      </c>
      <c r="B196">
        <f>装备!D206</f>
        <v>0</v>
      </c>
      <c r="C196">
        <f>装备!E205</f>
        <v>0</v>
      </c>
      <c r="D196">
        <f>装备!F205</f>
        <v>0</v>
      </c>
      <c r="E196">
        <f>装备!G205</f>
        <v>0</v>
      </c>
      <c r="F196">
        <f>装备!H205</f>
        <v>0</v>
      </c>
      <c r="G196">
        <f>IF(装备!I205="",0,"'"&amp;装备!I205&amp;"'")</f>
        <v>0</v>
      </c>
      <c r="H196">
        <f>IF(装备!R196="",0,装备!R196)</f>
        <v>0</v>
      </c>
      <c r="I196">
        <f>IF(装备!S196="",0,装备!S196)</f>
        <v>0</v>
      </c>
      <c r="J196">
        <f>IF(装备!C205="",0,""""&amp;装备!C205&amp;"""")</f>
        <v>0</v>
      </c>
      <c r="K196" t="str">
        <f>IF(装备!T205="","""""",""""&amp;装备!T205&amp;"""")</f>
        <v>""</v>
      </c>
      <c r="L196">
        <f>IF(装备!U205="",0,""""&amp;装备!U205&amp;"""")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IF(装备!B206="",0,"'"&amp;装备!B206&amp;"'")</f>
        <v>0</v>
      </c>
      <c r="B197">
        <f>装备!D207</f>
        <v>0</v>
      </c>
      <c r="C197">
        <f>装备!E206</f>
        <v>0</v>
      </c>
      <c r="D197">
        <f>装备!F206</f>
        <v>0</v>
      </c>
      <c r="E197">
        <f>装备!G206</f>
        <v>0</v>
      </c>
      <c r="F197">
        <f>装备!H206</f>
        <v>0</v>
      </c>
      <c r="G197">
        <f>IF(装备!I206="",0,"'"&amp;装备!I206&amp;"'")</f>
        <v>0</v>
      </c>
      <c r="H197">
        <f>IF(装备!R197="",0,装备!R197)</f>
        <v>0</v>
      </c>
      <c r="I197">
        <f>IF(装备!S197="",0,装备!S197)</f>
        <v>0</v>
      </c>
      <c r="J197">
        <f>IF(装备!C206="",0,""""&amp;装备!C206&amp;"""")</f>
        <v>0</v>
      </c>
      <c r="K197" t="str">
        <f>IF(装备!T206="","""""",""""&amp;装备!T206&amp;"""")</f>
        <v>""</v>
      </c>
      <c r="L197">
        <f>IF(装备!U206="",0,""""&amp;装备!U206&amp;"""")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IF(装备!B207="",0,"'"&amp;装备!B207&amp;"'")</f>
        <v>0</v>
      </c>
      <c r="B198">
        <f>装备!D208</f>
        <v>0</v>
      </c>
      <c r="C198">
        <f>装备!E207</f>
        <v>0</v>
      </c>
      <c r="D198">
        <f>装备!F207</f>
        <v>0</v>
      </c>
      <c r="E198">
        <f>装备!G207</f>
        <v>0</v>
      </c>
      <c r="F198">
        <f>装备!H207</f>
        <v>0</v>
      </c>
      <c r="G198">
        <f>IF(装备!I207="",0,"'"&amp;装备!I207&amp;"'")</f>
        <v>0</v>
      </c>
      <c r="H198">
        <f>IF(装备!R198="",0,装备!R198)</f>
        <v>0</v>
      </c>
      <c r="I198">
        <f>IF(装备!S198="",0,装备!S198)</f>
        <v>0</v>
      </c>
      <c r="J198">
        <f>IF(装备!C207="",0,""""&amp;装备!C207&amp;"""")</f>
        <v>0</v>
      </c>
      <c r="K198" t="str">
        <f>IF(装备!T207="","""""",""""&amp;装备!T207&amp;"""")</f>
        <v>""</v>
      </c>
      <c r="L198">
        <f>IF(装备!U207="",0,""""&amp;装备!U207&amp;"""")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IF(装备!B208="",0,"'"&amp;装备!B208&amp;"'")</f>
        <v>0</v>
      </c>
      <c r="B199">
        <f>装备!D209</f>
        <v>0</v>
      </c>
      <c r="C199">
        <f>装备!E208</f>
        <v>0</v>
      </c>
      <c r="D199">
        <f>装备!F208</f>
        <v>0</v>
      </c>
      <c r="E199">
        <f>装备!G208</f>
        <v>0</v>
      </c>
      <c r="F199">
        <f>装备!H208</f>
        <v>0</v>
      </c>
      <c r="G199">
        <f>IF(装备!I208="",0,"'"&amp;装备!I208&amp;"'")</f>
        <v>0</v>
      </c>
      <c r="H199">
        <f>IF(装备!R199="",0,装备!R199)</f>
        <v>0</v>
      </c>
      <c r="I199">
        <f>IF(装备!S199="",0,装备!S199)</f>
        <v>0</v>
      </c>
      <c r="J199">
        <f>IF(装备!C208="",0,""""&amp;装备!C208&amp;"""")</f>
        <v>0</v>
      </c>
      <c r="K199" t="str">
        <f>IF(装备!T208="","""""",""""&amp;装备!T208&amp;"""")</f>
        <v>""</v>
      </c>
      <c r="L199">
        <f>IF(装备!U208="",0,""""&amp;装备!U208&amp;"""")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IF(装备!B209="",0,"'"&amp;装备!B209&amp;"'")</f>
        <v>0</v>
      </c>
      <c r="B200">
        <f>装备!D210</f>
        <v>0</v>
      </c>
      <c r="C200">
        <f>装备!E209</f>
        <v>0</v>
      </c>
      <c r="D200">
        <f>装备!F209</f>
        <v>0</v>
      </c>
      <c r="E200">
        <f>装备!G209</f>
        <v>0</v>
      </c>
      <c r="F200">
        <f>装备!H209</f>
        <v>0</v>
      </c>
      <c r="G200">
        <f>IF(装备!I209="",0,"'"&amp;装备!I209&amp;"'")</f>
        <v>0</v>
      </c>
      <c r="H200">
        <f>IF(装备!R200="",0,装备!R200)</f>
        <v>0</v>
      </c>
      <c r="I200">
        <f>IF(装备!S200="",0,装备!S200)</f>
        <v>0</v>
      </c>
      <c r="J200">
        <f>IF(装备!C209="",0,""""&amp;装备!C209&amp;"""")</f>
        <v>0</v>
      </c>
      <c r="K200" t="str">
        <f>IF(装备!T209="","""""",""""&amp;装备!T209&amp;"""")</f>
        <v>""</v>
      </c>
      <c r="L200">
        <f>IF(装备!U209="",0,""""&amp;装备!U209&amp;"""")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IF(装备!B210="",0,"'"&amp;装备!B210&amp;"'")</f>
        <v>0</v>
      </c>
      <c r="B201">
        <f>装备!D211</f>
        <v>0</v>
      </c>
      <c r="C201">
        <f>装备!E210</f>
        <v>0</v>
      </c>
      <c r="D201">
        <f>装备!F210</f>
        <v>0</v>
      </c>
      <c r="E201">
        <f>装备!G210</f>
        <v>0</v>
      </c>
      <c r="F201">
        <f>装备!H210</f>
        <v>0</v>
      </c>
      <c r="G201">
        <f>IF(装备!I210="",0,"'"&amp;装备!I210&amp;"'")</f>
        <v>0</v>
      </c>
      <c r="H201">
        <f>IF(装备!R201="",0,装备!R201)</f>
        <v>0</v>
      </c>
      <c r="I201">
        <f>IF(装备!S201="",0,装备!S201)</f>
        <v>0</v>
      </c>
      <c r="J201">
        <f>IF(装备!C210="",0,""""&amp;装备!C210&amp;"""")</f>
        <v>0</v>
      </c>
      <c r="K201" t="str">
        <f>IF(装备!T210="","""""",""""&amp;装备!T210&amp;"""")</f>
        <v>""</v>
      </c>
      <c r="L201">
        <f>IF(装备!U210="",0,""""&amp;装备!U210&amp;"""")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IF(装备!B211="",0,"'"&amp;装备!B211&amp;"'")</f>
        <v>0</v>
      </c>
      <c r="B202">
        <f>装备!D212</f>
        <v>0</v>
      </c>
      <c r="C202">
        <f>装备!E211</f>
        <v>0</v>
      </c>
      <c r="D202">
        <f>装备!F211</f>
        <v>0</v>
      </c>
      <c r="E202">
        <f>装备!G211</f>
        <v>0</v>
      </c>
      <c r="F202">
        <f>装备!H211</f>
        <v>0</v>
      </c>
      <c r="G202">
        <f>IF(装备!I211="",0,"'"&amp;装备!I211&amp;"'")</f>
        <v>0</v>
      </c>
      <c r="H202">
        <f>IF(装备!R202="",0,装备!R202)</f>
        <v>0</v>
      </c>
      <c r="I202">
        <f>IF(装备!S202="",0,装备!S202)</f>
        <v>0</v>
      </c>
      <c r="J202">
        <f>IF(装备!C211="",0,""""&amp;装备!C211&amp;"""")</f>
        <v>0</v>
      </c>
      <c r="K202" t="str">
        <f>IF(装备!T211="","""""",""""&amp;装备!T211&amp;"""")</f>
        <v>""</v>
      </c>
      <c r="L202">
        <f>IF(装备!U211="",0,""""&amp;装备!U211&amp;"""")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IF(装备!B212="",0,"'"&amp;装备!B212&amp;"'")</f>
        <v>0</v>
      </c>
      <c r="B203">
        <f>装备!D213</f>
        <v>0</v>
      </c>
      <c r="C203">
        <f>装备!E212</f>
        <v>0</v>
      </c>
      <c r="D203">
        <f>装备!F212</f>
        <v>0</v>
      </c>
      <c r="E203">
        <f>装备!G212</f>
        <v>0</v>
      </c>
      <c r="F203">
        <f>装备!H212</f>
        <v>0</v>
      </c>
      <c r="G203">
        <f>IF(装备!I212="",0,"'"&amp;装备!I212&amp;"'")</f>
        <v>0</v>
      </c>
      <c r="H203">
        <f>IF(装备!R203="",0,装备!R203)</f>
        <v>0</v>
      </c>
      <c r="I203">
        <f>IF(装备!S203="",0,装备!S203)</f>
        <v>0</v>
      </c>
      <c r="J203">
        <f>IF(装备!C212="",0,""""&amp;装备!C212&amp;"""")</f>
        <v>0</v>
      </c>
      <c r="K203" t="str">
        <f>IF(装备!T212="","""""",""""&amp;装备!T212&amp;"""")</f>
        <v>""</v>
      </c>
      <c r="L203">
        <f>IF(装备!U212="",0,""""&amp;装备!U212&amp;"""")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IF(装备!B213="",0,"'"&amp;装备!B213&amp;"'")</f>
        <v>0</v>
      </c>
      <c r="B204">
        <f>装备!D214</f>
        <v>0</v>
      </c>
      <c r="C204">
        <f>装备!E213</f>
        <v>0</v>
      </c>
      <c r="D204">
        <f>装备!F213</f>
        <v>0</v>
      </c>
      <c r="E204">
        <f>装备!G213</f>
        <v>0</v>
      </c>
      <c r="F204">
        <f>装备!H213</f>
        <v>0</v>
      </c>
      <c r="G204">
        <f>IF(装备!I213="",0,"'"&amp;装备!I213&amp;"'")</f>
        <v>0</v>
      </c>
      <c r="H204">
        <f>IF(装备!R204="",0,装备!R204)</f>
        <v>0</v>
      </c>
      <c r="I204">
        <f>IF(装备!S204="",0,装备!S204)</f>
        <v>0</v>
      </c>
      <c r="J204">
        <f>IF(装备!C213="",0,""""&amp;装备!C213&amp;"""")</f>
        <v>0</v>
      </c>
      <c r="K204" t="str">
        <f>IF(装备!T213="","""""",""""&amp;装备!T213&amp;"""")</f>
        <v>""</v>
      </c>
      <c r="L204">
        <f>IF(装备!U213="",0,""""&amp;装备!U213&amp;"""")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IF(装备!B214="",0,"'"&amp;装备!B214&amp;"'")</f>
        <v>0</v>
      </c>
      <c r="B205">
        <f>装备!D215</f>
        <v>0</v>
      </c>
      <c r="C205">
        <f>装备!E214</f>
        <v>0</v>
      </c>
      <c r="D205">
        <f>装备!F214</f>
        <v>0</v>
      </c>
      <c r="E205">
        <f>装备!G214</f>
        <v>0</v>
      </c>
      <c r="F205">
        <f>装备!H214</f>
        <v>0</v>
      </c>
      <c r="G205">
        <f>IF(装备!I214="",0,"'"&amp;装备!I214&amp;"'")</f>
        <v>0</v>
      </c>
      <c r="H205">
        <f>IF(装备!R205="",0,装备!R205)</f>
        <v>0</v>
      </c>
      <c r="I205">
        <f>IF(装备!S205="",0,装备!S205)</f>
        <v>0</v>
      </c>
      <c r="J205">
        <f>IF(装备!C214="",0,""""&amp;装备!C214&amp;"""")</f>
        <v>0</v>
      </c>
      <c r="K205" t="str">
        <f>IF(装备!T214="","""""",""""&amp;装备!T214&amp;"""")</f>
        <v>""</v>
      </c>
      <c r="L205">
        <f>IF(装备!U214="",0,""""&amp;装备!U214&amp;"""")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IF(装备!B215="",0,"'"&amp;装备!B215&amp;"'")</f>
        <v>0</v>
      </c>
      <c r="B206">
        <f>装备!D216</f>
        <v>0</v>
      </c>
      <c r="C206">
        <f>装备!E215</f>
        <v>0</v>
      </c>
      <c r="D206">
        <f>装备!F215</f>
        <v>0</v>
      </c>
      <c r="E206">
        <f>装备!G215</f>
        <v>0</v>
      </c>
      <c r="F206">
        <f>装备!H215</f>
        <v>0</v>
      </c>
      <c r="G206">
        <f>IF(装备!I215="",0,"'"&amp;装备!I215&amp;"'")</f>
        <v>0</v>
      </c>
      <c r="H206">
        <f>IF(装备!R206="",0,装备!R206)</f>
        <v>0</v>
      </c>
      <c r="I206">
        <f>IF(装备!S206="",0,装备!S206)</f>
        <v>0</v>
      </c>
      <c r="J206">
        <f>IF(装备!C215="",0,""""&amp;装备!C215&amp;"""")</f>
        <v>0</v>
      </c>
      <c r="K206" t="str">
        <f>IF(装备!T215="","""""",""""&amp;装备!T215&amp;"""")</f>
        <v>""</v>
      </c>
      <c r="L206">
        <f>IF(装备!U215="",0,""""&amp;装备!U215&amp;"""")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IF(装备!B216="",0,"'"&amp;装备!B216&amp;"'")</f>
        <v>0</v>
      </c>
      <c r="B207">
        <f>装备!D217</f>
        <v>0</v>
      </c>
      <c r="C207">
        <f>装备!E216</f>
        <v>0</v>
      </c>
      <c r="D207">
        <f>装备!F216</f>
        <v>0</v>
      </c>
      <c r="E207">
        <f>装备!G216</f>
        <v>0</v>
      </c>
      <c r="F207">
        <f>装备!H216</f>
        <v>0</v>
      </c>
      <c r="G207">
        <f>IF(装备!I216="",0,"'"&amp;装备!I216&amp;"'")</f>
        <v>0</v>
      </c>
      <c r="H207">
        <f>IF(装备!R207="",0,装备!R207)</f>
        <v>0</v>
      </c>
      <c r="I207">
        <f>IF(装备!S207="",0,装备!S207)</f>
        <v>0</v>
      </c>
      <c r="J207">
        <f>IF(装备!C216="",0,""""&amp;装备!C216&amp;"""")</f>
        <v>0</v>
      </c>
      <c r="K207" t="str">
        <f>IF(装备!T216="","""""",""""&amp;装备!T216&amp;"""")</f>
        <v>""</v>
      </c>
      <c r="L207">
        <f>IF(装备!U216="",0,""""&amp;装备!U216&amp;"""")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IF(装备!B217="",0,"'"&amp;装备!B217&amp;"'")</f>
        <v>0</v>
      </c>
      <c r="B208">
        <f>装备!D218</f>
        <v>0</v>
      </c>
      <c r="C208">
        <f>装备!E217</f>
        <v>0</v>
      </c>
      <c r="D208">
        <f>装备!F217</f>
        <v>0</v>
      </c>
      <c r="E208">
        <f>装备!G217</f>
        <v>0</v>
      </c>
      <c r="F208">
        <f>装备!H217</f>
        <v>0</v>
      </c>
      <c r="G208">
        <f>IF(装备!I217="",0,"'"&amp;装备!I217&amp;"'")</f>
        <v>0</v>
      </c>
      <c r="H208">
        <f>IF(装备!R208="",0,装备!R208)</f>
        <v>0</v>
      </c>
      <c r="I208">
        <f>IF(装备!S208="",0,装备!S208)</f>
        <v>0</v>
      </c>
      <c r="J208">
        <f>IF(装备!C217="",0,""""&amp;装备!C217&amp;"""")</f>
        <v>0</v>
      </c>
      <c r="K208" t="str">
        <f>IF(装备!T217="","""""",""""&amp;装备!T217&amp;"""")</f>
        <v>""</v>
      </c>
      <c r="L208">
        <f>IF(装备!U217="",0,""""&amp;装备!U217&amp;"""")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IF(装备!B218="",0,"'"&amp;装备!B218&amp;"'")</f>
        <v>0</v>
      </c>
      <c r="B209">
        <f>装备!D219</f>
        <v>0</v>
      </c>
      <c r="C209">
        <f>装备!E218</f>
        <v>0</v>
      </c>
      <c r="D209">
        <f>装备!F218</f>
        <v>0</v>
      </c>
      <c r="E209">
        <f>装备!G218</f>
        <v>0</v>
      </c>
      <c r="F209">
        <f>装备!H218</f>
        <v>0</v>
      </c>
      <c r="G209">
        <f>IF(装备!I218="",0,"'"&amp;装备!I218&amp;"'")</f>
        <v>0</v>
      </c>
      <c r="H209">
        <f>IF(装备!R209="",0,装备!R209)</f>
        <v>0</v>
      </c>
      <c r="I209">
        <f>IF(装备!S209="",0,装备!S209)</f>
        <v>0</v>
      </c>
      <c r="J209">
        <f>IF(装备!C218="",0,""""&amp;装备!C218&amp;"""")</f>
        <v>0</v>
      </c>
      <c r="K209" t="str">
        <f>IF(装备!T218="","""""",""""&amp;装备!T218&amp;"""")</f>
        <v>""</v>
      </c>
      <c r="L209">
        <f>IF(装备!U218="",0,""""&amp;装备!U218&amp;"""")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IF(装备!B219="",0,"'"&amp;装备!B219&amp;"'")</f>
        <v>0</v>
      </c>
      <c r="B210">
        <f>装备!D220</f>
        <v>0</v>
      </c>
      <c r="C210">
        <f>装备!E219</f>
        <v>0</v>
      </c>
      <c r="D210">
        <f>装备!F219</f>
        <v>0</v>
      </c>
      <c r="E210">
        <f>装备!G219</f>
        <v>0</v>
      </c>
      <c r="F210">
        <f>装备!H219</f>
        <v>0</v>
      </c>
      <c r="G210">
        <f>IF(装备!I219="",0,"'"&amp;装备!I219&amp;"'")</f>
        <v>0</v>
      </c>
      <c r="H210">
        <f>IF(装备!R210="",0,装备!R210)</f>
        <v>0</v>
      </c>
      <c r="I210">
        <f>IF(装备!S210="",0,装备!S210)</f>
        <v>0</v>
      </c>
      <c r="J210">
        <f>IF(装备!C219="",0,""""&amp;装备!C219&amp;"""")</f>
        <v>0</v>
      </c>
      <c r="K210" t="str">
        <f>IF(装备!T219="","""""",""""&amp;装备!T219&amp;"""")</f>
        <v>""</v>
      </c>
      <c r="L210">
        <f>IF(装备!U219="",0,""""&amp;装备!U219&amp;"""")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IF(装备!B220="",0,"'"&amp;装备!B220&amp;"'")</f>
        <v>0</v>
      </c>
      <c r="B211">
        <f>装备!D221</f>
        <v>0</v>
      </c>
      <c r="C211">
        <f>装备!E220</f>
        <v>0</v>
      </c>
      <c r="D211">
        <f>装备!F220</f>
        <v>0</v>
      </c>
      <c r="E211">
        <f>装备!G220</f>
        <v>0</v>
      </c>
      <c r="F211">
        <f>装备!H220</f>
        <v>0</v>
      </c>
      <c r="G211">
        <f>IF(装备!I220="",0,"'"&amp;装备!I220&amp;"'")</f>
        <v>0</v>
      </c>
      <c r="H211">
        <f>IF(装备!R211="",0,装备!R211)</f>
        <v>0</v>
      </c>
      <c r="I211">
        <f>IF(装备!S211="",0,装备!S211)</f>
        <v>0</v>
      </c>
      <c r="J211">
        <f>IF(装备!C220="",0,""""&amp;装备!C220&amp;"""")</f>
        <v>0</v>
      </c>
      <c r="K211" t="str">
        <f>IF(装备!T220="","""""",""""&amp;装备!T220&amp;"""")</f>
        <v>""</v>
      </c>
      <c r="L211">
        <f>IF(装备!U220="",0,""""&amp;装备!U220&amp;"""")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IF(装备!B221="",0,"'"&amp;装备!B221&amp;"'")</f>
        <v>0</v>
      </c>
      <c r="B212">
        <f>装备!D222</f>
        <v>0</v>
      </c>
      <c r="C212">
        <f>装备!E221</f>
        <v>0</v>
      </c>
      <c r="D212">
        <f>装备!F221</f>
        <v>0</v>
      </c>
      <c r="E212">
        <f>装备!G221</f>
        <v>0</v>
      </c>
      <c r="F212">
        <f>装备!H221</f>
        <v>0</v>
      </c>
      <c r="G212">
        <f>IF(装备!I221="",0,"'"&amp;装备!I221&amp;"'")</f>
        <v>0</v>
      </c>
      <c r="H212">
        <f>IF(装备!R212="",0,装备!R212)</f>
        <v>0</v>
      </c>
      <c r="I212">
        <f>IF(装备!S212="",0,装备!S212)</f>
        <v>0</v>
      </c>
      <c r="J212">
        <f>IF(装备!C221="",0,""""&amp;装备!C221&amp;"""")</f>
        <v>0</v>
      </c>
      <c r="K212" t="str">
        <f>IF(装备!T221="","""""",""""&amp;装备!T221&amp;"""")</f>
        <v>""</v>
      </c>
      <c r="L212">
        <f>IF(装备!U221="",0,""""&amp;装备!U221&amp;"""")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IF(装备!B222="",0,"'"&amp;装备!B222&amp;"'")</f>
        <v>0</v>
      </c>
      <c r="B213">
        <f>装备!D223</f>
        <v>0</v>
      </c>
      <c r="C213">
        <f>装备!E222</f>
        <v>0</v>
      </c>
      <c r="D213">
        <f>装备!F222</f>
        <v>0</v>
      </c>
      <c r="E213">
        <f>装备!G222</f>
        <v>0</v>
      </c>
      <c r="F213">
        <f>装备!H222</f>
        <v>0</v>
      </c>
      <c r="G213">
        <f>IF(装备!I222="",0,"'"&amp;装备!I222&amp;"'")</f>
        <v>0</v>
      </c>
      <c r="H213">
        <f>IF(装备!R213="",0,装备!R213)</f>
        <v>0</v>
      </c>
      <c r="I213">
        <f>IF(装备!S213="",0,装备!S213)</f>
        <v>0</v>
      </c>
      <c r="J213">
        <f>IF(装备!C222="",0,""""&amp;装备!C222&amp;"""")</f>
        <v>0</v>
      </c>
      <c r="K213" t="str">
        <f>IF(装备!T222="","""""",""""&amp;装备!T222&amp;"""")</f>
        <v>""</v>
      </c>
      <c r="L213">
        <f>IF(装备!U222="",0,""""&amp;装备!U222&amp;"""")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IF(装备!B223="",0,"'"&amp;装备!B223&amp;"'")</f>
        <v>0</v>
      </c>
      <c r="B214">
        <f>装备!D224</f>
        <v>0</v>
      </c>
      <c r="C214">
        <f>装备!E223</f>
        <v>0</v>
      </c>
      <c r="D214">
        <f>装备!F223</f>
        <v>0</v>
      </c>
      <c r="E214">
        <f>装备!G223</f>
        <v>0</v>
      </c>
      <c r="F214">
        <f>装备!H223</f>
        <v>0</v>
      </c>
      <c r="G214">
        <f>IF(装备!I223="",0,"'"&amp;装备!I223&amp;"'")</f>
        <v>0</v>
      </c>
      <c r="H214">
        <f>IF(装备!R214="",0,装备!R214)</f>
        <v>0</v>
      </c>
      <c r="I214">
        <f>IF(装备!S214="",0,装备!S214)</f>
        <v>0</v>
      </c>
      <c r="J214">
        <f>IF(装备!C223="",0,""""&amp;装备!C223&amp;"""")</f>
        <v>0</v>
      </c>
      <c r="K214" t="str">
        <f>IF(装备!T223="","""""",""""&amp;装备!T223&amp;"""")</f>
        <v>""</v>
      </c>
      <c r="L214">
        <f>IF(装备!U223="",0,""""&amp;装备!U223&amp;"""")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IF(装备!B224="",0,"'"&amp;装备!B224&amp;"'")</f>
        <v>0</v>
      </c>
      <c r="B215">
        <f>装备!D225</f>
        <v>0</v>
      </c>
      <c r="C215">
        <f>装备!E224</f>
        <v>0</v>
      </c>
      <c r="D215">
        <f>装备!F224</f>
        <v>0</v>
      </c>
      <c r="E215">
        <f>装备!G224</f>
        <v>0</v>
      </c>
      <c r="F215">
        <f>装备!H224</f>
        <v>0</v>
      </c>
      <c r="G215">
        <f>IF(装备!I224="",0,"'"&amp;装备!I224&amp;"'")</f>
        <v>0</v>
      </c>
      <c r="H215">
        <f>IF(装备!R215="",0,装备!R215)</f>
        <v>0</v>
      </c>
      <c r="I215">
        <f>IF(装备!S215="",0,装备!S215)</f>
        <v>0</v>
      </c>
      <c r="J215">
        <f>IF(装备!C224="",0,""""&amp;装备!C224&amp;"""")</f>
        <v>0</v>
      </c>
      <c r="K215" t="str">
        <f>IF(装备!T224="","""""",""""&amp;装备!T224&amp;"""")</f>
        <v>""</v>
      </c>
      <c r="L215">
        <f>IF(装备!U224="",0,""""&amp;装备!U224&amp;"""")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IF(装备!B225="",0,"'"&amp;装备!B225&amp;"'")</f>
        <v>0</v>
      </c>
      <c r="B216">
        <f>装备!D226</f>
        <v>0</v>
      </c>
      <c r="C216">
        <f>装备!E225</f>
        <v>0</v>
      </c>
      <c r="D216">
        <f>装备!F225</f>
        <v>0</v>
      </c>
      <c r="E216">
        <f>装备!G225</f>
        <v>0</v>
      </c>
      <c r="F216">
        <f>装备!H225</f>
        <v>0</v>
      </c>
      <c r="G216">
        <f>IF(装备!I225="",0,"'"&amp;装备!I225&amp;"'")</f>
        <v>0</v>
      </c>
      <c r="H216">
        <f>IF(装备!R216="",0,装备!R216)</f>
        <v>0</v>
      </c>
      <c r="I216">
        <f>IF(装备!S216="",0,装备!S216)</f>
        <v>0</v>
      </c>
      <c r="J216">
        <f>IF(装备!C225="",0,""""&amp;装备!C225&amp;"""")</f>
        <v>0</v>
      </c>
      <c r="K216" t="str">
        <f>IF(装备!T225="","""""",""""&amp;装备!T225&amp;"""")</f>
        <v>""</v>
      </c>
      <c r="L216">
        <f>IF(装备!U225="",0,""""&amp;装备!U225&amp;"""")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IF(装备!B226="",0,"'"&amp;装备!B226&amp;"'")</f>
        <v>0</v>
      </c>
      <c r="B217">
        <f>装备!D227</f>
        <v>0</v>
      </c>
      <c r="C217">
        <f>装备!E226</f>
        <v>0</v>
      </c>
      <c r="D217">
        <f>装备!F226</f>
        <v>0</v>
      </c>
      <c r="E217">
        <f>装备!G226</f>
        <v>0</v>
      </c>
      <c r="F217">
        <f>装备!H226</f>
        <v>0</v>
      </c>
      <c r="G217">
        <f>IF(装备!I226="",0,"'"&amp;装备!I226&amp;"'")</f>
        <v>0</v>
      </c>
      <c r="H217">
        <f>IF(装备!R217="",0,装备!R217)</f>
        <v>0</v>
      </c>
      <c r="I217">
        <f>IF(装备!S217="",0,装备!S217)</f>
        <v>0</v>
      </c>
      <c r="J217">
        <f>IF(装备!C226="",0,""""&amp;装备!C226&amp;"""")</f>
        <v>0</v>
      </c>
      <c r="K217" t="str">
        <f>IF(装备!T226="","""""",""""&amp;装备!T226&amp;"""")</f>
        <v>""</v>
      </c>
      <c r="L217">
        <f>IF(装备!U226="",0,""""&amp;装备!U226&amp;"""")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IF(装备!B227="",0,"'"&amp;装备!B227&amp;"'")</f>
        <v>0</v>
      </c>
      <c r="B218">
        <f>装备!D228</f>
        <v>0</v>
      </c>
      <c r="C218">
        <f>装备!E227</f>
        <v>0</v>
      </c>
      <c r="D218">
        <f>装备!F227</f>
        <v>0</v>
      </c>
      <c r="E218">
        <f>装备!G227</f>
        <v>0</v>
      </c>
      <c r="F218">
        <f>装备!H227</f>
        <v>0</v>
      </c>
      <c r="G218">
        <f>IF(装备!I227="",0,"'"&amp;装备!I227&amp;"'")</f>
        <v>0</v>
      </c>
      <c r="H218">
        <f>IF(装备!R218="",0,装备!R218)</f>
        <v>0</v>
      </c>
      <c r="I218">
        <f>IF(装备!S218="",0,装备!S218)</f>
        <v>0</v>
      </c>
      <c r="J218">
        <f>IF(装备!C227="",0,""""&amp;装备!C227&amp;"""")</f>
        <v>0</v>
      </c>
      <c r="K218" t="str">
        <f>IF(装备!T227="","""""",""""&amp;装备!T227&amp;"""")</f>
        <v>""</v>
      </c>
      <c r="L218">
        <f>IF(装备!U227="",0,""""&amp;装备!U227&amp;"""")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IF(装备!B228="",0,"'"&amp;装备!B228&amp;"'")</f>
        <v>0</v>
      </c>
      <c r="B219">
        <f>装备!D229</f>
        <v>0</v>
      </c>
      <c r="C219">
        <f>装备!E228</f>
        <v>0</v>
      </c>
      <c r="D219">
        <f>装备!F228</f>
        <v>0</v>
      </c>
      <c r="E219">
        <f>装备!G228</f>
        <v>0</v>
      </c>
      <c r="F219">
        <f>装备!H228</f>
        <v>0</v>
      </c>
      <c r="G219">
        <f>IF(装备!I228="",0,"'"&amp;装备!I228&amp;"'")</f>
        <v>0</v>
      </c>
      <c r="H219">
        <f>IF(装备!R219="",0,装备!R219)</f>
        <v>0</v>
      </c>
      <c r="I219">
        <f>IF(装备!S219="",0,装备!S219)</f>
        <v>0</v>
      </c>
      <c r="J219">
        <f>IF(装备!C228="",0,""""&amp;装备!C228&amp;"""")</f>
        <v>0</v>
      </c>
      <c r="K219" t="str">
        <f>IF(装备!T228="","""""",""""&amp;装备!T228&amp;"""")</f>
        <v>""</v>
      </c>
      <c r="L219">
        <f>IF(装备!U228="",0,""""&amp;装备!U228&amp;"""")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IF(装备!B229="",0,"'"&amp;装备!B229&amp;"'")</f>
        <v>0</v>
      </c>
      <c r="B220">
        <f>装备!D230</f>
        <v>0</v>
      </c>
      <c r="C220">
        <f>装备!E229</f>
        <v>0</v>
      </c>
      <c r="D220">
        <f>装备!F229</f>
        <v>0</v>
      </c>
      <c r="E220">
        <f>装备!G229</f>
        <v>0</v>
      </c>
      <c r="F220">
        <f>装备!H229</f>
        <v>0</v>
      </c>
      <c r="G220">
        <f>IF(装备!I229="",0,"'"&amp;装备!I229&amp;"'")</f>
        <v>0</v>
      </c>
      <c r="H220">
        <f>IF(装备!R220="",0,装备!R220)</f>
        <v>0</v>
      </c>
      <c r="I220">
        <f>IF(装备!S220="",0,装备!S220)</f>
        <v>0</v>
      </c>
      <c r="J220">
        <f>IF(装备!C229="",0,""""&amp;装备!C229&amp;"""")</f>
        <v>0</v>
      </c>
      <c r="K220" t="str">
        <f>IF(装备!T229="","""""",""""&amp;装备!T229&amp;"""")</f>
        <v>""</v>
      </c>
      <c r="L220">
        <f>IF(装备!U229="",0,""""&amp;装备!U229&amp;"""")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IF(装备!B230="",0,"'"&amp;装备!B230&amp;"'")</f>
        <v>0</v>
      </c>
      <c r="B221">
        <f>装备!D231</f>
        <v>0</v>
      </c>
      <c r="C221">
        <f>装备!E230</f>
        <v>0</v>
      </c>
      <c r="D221">
        <f>装备!F230</f>
        <v>0</v>
      </c>
      <c r="E221">
        <f>装备!G230</f>
        <v>0</v>
      </c>
      <c r="F221">
        <f>装备!H230</f>
        <v>0</v>
      </c>
      <c r="G221">
        <f>IF(装备!I230="",0,"'"&amp;装备!I230&amp;"'")</f>
        <v>0</v>
      </c>
      <c r="H221">
        <f>IF(装备!R221="",0,装备!R221)</f>
        <v>0</v>
      </c>
      <c r="I221">
        <f>IF(装备!S221="",0,装备!S221)</f>
        <v>0</v>
      </c>
      <c r="J221">
        <f>IF(装备!C230="",0,""""&amp;装备!C230&amp;"""")</f>
        <v>0</v>
      </c>
      <c r="K221" t="str">
        <f>IF(装备!T230="","""""",""""&amp;装备!T230&amp;"""")</f>
        <v>""</v>
      </c>
      <c r="L221">
        <f>IF(装备!U230="",0,""""&amp;装备!U230&amp;"""")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IF(装备!B231="",0,"'"&amp;装备!B231&amp;"'")</f>
        <v>0</v>
      </c>
      <c r="B222">
        <f>装备!D232</f>
        <v>0</v>
      </c>
      <c r="C222">
        <f>装备!E231</f>
        <v>0</v>
      </c>
      <c r="D222">
        <f>装备!F231</f>
        <v>0</v>
      </c>
      <c r="E222">
        <f>装备!G231</f>
        <v>0</v>
      </c>
      <c r="F222">
        <f>装备!H231</f>
        <v>0</v>
      </c>
      <c r="G222">
        <f>IF(装备!I231="",0,"'"&amp;装备!I231&amp;"'")</f>
        <v>0</v>
      </c>
      <c r="H222">
        <f>IF(装备!R222="",0,装备!R222)</f>
        <v>0</v>
      </c>
      <c r="I222">
        <f>IF(装备!S222="",0,装备!S222)</f>
        <v>0</v>
      </c>
      <c r="J222">
        <f>IF(装备!C231="",0,""""&amp;装备!C231&amp;"""")</f>
        <v>0</v>
      </c>
      <c r="K222" t="str">
        <f>IF(装备!T231="","""""",""""&amp;装备!T231&amp;"""")</f>
        <v>""</v>
      </c>
      <c r="L222">
        <f>IF(装备!U231="",0,""""&amp;装备!U231&amp;"""")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IF(装备!B232="",0,"'"&amp;装备!B232&amp;"'")</f>
        <v>0</v>
      </c>
      <c r="B223">
        <f>装备!D233</f>
        <v>0</v>
      </c>
      <c r="C223">
        <f>装备!E232</f>
        <v>0</v>
      </c>
      <c r="D223">
        <f>装备!F232</f>
        <v>0</v>
      </c>
      <c r="E223">
        <f>装备!G232</f>
        <v>0</v>
      </c>
      <c r="F223">
        <f>装备!H232</f>
        <v>0</v>
      </c>
      <c r="G223">
        <f>IF(装备!I232="",0,"'"&amp;装备!I232&amp;"'")</f>
        <v>0</v>
      </c>
      <c r="H223">
        <f>IF(装备!R223="",0,装备!R223)</f>
        <v>0</v>
      </c>
      <c r="I223">
        <f>IF(装备!S223="",0,装备!S223)</f>
        <v>0</v>
      </c>
      <c r="J223">
        <f>IF(装备!C232="",0,""""&amp;装备!C232&amp;"""")</f>
        <v>0</v>
      </c>
      <c r="K223" t="str">
        <f>IF(装备!T232="","""""",""""&amp;装备!T232&amp;"""")</f>
        <v>""</v>
      </c>
      <c r="L223">
        <f>IF(装备!U232="",0,""""&amp;装备!U232&amp;"""")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IF(装备!B233="",0,"'"&amp;装备!B233&amp;"'")</f>
        <v>0</v>
      </c>
      <c r="B224">
        <f>装备!D234</f>
        <v>0</v>
      </c>
      <c r="C224">
        <f>装备!E233</f>
        <v>0</v>
      </c>
      <c r="D224">
        <f>装备!F233</f>
        <v>0</v>
      </c>
      <c r="E224">
        <f>装备!G233</f>
        <v>0</v>
      </c>
      <c r="F224">
        <f>装备!H233</f>
        <v>0</v>
      </c>
      <c r="G224">
        <f>IF(装备!I233="",0,"'"&amp;装备!I233&amp;"'")</f>
        <v>0</v>
      </c>
      <c r="H224">
        <f>IF(装备!R224="",0,装备!R224)</f>
        <v>0</v>
      </c>
      <c r="I224">
        <f>IF(装备!S224="",0,装备!S224)</f>
        <v>0</v>
      </c>
      <c r="J224">
        <f>IF(装备!C233="",0,""""&amp;装备!C233&amp;"""")</f>
        <v>0</v>
      </c>
      <c r="K224" t="str">
        <f>IF(装备!T233="","""""",""""&amp;装备!T233&amp;"""")</f>
        <v>""</v>
      </c>
      <c r="L224">
        <f>IF(装备!U233="",0,""""&amp;装备!U233&amp;"""")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IF(装备!B234="",0,"'"&amp;装备!B234&amp;"'")</f>
        <v>0</v>
      </c>
      <c r="B225">
        <f>装备!D235</f>
        <v>0</v>
      </c>
      <c r="C225">
        <f>装备!E234</f>
        <v>0</v>
      </c>
      <c r="D225">
        <f>装备!F234</f>
        <v>0</v>
      </c>
      <c r="E225">
        <f>装备!G234</f>
        <v>0</v>
      </c>
      <c r="F225">
        <f>装备!H234</f>
        <v>0</v>
      </c>
      <c r="G225">
        <f>IF(装备!I234="",0,"'"&amp;装备!I234&amp;"'")</f>
        <v>0</v>
      </c>
      <c r="H225">
        <f>IF(装备!R225="",0,装备!R225)</f>
        <v>0</v>
      </c>
      <c r="I225">
        <f>IF(装备!S225="",0,装备!S225)</f>
        <v>0</v>
      </c>
      <c r="J225">
        <f>IF(装备!C234="",0,""""&amp;装备!C234&amp;"""")</f>
        <v>0</v>
      </c>
      <c r="K225" t="str">
        <f>IF(装备!T234="","""""",""""&amp;装备!T234&amp;"""")</f>
        <v>""</v>
      </c>
      <c r="L225">
        <f>IF(装备!U234="",0,""""&amp;装备!U234&amp;"""")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13</v>
      </c>
      <c r="L252">
        <f>装备!AE3</f>
        <v>0</v>
      </c>
      <c r="M252" t="str">
        <f t="shared" si="42"/>
        <v>InitUnitState('E001',1000,0,0,0,0,0,0,0,13,0)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InitUnitState('E001',1000,0,0,0,0,0,0,0,13,0)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2000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13</v>
      </c>
      <c r="L253">
        <f>装备!AE4</f>
        <v>0</v>
      </c>
      <c r="M253" t="str">
        <f t="shared" si="42"/>
        <v>InitUnitState('E002',2000,0,0,0,0,0,0,0,13,0)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InitUnitState('E002',2000,0,0,0,0,0,0,0,13,0)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3000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13</v>
      </c>
      <c r="L254">
        <f>装备!AE5</f>
        <v>0</v>
      </c>
      <c r="M254" t="str">
        <f t="shared" si="42"/>
        <v>InitUnitState('E003',3000,0,0,0,0,0,0,0,13,0)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InitUnitState('E003',3000,0,0,0,0,0,0,0,13,0)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4000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13</v>
      </c>
      <c r="L255">
        <f>装备!AE6</f>
        <v>0</v>
      </c>
      <c r="M255" t="str">
        <f t="shared" si="42"/>
        <v>InitUnitState('E004',4000,0,0,0,0,0,0,0,13,0)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InitUnitState('E004',4000,0,0,0,0,0,0,0,13,0)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5000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13</v>
      </c>
      <c r="L256">
        <f>装备!AE7</f>
        <v>0</v>
      </c>
      <c r="M256" t="str">
        <f t="shared" si="42"/>
        <v>InitUnitState('E005',5000,0,0,0,0,0,0,0,13,0)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InitUnitState('E005',5000,0,0,0,0,0,0,0,13,0)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6400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InitUnitState('E006',6400,0,0,0,0,0,0,0,26,0)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3</v>
      </c>
      <c r="W257">
        <f>装备!AO8</f>
        <v>0</v>
      </c>
      <c r="X257" t="str">
        <f t="shared" si="43"/>
        <v>InitUnitNormal('E006',0,0,0,0,0,0,0,0,3,0)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InitUnitState('E006',6400,0,0,0,0,0,0,0,26,0)</v>
      </c>
      <c r="CC257" t="str">
        <f t="shared" si="50"/>
        <v>InitUnitNormal('E006',0,0,0,0,0,0,0,0,3,0)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7800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InitUnitState('E007',7800,0,0,0,0,0,0,0,26,0)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3</v>
      </c>
      <c r="W258">
        <f>装备!AO9</f>
        <v>0</v>
      </c>
      <c r="X258" t="str">
        <f t="shared" si="43"/>
        <v>InitUnitNormal('E007',0,0,0,0,0,0,0,0,3,0)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InitUnitState('E007',7800,0,0,0,0,0,0,0,26,0)</v>
      </c>
      <c r="CC258" t="str">
        <f t="shared" si="50"/>
        <v>InitUnitNormal('E007',0,0,0,0,0,0,0,0,3,0)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9200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InitUnitState('E008',9200,0,0,0,0,0,0,0,26,0)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3</v>
      </c>
      <c r="W259">
        <f>装备!AO10</f>
        <v>0</v>
      </c>
      <c r="X259" t="str">
        <f t="shared" si="43"/>
        <v>InitUnitNormal('E008',0,0,0,0,0,0,0,0,3,0)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InitUnitState('E008',9200,0,0,0,0,0,0,0,26,0)</v>
      </c>
      <c r="CC259" t="str">
        <f t="shared" si="50"/>
        <v>InitUnitNormal('E008',0,0,0,0,0,0,0,0,3,0)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10600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InitUnitState('E009',10600,0,0,0,0,0,0,0,26,0)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3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InitUnitNormal('E009',0,0,0,0,0,0,0,0,3,0)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InitUnitState('E009',10600,0,0,0,0,0,0,0,26,0)</v>
      </c>
      <c r="CC260" t="str">
        <f t="shared" ref="CC260:CC313" si="64">IF(ISERROR(FIND(",0,0,0,0,0,0,0,0,0,0)",X260)),X260,"")</f>
        <v>InitUnitNormal('E009',0,0,0,0,0,0,0,0,3,0)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12000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InitUnitState('E010',12000,0,0,0,0,0,0,0,26,0)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3</v>
      </c>
      <c r="W261">
        <f>装备!AO12</f>
        <v>0</v>
      </c>
      <c r="X261" t="str">
        <f t="shared" si="57"/>
        <v>InitUnitNormal('E010',0,0,0,0,0,0,0,0,3,0)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InitUnitState('E010',12000,0,0,0,0,0,0,0,26,0)</v>
      </c>
      <c r="CC261" t="str">
        <f t="shared" si="64"/>
        <v>InitUnitNormal('E010',0,0,0,0,0,0,0,0,3,0)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14200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40</v>
      </c>
      <c r="L262">
        <f>装备!AE13</f>
        <v>0</v>
      </c>
      <c r="M262" t="str">
        <f t="shared" si="56"/>
        <v>InitUnitState('E011',14200,0,0,0,0,0,0,0,40,0)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InitUnitState('E011',14200,0,0,0,0,0,0,0,40,0)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16400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40</v>
      </c>
      <c r="L263">
        <f>装备!AE14</f>
        <v>0</v>
      </c>
      <c r="M263" t="str">
        <f t="shared" si="56"/>
        <v>InitUnitState('E012',16400,0,0,0,0,0,0,0,40,0)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InitUnitState('E012',16400,0,0,0,0,0,0,0,40,0)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18600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40</v>
      </c>
      <c r="L264">
        <f>装备!AE15</f>
        <v>0</v>
      </c>
      <c r="M264" t="str">
        <f t="shared" si="56"/>
        <v>InitUnitState('E013',18600,0,0,0,0,0,0,0,40,0)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InitUnitState('E013',18600,0,0,0,0,0,0,0,40,0)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20800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40</v>
      </c>
      <c r="L265">
        <f>装备!AE16</f>
        <v>0</v>
      </c>
      <c r="M265" t="str">
        <f t="shared" si="56"/>
        <v>InitUnitState('E014',20800,0,0,0,0,0,0,0,40,0)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InitUnitState('E014',20800,0,0,0,0,0,0,0,40,0)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23000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40</v>
      </c>
      <c r="L266">
        <f>装备!AE17</f>
        <v>0</v>
      </c>
      <c r="M266" t="str">
        <f t="shared" si="56"/>
        <v>InitUnitState('E015',23000,0,0,0,0,0,0,0,40,0)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InitUnitState('E015',23000,0,0,0,0,0,0,0,40,0)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27400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53</v>
      </c>
      <c r="L267">
        <f>装备!AE18</f>
        <v>0</v>
      </c>
      <c r="M267" t="str">
        <f t="shared" si="56"/>
        <v>InitUnitState('E016',27400,0,0,0,0,0,0,0,53,0)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InitUnitState('E016',27400,0,0,0,0,0,0,0,53,0)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31800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53</v>
      </c>
      <c r="L268">
        <f>装备!AE19</f>
        <v>0</v>
      </c>
      <c r="M268" t="str">
        <f t="shared" si="56"/>
        <v>InitUnitState('E017',31800,0,0,0,0,0,0,0,53,0)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InitUnitState('E017',31800,0,0,0,0,0,0,0,53,0)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36200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53</v>
      </c>
      <c r="L269">
        <f>装备!AE20</f>
        <v>0</v>
      </c>
      <c r="M269" t="str">
        <f t="shared" si="56"/>
        <v>InitUnitState('E018',36200,0,0,0,0,0,0,0,53,0)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InitUnitState('E018',36200,0,0,0,0,0,0,0,53,0)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40600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53</v>
      </c>
      <c r="L270">
        <f>装备!AE21</f>
        <v>0</v>
      </c>
      <c r="M270" t="str">
        <f t="shared" si="56"/>
        <v>InitUnitState('E019',40600,0,0,0,0,0,0,0,53,0)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InitUnitState('E019',40600,0,0,0,0,0,0,0,53,0)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45000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53</v>
      </c>
      <c r="L271">
        <f>装备!AE22</f>
        <v>0</v>
      </c>
      <c r="M271" t="str">
        <f t="shared" si="56"/>
        <v>InitUnitState('E020',45000,0,0,0,0,0,0,0,53,0)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InitUnitState('E020',45000,0,0,0,0,0,0,0,53,0)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56000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66</v>
      </c>
      <c r="L272">
        <f>装备!AE23</f>
        <v>0</v>
      </c>
      <c r="M272" t="str">
        <f t="shared" si="56"/>
        <v>InitUnitState('E021',56000,0,0,0,0,0,0,0,66,0)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InitUnitState('E021',56000,0,0,0,0,0,0,0,66,0)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67000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66</v>
      </c>
      <c r="L273">
        <f>装备!AE24</f>
        <v>0</v>
      </c>
      <c r="M273" t="str">
        <f t="shared" si="56"/>
        <v>InitUnitState('E022',67000,0,0,0,0,0,0,0,66,0)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InitUnitState('E022',67000,0,0,0,0,0,0,0,66,0)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78000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66</v>
      </c>
      <c r="L274">
        <f>装备!AE25</f>
        <v>0</v>
      </c>
      <c r="M274" t="str">
        <f t="shared" si="56"/>
        <v>InitUnitState('E023',78000,0,0,0,0,0,0,0,66,0)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InitUnitState('E023',78000,0,0,0,0,0,0,0,66,0)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89000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66</v>
      </c>
      <c r="L275">
        <f>装备!AE26</f>
        <v>0</v>
      </c>
      <c r="M275" t="str">
        <f t="shared" si="56"/>
        <v>InitUnitState('E024',89000,0,0,0,0,0,0,0,66,0)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InitUnitState('E024',89000,0,0,0,0,0,0,0,66,0)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66</v>
      </c>
      <c r="L276">
        <f>装备!AE27</f>
        <v>0</v>
      </c>
      <c r="M276" t="str">
        <f t="shared" si="56"/>
        <v>InitUnitState('E025',100000,0,0,0,0,0,0,0,66,0)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InitUnitState('E025',100000,0,0,0,0,0,0,0,66,0)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3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InitUnitMagic('E101',0,0,0,0,3,0,0,0,0,0)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>InitUnitMagic('E101',0,0,0,0,3,0,0,0,0,0)</v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2000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InitUnitState('E102',0,2000,0,0,0,0,0,0,0,0)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3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InitUnitMagic('E102',0,0,0,0,3,0,0,0,0,0)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InitUnitState('E102',0,2000,0,0,0,0,0,0,0,0)</v>
      </c>
      <c r="CC278" t="str">
        <f t="shared" si="64"/>
        <v/>
      </c>
      <c r="CD278" t="str">
        <f t="shared" si="65"/>
        <v>InitUnitMagic('E102',0,0,0,0,3,0,0,0,0,0)</v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3000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InitUnitState('E103',0,3000,0,0,0,0,0,0,0,0)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3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InitUnitMagic('E103',0,0,0,0,3,0,0,0,0,0)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InitUnitState('E103',0,3000,0,0,0,0,0,0,0,0)</v>
      </c>
      <c r="CC279" t="str">
        <f t="shared" si="64"/>
        <v/>
      </c>
      <c r="CD279" t="str">
        <f t="shared" si="65"/>
        <v>InitUnitMagic('E103',0,0,0,0,3,0,0,0,0,0)</v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4000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InitUnitState('E104',0,4000,0,0,0,0,0,0,0,0)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3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InitUnitMagic('E104',0,0,0,0,3,0,0,0,0,0)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InitUnitState('E104',0,4000,0,0,0,0,0,0,0,0)</v>
      </c>
      <c r="CC280" t="str">
        <f t="shared" si="64"/>
        <v/>
      </c>
      <c r="CD280" t="str">
        <f t="shared" si="65"/>
        <v>InitUnitMagic('E104',0,0,0,0,3,0,0,0,0,0)</v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5000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InitUnitState('E105',0,5000,0,0,0,0,0,0,0,0)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3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InitUnitMagic('E105',0,0,0,0,3,0,0,0,0,0)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InitUnitState('E105',0,5000,0,0,0,0,0,0,0,0)</v>
      </c>
      <c r="CC281" t="str">
        <f t="shared" si="64"/>
        <v/>
      </c>
      <c r="CD281" t="str">
        <f t="shared" si="65"/>
        <v>InitUnitMagic('E105',0,0,0,0,3,0,0,0,0,0)</v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6400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InitUnitState('E106',0,6400,0,0,0,0,0,0,0,0)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3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InitUnitNormal('E106',0,0,0,0,0,0,3,0,0,0)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InitUnitState('E106',0,6400,0,0,0,0,0,0,0,0)</v>
      </c>
      <c r="CC282" t="str">
        <f t="shared" si="64"/>
        <v>InitUnitNormal('E106',0,0,0,0,0,0,3,0,0,0)</v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7800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InitUnitState('E107',0,7800,0,0,0,0,0,0,0,0)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3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InitUnitNormal('E107',0,0,0,0,0,0,3,0,0,0)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InitUnitState('E107',0,7800,0,0,0,0,0,0,0,0)</v>
      </c>
      <c r="CC283" t="str">
        <f t="shared" si="64"/>
        <v>InitUnitNormal('E107',0,0,0,0,0,0,3,0,0,0)</v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9200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InitUnitState('E108',0,9200,0,0,0,0,0,0,0,0)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3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InitUnitNormal('E108',0,0,0,0,0,0,3,0,0,0)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InitUnitState('E108',0,9200,0,0,0,0,0,0,0,0)</v>
      </c>
      <c r="CC284" t="str">
        <f t="shared" si="64"/>
        <v>InitUnitNormal('E108',0,0,0,0,0,0,3,0,0,0)</v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10600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InitUnitState('E109',0,10600,0,0,0,0,0,0,0,0)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3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InitUnitNormal('E109',0,0,0,0,0,0,3,0,0,0)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InitUnitState('E109',0,10600,0,0,0,0,0,0,0,0)</v>
      </c>
      <c r="CC285" t="str">
        <f t="shared" si="64"/>
        <v>InitUnitNormal('E109',0,0,0,0,0,0,3,0,0,0)</v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12000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InitUnitState('E110',0,12000,0,0,0,0,0,0,0,0)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3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InitUnitNormal('E110',0,0,0,0,0,0,3,0,0,0)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InitUnitState('E110',0,12000,0,0,0,0,0,0,0,0)</v>
      </c>
      <c r="CC286" t="str">
        <f t="shared" si="64"/>
        <v>InitUnitNormal('E110',0,0,0,0,0,0,3,0,0,0)</v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14200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InitUnitState('E111',0,14200,0,0,0,0,0,0,0,0)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9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InitUnitMagic('E111',0,0,0,0,9,0,0,0,0,0)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InitUnitState('E111',0,14200,0,0,0,0,0,0,0,0)</v>
      </c>
      <c r="CC287" t="str">
        <f t="shared" si="64"/>
        <v>InitUnitNormal('E111',0,0,0,0,0,0,6,0,0,0)</v>
      </c>
      <c r="CD287" t="str">
        <f t="shared" si="65"/>
        <v>InitUnitMagic('E111',0,0,0,0,9,0,0,0,0,0)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16400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InitUnitState('E112',0,16400,0,0,0,0,0,0,0,0)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9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InitUnitMagic('E112',0,0,0,0,9,0,0,0,0,0)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InitUnitState('E112',0,16400,0,0,0,0,0,0,0,0)</v>
      </c>
      <c r="CC288" t="str">
        <f t="shared" si="64"/>
        <v>InitUnitNormal('E112',0,0,0,0,0,0,6,0,0,0)</v>
      </c>
      <c r="CD288" t="str">
        <f t="shared" si="65"/>
        <v>InitUnitMagic('E112',0,0,0,0,9,0,0,0,0,0)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18600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InitUnitState('E113',0,18600,0,0,0,0,0,0,0,0)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9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InitUnitMagic('E113',0,0,0,0,9,0,0,0,0,0)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InitUnitState('E113',0,18600,0,0,0,0,0,0,0,0)</v>
      </c>
      <c r="CC289" t="str">
        <f t="shared" si="64"/>
        <v>InitUnitNormal('E113',0,0,0,0,0,0,6,0,0,0)</v>
      </c>
      <c r="CD289" t="str">
        <f t="shared" si="65"/>
        <v>InitUnitMagic('E113',0,0,0,0,9,0,0,0,0,0)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23000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InitUnitState('E115',0,23000,0,0,0,0,0,0,0,0)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9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InitUnitMagic('E115',0,0,0,0,9,0,0,0,0,0)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InitUnitState('E115',0,23000,0,0,0,0,0,0,0,0)</v>
      </c>
      <c r="CC290" t="str">
        <f t="shared" si="64"/>
        <v>InitUnitNormal('E115',0,0,0,0,0,0,6,0,0,0)</v>
      </c>
      <c r="CD290" t="str">
        <f t="shared" si="65"/>
        <v>InitUnitMagic('E115',0,0,0,0,9,0,0,0,0,0)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27400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InitUnitState('E116',0,27400,0,0,0,0,0,0,0,0)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12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InitUnitMagic('E116',0,0,0,0,12,0,0,0,0,0)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InitUnitState('E116',0,27400,0,0,0,0,0,0,0,0)</v>
      </c>
      <c r="CC291" t="str">
        <f t="shared" si="64"/>
        <v>InitUnitNormal('E116',0,0,0,0,0,0,9,0,0,0)</v>
      </c>
      <c r="CD291" t="str">
        <f t="shared" si="65"/>
        <v>InitUnitMagic('E116',0,0,0,0,12,0,0,0,0,0)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31800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InitUnitState('E117',0,31800,0,0,0,0,0,0,0,0)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12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InitUnitMagic('E117',0,0,0,0,12,0,0,0,0,0)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InitUnitState('E117',0,31800,0,0,0,0,0,0,0,0)</v>
      </c>
      <c r="CC292" t="str">
        <f t="shared" si="64"/>
        <v>InitUnitNormal('E117',0,0,0,0,0,0,9,0,0,0)</v>
      </c>
      <c r="CD292" t="str">
        <f t="shared" si="65"/>
        <v>InitUnitMagic('E117',0,0,0,0,12,0,0,0,0,0)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36200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InitUnitState('E118',0,36200,0,0,0,0,0,0,0,0)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12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InitUnitMagic('E118',0,0,0,0,12,0,0,0,0,0)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InitUnitState('E118',0,36200,0,0,0,0,0,0,0,0)</v>
      </c>
      <c r="CC293" t="str">
        <f t="shared" si="64"/>
        <v>InitUnitNormal('E118',0,0,0,0,0,0,9,0,0,0)</v>
      </c>
      <c r="CD293" t="str">
        <f t="shared" si="65"/>
        <v>InitUnitMagic('E118',0,0,0,0,12,0,0,0,0,0)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40600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InitUnitState('E119',0,40600,0,0,0,0,0,0,0,0)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12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InitUnitMagic('E119',0,0,0,0,12,0,0,0,0,0)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InitUnitState('E119',0,40600,0,0,0,0,0,0,0,0)</v>
      </c>
      <c r="CC294" t="str">
        <f t="shared" si="64"/>
        <v>InitUnitNormal('E119',0,0,0,0,0,0,9,0,0,0)</v>
      </c>
      <c r="CD294" t="str">
        <f t="shared" si="65"/>
        <v>InitUnitMagic('E119',0,0,0,0,12,0,0,0,0,0)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45000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InitUnitState('E120',0,45000,0,0,0,0,0,0,0,0)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12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InitUnitMagic('E120',0,0,0,0,12,0,0,0,0,0)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InitUnitState('E120',0,45000,0,0,0,0,0,0,0,0)</v>
      </c>
      <c r="CC295" t="str">
        <f t="shared" si="64"/>
        <v>InitUnitNormal('E120',0,0,0,0,0,0,9,0,0,0)</v>
      </c>
      <c r="CD295" t="str">
        <f t="shared" si="65"/>
        <v>InitUnitMagic('E120',0,0,0,0,12,0,0,0,0,0)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56000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InitUnitState('E121',0,56000,0,0,0,0,0,0,0,0)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15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InitUnitMagic('E121',0,0,0,0,15,0,0,0,0,0)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InitUnitState('E121',0,56000,0,0,0,0,0,0,0,0)</v>
      </c>
      <c r="CC296" t="str">
        <f t="shared" si="64"/>
        <v>InitUnitNormal('E121',0,0,0,0,0,0,12,0,0,0)</v>
      </c>
      <c r="CD296" t="str">
        <f t="shared" si="65"/>
        <v>InitUnitMagic('E121',0,0,0,0,15,0,0,0,0,0)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67000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InitUnitState('E122',0,67000,0,0,0,0,0,0,0,0)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15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InitUnitMagic('E122',0,0,0,0,15,0,0,0,0,0)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InitUnitState('E122',0,67000,0,0,0,0,0,0,0,0)</v>
      </c>
      <c r="CC297" t="str">
        <f t="shared" si="64"/>
        <v>InitUnitNormal('E122',0,0,0,0,0,0,12,0,0,0)</v>
      </c>
      <c r="CD297" t="str">
        <f t="shared" si="65"/>
        <v>InitUnitMagic('E122',0,0,0,0,15,0,0,0,0,0)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78000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InitUnitState('E123',0,78000,0,0,0,0,0,0,0,0)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15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InitUnitMagic('E123',0,0,0,0,15,0,0,0,0,0)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InitUnitState('E123',0,78000,0,0,0,0,0,0,0,0)</v>
      </c>
      <c r="CC298" t="str">
        <f t="shared" si="64"/>
        <v>InitUnitNormal('E123',0,0,0,0,0,0,12,0,0,0)</v>
      </c>
      <c r="CD298" t="str">
        <f t="shared" si="65"/>
        <v>InitUnitMagic('E123',0,0,0,0,15,0,0,0,0,0)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89000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InitUnitState('E124',0,89000,0,0,0,0,0,0,0,0)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15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InitUnitMagic('E124',0,0,0,0,15,0,0,0,0,0)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InitUnitState('E124',0,89000,0,0,0,0,0,0,0,0)</v>
      </c>
      <c r="CC299" t="str">
        <f t="shared" si="64"/>
        <v>InitUnitNormal('E124',0,0,0,0,0,0,12,0,0,0)</v>
      </c>
      <c r="CD299" t="str">
        <f t="shared" si="65"/>
        <v>InitUnitMagic('E124',0,0,0,0,15,0,0,0,0,0)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15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InitUnitMagic('E125',0,0,0,0,15,0,0,0,0,0)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InitUnitMagic('E125',0,0,0,0,15,0,0,0,0,0)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28400</v>
      </c>
      <c r="H302">
        <f>装备!AA63</f>
        <v>0</v>
      </c>
      <c r="I302">
        <f>装备!AB63</f>
        <v>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InitUnitState('E211',0,0,18,0,28400,0,0,0,0,0)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6</v>
      </c>
      <c r="V302">
        <f>装备!AN63</f>
        <v>0</v>
      </c>
      <c r="W302">
        <f>装备!AO63</f>
        <v>0</v>
      </c>
      <c r="X302" t="str">
        <f t="shared" si="57"/>
        <v>InitUnitNormal('E211',0,0,0,0,0,0,0,6,0,0)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InitUnitState('E211',0,0,18,0,28400,0,0,0,0,0)</v>
      </c>
      <c r="CC302" t="str">
        <f t="shared" si="64"/>
        <v>InitUnitNormal('E211',0,0,0,0,0,0,0,6,0,0)</v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32800</v>
      </c>
      <c r="H303">
        <f>装备!AA64</f>
        <v>0</v>
      </c>
      <c r="I303">
        <f>装备!AB64</f>
        <v>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InitUnitState('E212',0,0,21,0,32800,0,0,0,0,0)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6</v>
      </c>
      <c r="V303">
        <f>装备!AN64</f>
        <v>0</v>
      </c>
      <c r="W303">
        <f>装备!AO64</f>
        <v>0</v>
      </c>
      <c r="X303" t="str">
        <f t="shared" si="57"/>
        <v>InitUnitNormal('E212',0,0,0,0,0,0,0,6,0,0)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InitUnitState('E212',0,0,21,0,32800,0,0,0,0,0)</v>
      </c>
      <c r="CC303" t="str">
        <f t="shared" si="64"/>
        <v>InitUnitNormal('E212',0,0,0,0,0,0,0,6,0,0)</v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37200</v>
      </c>
      <c r="H304">
        <f>装备!AA65</f>
        <v>0</v>
      </c>
      <c r="I304">
        <f>装备!AB65</f>
        <v>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InitUnitState('E213',0,0,24,0,37200,0,0,0,0,0)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6</v>
      </c>
      <c r="V304">
        <f>装备!AN65</f>
        <v>0</v>
      </c>
      <c r="W304">
        <f>装备!AO65</f>
        <v>0</v>
      </c>
      <c r="X304" t="str">
        <f t="shared" si="57"/>
        <v>InitUnitNormal('E213',0,0,0,0,0,0,0,6,0,0)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InitUnitState('E213',0,0,24,0,37200,0,0,0,0,0)</v>
      </c>
      <c r="CC304" t="str">
        <f t="shared" si="64"/>
        <v>InitUnitNormal('E213',0,0,0,0,0,0,0,6,0,0)</v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41600</v>
      </c>
      <c r="H305">
        <f>装备!AA66</f>
        <v>0</v>
      </c>
      <c r="I305">
        <f>装备!AB66</f>
        <v>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InitUnitState('E214',0,0,27,0,41600,0,0,0,0,0)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6</v>
      </c>
      <c r="V305">
        <f>装备!AN66</f>
        <v>0</v>
      </c>
      <c r="W305">
        <f>装备!AO66</f>
        <v>0</v>
      </c>
      <c r="X305" t="str">
        <f t="shared" si="57"/>
        <v>InitUnitNormal('E214',0,0,0,0,0,0,0,6,0,0)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InitUnitState('E214',0,0,27,0,41600,0,0,0,0,0)</v>
      </c>
      <c r="CC305" t="str">
        <f t="shared" si="64"/>
        <v>InitUnitNormal('E214',0,0,0,0,0,0,0,6,0,0)</v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46000</v>
      </c>
      <c r="H306">
        <f>装备!AA67</f>
        <v>0</v>
      </c>
      <c r="I306">
        <f>装备!AB67</f>
        <v>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InitUnitState('E215',0,0,30,0,46000,0,0,0,0,0)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6</v>
      </c>
      <c r="V306">
        <f>装备!AN67</f>
        <v>0</v>
      </c>
      <c r="W306">
        <f>装备!AO67</f>
        <v>0</v>
      </c>
      <c r="X306" t="str">
        <f t="shared" si="57"/>
        <v>InitUnitNormal('E215',0,0,0,0,0,0,0,6,0,0)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InitUnitState('E215',0,0,30,0,46000,0,0,0,0,0)</v>
      </c>
      <c r="CC306" t="str">
        <f t="shared" si="64"/>
        <v>InitUnitNormal('E215',0,0,0,0,0,0,0,6,0,0)</v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54800</v>
      </c>
      <c r="H307">
        <f>装备!AA68</f>
        <v>0</v>
      </c>
      <c r="I307">
        <f>装备!AB68</f>
        <v>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InitUnitState('E216',0,0,34,0,54800,0,0,0,0,0)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9</v>
      </c>
      <c r="V307">
        <f>装备!AN68</f>
        <v>0</v>
      </c>
      <c r="W307">
        <f>装备!AO68</f>
        <v>0</v>
      </c>
      <c r="X307" t="str">
        <f t="shared" si="57"/>
        <v>InitUnitNormal('E216',0,0,0,0,0,0,0,9,0,0)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InitUnitState('E216',0,0,34,0,54800,0,0,0,0,0)</v>
      </c>
      <c r="CC307" t="str">
        <f t="shared" si="64"/>
        <v>InitUnitNormal('E216',0,0,0,0,0,0,0,9,0,0)</v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63600</v>
      </c>
      <c r="H308">
        <f>装备!AA69</f>
        <v>0</v>
      </c>
      <c r="I308">
        <f>装备!AB69</f>
        <v>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InitUnitState('E217',0,0,38,0,63600,0,0,0,0,0)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9</v>
      </c>
      <c r="V308">
        <f>装备!AN69</f>
        <v>0</v>
      </c>
      <c r="W308">
        <f>装备!AO69</f>
        <v>0</v>
      </c>
      <c r="X308" t="str">
        <f t="shared" si="57"/>
        <v>InitUnitNormal('E217',0,0,0,0,0,0,0,9,0,0)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InitUnitState('E217',0,0,38,0,63600,0,0,0,0,0)</v>
      </c>
      <c r="CC308" t="str">
        <f t="shared" si="64"/>
        <v>InitUnitNormal('E217',0,0,0,0,0,0,0,9,0,0)</v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72400</v>
      </c>
      <c r="H309">
        <f>装备!AA70</f>
        <v>0</v>
      </c>
      <c r="I309">
        <f>装备!AB70</f>
        <v>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InitUnitState('E218',0,0,42,0,72400,0,0,0,0,0)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9</v>
      </c>
      <c r="V309">
        <f>装备!AN70</f>
        <v>0</v>
      </c>
      <c r="W309">
        <f>装备!AO70</f>
        <v>0</v>
      </c>
      <c r="X309" t="str">
        <f t="shared" si="57"/>
        <v>InitUnitNormal('E218',0,0,0,0,0,0,0,9,0,0)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InitUnitState('E218',0,0,42,0,72400,0,0,0,0,0)</v>
      </c>
      <c r="CC309" t="str">
        <f t="shared" si="64"/>
        <v>InitUnitNormal('E218',0,0,0,0,0,0,0,9,0,0)</v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81200</v>
      </c>
      <c r="H310">
        <f>装备!AA71</f>
        <v>0</v>
      </c>
      <c r="I310">
        <f>装备!AB71</f>
        <v>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InitUnitState('E219',0,0,46,0,81200,0,0,0,0,0)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9</v>
      </c>
      <c r="V310">
        <f>装备!AN71</f>
        <v>0</v>
      </c>
      <c r="W310">
        <f>装备!AO71</f>
        <v>0</v>
      </c>
      <c r="X310" t="str">
        <f t="shared" si="57"/>
        <v>InitUnitNormal('E219',0,0,0,0,0,0,0,9,0,0)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InitUnitState('E219',0,0,46,0,81200,0,0,0,0,0)</v>
      </c>
      <c r="CC310" t="str">
        <f t="shared" si="64"/>
        <v>InitUnitNormal('E219',0,0,0,0,0,0,0,9,0,0)</v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90000</v>
      </c>
      <c r="H311">
        <f>装备!AA72</f>
        <v>0</v>
      </c>
      <c r="I311">
        <f>装备!AB72</f>
        <v>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InitUnitState('E220',0,0,50,0,90000,0,0,0,0,0)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9</v>
      </c>
      <c r="V311">
        <f>装备!AN72</f>
        <v>0</v>
      </c>
      <c r="W311">
        <f>装备!AO72</f>
        <v>0</v>
      </c>
      <c r="X311" t="str">
        <f t="shared" si="57"/>
        <v>InitUnitNormal('E220',0,0,0,0,0,0,0,9,0,0)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InitUnitState('E220',0,0,50,0,90000,0,0,0,0,0)</v>
      </c>
      <c r="CC311" t="str">
        <f t="shared" si="64"/>
        <v>InitUnitNormal('E220',0,0,0,0,0,0,0,9,0,0)</v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112000</v>
      </c>
      <c r="H312">
        <f>装备!AA73</f>
        <v>0</v>
      </c>
      <c r="I312">
        <f>装备!AB73</f>
        <v>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InitUnitState('E221',0,0,55,0,112000,0,0,0,0,0)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12</v>
      </c>
      <c r="V312">
        <f>装备!AN73</f>
        <v>0</v>
      </c>
      <c r="W312">
        <f>装备!AO73</f>
        <v>0</v>
      </c>
      <c r="X312" t="str">
        <f t="shared" si="57"/>
        <v>InitUnitNormal('E221',0,0,0,0,0,0,0,12,0,0)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InitUnitState('E221',0,0,55,0,112000,0,0,0,0,0)</v>
      </c>
      <c r="CC312" t="str">
        <f t="shared" si="64"/>
        <v>InitUnitNormal('E221',0,0,0,0,0,0,0,12,0,0)</v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134000</v>
      </c>
      <c r="H313">
        <f>装备!AA74</f>
        <v>0</v>
      </c>
      <c r="I313">
        <f>装备!AB74</f>
        <v>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InitUnitState('E222',0,0,60,0,134000,0,0,0,0,0)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12</v>
      </c>
      <c r="V313">
        <f>装备!AN74</f>
        <v>0</v>
      </c>
      <c r="W313">
        <f>装备!AO74</f>
        <v>0</v>
      </c>
      <c r="X313" t="str">
        <f t="shared" si="57"/>
        <v>InitUnitNormal('E222',0,0,0,0,0,0,0,12,0,0)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InitUnitState('E222',0,0,60,0,134000,0,0,0,0,0)</v>
      </c>
      <c r="CC313" t="str">
        <f t="shared" si="64"/>
        <v>InitUnitNormal('E222',0,0,0,0,0,0,0,12,0,0)</v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2019-12-28T13:54:09Z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