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P000!$A$1:$AP$607</definedName>
  </definedNames>
  <calcPr calcId="125725"/>
</workbook>
</file>

<file path=xl/calcChain.xml><?xml version="1.0" encoding="utf-8"?>
<calcChain xmlns="http://schemas.openxmlformats.org/spreadsheetml/2006/main">
  <c r="I4" i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K112" s="1"/>
  <c r="I113"/>
  <c r="I114"/>
  <c r="I115"/>
  <c r="I116"/>
  <c r="I117"/>
  <c r="I118"/>
  <c r="I119"/>
  <c r="I120"/>
  <c r="I121"/>
  <c r="I122"/>
  <c r="I123"/>
  <c r="I3"/>
  <c r="B123"/>
  <c r="B122"/>
  <c r="M122" s="1"/>
  <c r="B121"/>
  <c r="B120"/>
  <c r="M120" s="1"/>
  <c r="H119"/>
  <c r="J119" s="1"/>
  <c r="B119"/>
  <c r="H118"/>
  <c r="J118" s="1"/>
  <c r="B118"/>
  <c r="M118" s="1"/>
  <c r="B117"/>
  <c r="K117" s="1"/>
  <c r="H116"/>
  <c r="J116" s="1"/>
  <c r="B116"/>
  <c r="M116" s="1"/>
  <c r="B115"/>
  <c r="K115" s="1"/>
  <c r="K114"/>
  <c r="H114"/>
  <c r="J114" s="1"/>
  <c r="B114"/>
  <c r="M114" s="1"/>
  <c r="H113"/>
  <c r="J113" s="1"/>
  <c r="B113"/>
  <c r="K113" s="1"/>
  <c r="H112"/>
  <c r="J112" s="1"/>
  <c r="B112"/>
  <c r="M112" s="1"/>
  <c r="H111"/>
  <c r="J111" s="1"/>
  <c r="B111"/>
  <c r="K111" s="1"/>
  <c r="B110"/>
  <c r="M110" s="1"/>
  <c r="H109"/>
  <c r="J109" s="1"/>
  <c r="B109"/>
  <c r="K108"/>
  <c r="H108"/>
  <c r="J108" s="1"/>
  <c r="B108"/>
  <c r="M108" s="1"/>
  <c r="H107"/>
  <c r="J107" s="1"/>
  <c r="B107"/>
  <c r="K106"/>
  <c r="H106"/>
  <c r="J106" s="1"/>
  <c r="B106"/>
  <c r="M106" s="1"/>
  <c r="B105"/>
  <c r="K105" s="1"/>
  <c r="B104"/>
  <c r="M104" s="1"/>
  <c r="H103"/>
  <c r="J103" s="1"/>
  <c r="B103"/>
  <c r="K103" s="1"/>
  <c r="K102"/>
  <c r="B102"/>
  <c r="M102" s="1"/>
  <c r="H101"/>
  <c r="J101" s="1"/>
  <c r="B101"/>
  <c r="K101" s="1"/>
  <c r="H100"/>
  <c r="J100" s="1"/>
  <c r="B100"/>
  <c r="M100" s="1"/>
  <c r="B99"/>
  <c r="K99" s="1"/>
  <c r="K98"/>
  <c r="B98"/>
  <c r="M98" s="1"/>
  <c r="B97"/>
  <c r="K97" s="1"/>
  <c r="FS123" i="2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U122" s="1"/>
  <c r="DB122"/>
  <c r="CV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CU119" s="1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K109" i="1" l="1"/>
  <c r="K123"/>
  <c r="K121"/>
  <c r="K107"/>
  <c r="K119"/>
  <c r="H99"/>
  <c r="J99" s="1"/>
  <c r="H104"/>
  <c r="J104" s="1"/>
  <c r="K118"/>
  <c r="H123"/>
  <c r="J123" s="1"/>
  <c r="K122"/>
  <c r="H98"/>
  <c r="J98" s="1"/>
  <c r="H117"/>
  <c r="J117" s="1"/>
  <c r="H122"/>
  <c r="J122" s="1"/>
  <c r="H97"/>
  <c r="J97" s="1"/>
  <c r="H102"/>
  <c r="J102" s="1"/>
  <c r="K116"/>
  <c r="H121"/>
  <c r="J121" s="1"/>
  <c r="K120"/>
  <c r="K110"/>
  <c r="H115"/>
  <c r="J115" s="1"/>
  <c r="H120"/>
  <c r="J120" s="1"/>
  <c r="K100"/>
  <c r="H105"/>
  <c r="J105" s="1"/>
  <c r="H110"/>
  <c r="J110" s="1"/>
  <c r="K104"/>
  <c r="M97"/>
  <c r="M99"/>
  <c r="M101"/>
  <c r="M103"/>
  <c r="M105"/>
  <c r="M107"/>
  <c r="M109"/>
  <c r="M111"/>
  <c r="M113"/>
  <c r="M115"/>
  <c r="M117"/>
  <c r="M119"/>
  <c r="M121"/>
  <c r="M123"/>
  <c r="CN112" i="2"/>
  <c r="CO112"/>
  <c r="CP112"/>
  <c r="CQ112"/>
  <c r="CR112"/>
  <c r="CV112"/>
  <c r="DB112"/>
  <c r="CU112" s="1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DB113"/>
  <c r="DC113"/>
  <c r="CU113" s="1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DB114"/>
  <c r="DC114"/>
  <c r="DD114"/>
  <c r="DE114"/>
  <c r="DF114"/>
  <c r="CU114" s="1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CN115"/>
  <c r="CO115"/>
  <c r="CP115"/>
  <c r="CQ115"/>
  <c r="CR115"/>
  <c r="CV115"/>
  <c r="DB115"/>
  <c r="CU115" s="1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DT115"/>
  <c r="DU115"/>
  <c r="DV115"/>
  <c r="DW115"/>
  <c r="DX115"/>
  <c r="DY115"/>
  <c r="DZ115"/>
  <c r="EA115"/>
  <c r="EB115"/>
  <c r="EC115"/>
  <c r="ED115"/>
  <c r="EE115"/>
  <c r="EF115"/>
  <c r="EG115"/>
  <c r="EH115"/>
  <c r="EI115"/>
  <c r="EJ115"/>
  <c r="EK115"/>
  <c r="EL115"/>
  <c r="EM115"/>
  <c r="EN115"/>
  <c r="EO115"/>
  <c r="EP115"/>
  <c r="EQ115"/>
  <c r="ER115"/>
  <c r="ES115"/>
  <c r="ET115"/>
  <c r="EU115"/>
  <c r="EV115"/>
  <c r="EW115"/>
  <c r="EX115"/>
  <c r="EY115"/>
  <c r="EZ115"/>
  <c r="FA115"/>
  <c r="FB115"/>
  <c r="FC115"/>
  <c r="FD115"/>
  <c r="FE115"/>
  <c r="FF115"/>
  <c r="FG115"/>
  <c r="FH115"/>
  <c r="FI115"/>
  <c r="FJ115"/>
  <c r="FK115"/>
  <c r="FL115"/>
  <c r="FM115"/>
  <c r="FN115"/>
  <c r="FO115"/>
  <c r="FP115"/>
  <c r="FQ115"/>
  <c r="FR115"/>
  <c r="FS115"/>
  <c r="CN116"/>
  <c r="CO116"/>
  <c r="CP116"/>
  <c r="CQ116"/>
  <c r="CR116"/>
  <c r="CV116"/>
  <c r="DB116"/>
  <c r="DC116"/>
  <c r="DD116"/>
  <c r="DE116"/>
  <c r="DF116"/>
  <c r="DG116"/>
  <c r="DH116"/>
  <c r="CU116" s="1"/>
  <c r="DI116"/>
  <c r="DJ116"/>
  <c r="DK116"/>
  <c r="DL116"/>
  <c r="DM116"/>
  <c r="DN116"/>
  <c r="DO116"/>
  <c r="DP116"/>
  <c r="DQ116"/>
  <c r="DR116"/>
  <c r="DS116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FH116"/>
  <c r="FI116"/>
  <c r="FJ116"/>
  <c r="FK116"/>
  <c r="FL116"/>
  <c r="FM116"/>
  <c r="FN116"/>
  <c r="FO116"/>
  <c r="FP116"/>
  <c r="FQ116"/>
  <c r="FR116"/>
  <c r="FS116"/>
  <c r="CN117"/>
  <c r="CO117"/>
  <c r="CP117"/>
  <c r="CQ117"/>
  <c r="CR117"/>
  <c r="CV117"/>
  <c r="DB117"/>
  <c r="DC117"/>
  <c r="CU117" s="1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DB118"/>
  <c r="CU118" s="1"/>
  <c r="DC118"/>
  <c r="DD118"/>
  <c r="DE118"/>
  <c r="DF118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CU107" s="1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CU106" s="1"/>
  <c r="DC106"/>
  <c r="DB106"/>
  <c r="CV106"/>
  <c r="CR106"/>
  <c r="CQ106"/>
  <c r="CP106"/>
  <c r="CO106"/>
  <c r="CN106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DB105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H96" s="1"/>
  <c r="J96" s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H4"/>
  <c r="I4"/>
  <c r="H5"/>
  <c r="I5"/>
  <c r="H6"/>
  <c r="I6"/>
  <c r="H7"/>
  <c r="I7"/>
  <c r="H8"/>
  <c r="I8"/>
  <c r="H9"/>
  <c r="I9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H19"/>
  <c r="I19"/>
  <c r="H20"/>
  <c r="I20"/>
  <c r="H21"/>
  <c r="I21"/>
  <c r="H22"/>
  <c r="I22"/>
  <c r="H23"/>
  <c r="I23"/>
  <c r="H24"/>
  <c r="I24"/>
  <c r="H25"/>
  <c r="I25"/>
  <c r="H26"/>
  <c r="I26"/>
  <c r="H27"/>
  <c r="I27"/>
  <c r="H28"/>
  <c r="I28"/>
  <c r="H29"/>
  <c r="I29"/>
  <c r="H30"/>
  <c r="I30"/>
  <c r="H31"/>
  <c r="I31"/>
  <c r="H32"/>
  <c r="I32"/>
  <c r="H33"/>
  <c r="I33"/>
  <c r="H34"/>
  <c r="I34"/>
  <c r="H35"/>
  <c r="I35"/>
  <c r="H36"/>
  <c r="I36"/>
  <c r="H37"/>
  <c r="I37"/>
  <c r="H38"/>
  <c r="I38"/>
  <c r="H39"/>
  <c r="I39"/>
  <c r="H40"/>
  <c r="I40"/>
  <c r="H41"/>
  <c r="I41"/>
  <c r="H42"/>
  <c r="I42"/>
  <c r="H43"/>
  <c r="I43"/>
  <c r="H44"/>
  <c r="I44"/>
  <c r="H45"/>
  <c r="I45"/>
  <c r="H46"/>
  <c r="I46"/>
  <c r="H47"/>
  <c r="I47"/>
  <c r="H48"/>
  <c r="I48"/>
  <c r="H49"/>
  <c r="I49"/>
  <c r="H50"/>
  <c r="I50"/>
  <c r="H51"/>
  <c r="I51"/>
  <c r="H52"/>
  <c r="I52"/>
  <c r="H53"/>
  <c r="I53"/>
  <c r="H54"/>
  <c r="I54"/>
  <c r="H55"/>
  <c r="I55"/>
  <c r="H56"/>
  <c r="I56"/>
  <c r="H57"/>
  <c r="I57"/>
  <c r="H58"/>
  <c r="I58"/>
  <c r="H59"/>
  <c r="I59"/>
  <c r="H60"/>
  <c r="I60"/>
  <c r="H61"/>
  <c r="I61"/>
  <c r="H62"/>
  <c r="I62"/>
  <c r="H63"/>
  <c r="I63"/>
  <c r="H64"/>
  <c r="I64"/>
  <c r="H65"/>
  <c r="I65"/>
  <c r="H66"/>
  <c r="I66"/>
  <c r="H67"/>
  <c r="I67"/>
  <c r="H68"/>
  <c r="I68"/>
  <c r="H69"/>
  <c r="I69"/>
  <c r="H70"/>
  <c r="I70"/>
  <c r="H71"/>
  <c r="I71"/>
  <c r="H72"/>
  <c r="I72"/>
  <c r="H73"/>
  <c r="I73"/>
  <c r="H74"/>
  <c r="I74"/>
  <c r="H75"/>
  <c r="I75"/>
  <c r="H76"/>
  <c r="I76"/>
  <c r="H77"/>
  <c r="I77"/>
  <c r="H78"/>
  <c r="I78"/>
  <c r="H79"/>
  <c r="I79"/>
  <c r="H80"/>
  <c r="I80"/>
  <c r="H81"/>
  <c r="I81"/>
  <c r="H82"/>
  <c r="I82"/>
  <c r="H83"/>
  <c r="I83"/>
  <c r="H84"/>
  <c r="I84"/>
  <c r="H85"/>
  <c r="I85"/>
  <c r="H86"/>
  <c r="I86"/>
  <c r="H87"/>
  <c r="I87"/>
  <c r="H88"/>
  <c r="I88"/>
  <c r="H89"/>
  <c r="I89"/>
  <c r="H90"/>
  <c r="I90"/>
  <c r="H91"/>
  <c r="I91"/>
  <c r="H92"/>
  <c r="I92"/>
  <c r="H93"/>
  <c r="I93"/>
  <c r="H94"/>
  <c r="I94"/>
  <c r="H95"/>
  <c r="I95"/>
  <c r="H96"/>
  <c r="I96"/>
  <c r="H97"/>
  <c r="I97"/>
  <c r="H98"/>
  <c r="I98"/>
  <c r="H99"/>
  <c r="I99"/>
  <c r="H100"/>
  <c r="I100"/>
  <c r="H101"/>
  <c r="I101"/>
  <c r="H102"/>
  <c r="I102"/>
  <c r="H103"/>
  <c r="I103"/>
  <c r="H104"/>
  <c r="I104"/>
  <c r="H105"/>
  <c r="I105"/>
  <c r="H106"/>
  <c r="I106"/>
  <c r="H107"/>
  <c r="I107"/>
  <c r="H108"/>
  <c r="I108"/>
  <c r="H109"/>
  <c r="I109"/>
  <c r="H110"/>
  <c r="I110"/>
  <c r="H111"/>
  <c r="I111"/>
  <c r="H112"/>
  <c r="I112"/>
  <c r="H113"/>
  <c r="I113"/>
  <c r="H114"/>
  <c r="I114"/>
  <c r="H115"/>
  <c r="I115"/>
  <c r="H116"/>
  <c r="I116"/>
  <c r="H117"/>
  <c r="I117"/>
  <c r="H118"/>
  <c r="I118"/>
  <c r="H119"/>
  <c r="I119"/>
  <c r="H120"/>
  <c r="I120"/>
  <c r="H121"/>
  <c r="I121"/>
  <c r="H122"/>
  <c r="I122"/>
  <c r="H123"/>
  <c r="I123"/>
  <c r="H124"/>
  <c r="I124"/>
  <c r="H125"/>
  <c r="I125"/>
  <c r="H126"/>
  <c r="I126"/>
  <c r="H127"/>
  <c r="I127"/>
  <c r="H128"/>
  <c r="I128"/>
  <c r="H129"/>
  <c r="I129"/>
  <c r="H130"/>
  <c r="I130"/>
  <c r="H131"/>
  <c r="I131"/>
  <c r="H132"/>
  <c r="I132"/>
  <c r="H133"/>
  <c r="I133"/>
  <c r="H134"/>
  <c r="I134"/>
  <c r="H135"/>
  <c r="I135"/>
  <c r="H136"/>
  <c r="I136"/>
  <c r="H137"/>
  <c r="I137"/>
  <c r="H138"/>
  <c r="I138"/>
  <c r="H139"/>
  <c r="I139"/>
  <c r="H140"/>
  <c r="I140"/>
  <c r="H141"/>
  <c r="I141"/>
  <c r="H142"/>
  <c r="I142"/>
  <c r="H143"/>
  <c r="I143"/>
  <c r="H144"/>
  <c r="I144"/>
  <c r="H145"/>
  <c r="I145"/>
  <c r="H146"/>
  <c r="I146"/>
  <c r="H147"/>
  <c r="I147"/>
  <c r="H148"/>
  <c r="I148"/>
  <c r="H149"/>
  <c r="I149"/>
  <c r="H150"/>
  <c r="I150"/>
  <c r="H151"/>
  <c r="I151"/>
  <c r="H152"/>
  <c r="I152"/>
  <c r="H153"/>
  <c r="I153"/>
  <c r="H154"/>
  <c r="I154"/>
  <c r="H155"/>
  <c r="I155"/>
  <c r="H156"/>
  <c r="I156"/>
  <c r="H157"/>
  <c r="I157"/>
  <c r="H158"/>
  <c r="I158"/>
  <c r="H159"/>
  <c r="I159"/>
  <c r="H160"/>
  <c r="I160"/>
  <c r="H161"/>
  <c r="I161"/>
  <c r="H162"/>
  <c r="I162"/>
  <c r="H163"/>
  <c r="I163"/>
  <c r="H164"/>
  <c r="I164"/>
  <c r="H165"/>
  <c r="I165"/>
  <c r="H166"/>
  <c r="I166"/>
  <c r="H167"/>
  <c r="I167"/>
  <c r="H168"/>
  <c r="I168"/>
  <c r="H169"/>
  <c r="I169"/>
  <c r="H170"/>
  <c r="I170"/>
  <c r="H171"/>
  <c r="I171"/>
  <c r="H172"/>
  <c r="I172"/>
  <c r="H173"/>
  <c r="I173"/>
  <c r="H174"/>
  <c r="I174"/>
  <c r="H175"/>
  <c r="I175"/>
  <c r="H176"/>
  <c r="I176"/>
  <c r="H177"/>
  <c r="I177"/>
  <c r="H178"/>
  <c r="I178"/>
  <c r="H179"/>
  <c r="I179"/>
  <c r="H180"/>
  <c r="I180"/>
  <c r="H181"/>
  <c r="I181"/>
  <c r="H182"/>
  <c r="I182"/>
  <c r="H183"/>
  <c r="I183"/>
  <c r="H184"/>
  <c r="I184"/>
  <c r="H185"/>
  <c r="I185"/>
  <c r="H186"/>
  <c r="I186"/>
  <c r="H187"/>
  <c r="I187"/>
  <c r="H188"/>
  <c r="I188"/>
  <c r="H189"/>
  <c r="I189"/>
  <c r="H190"/>
  <c r="I190"/>
  <c r="H191"/>
  <c r="I191"/>
  <c r="H192"/>
  <c r="I192"/>
  <c r="H193"/>
  <c r="I193"/>
  <c r="H194"/>
  <c r="I194"/>
  <c r="H195"/>
  <c r="I195"/>
  <c r="H196"/>
  <c r="I196"/>
  <c r="H197"/>
  <c r="I197"/>
  <c r="H198"/>
  <c r="I198"/>
  <c r="H199"/>
  <c r="I199"/>
  <c r="H200"/>
  <c r="I200"/>
  <c r="H201"/>
  <c r="I201"/>
  <c r="H202"/>
  <c r="I202"/>
  <c r="H203"/>
  <c r="I203"/>
  <c r="H204"/>
  <c r="I204"/>
  <c r="H205"/>
  <c r="I205"/>
  <c r="H206"/>
  <c r="I206"/>
  <c r="H207"/>
  <c r="I207"/>
  <c r="H208"/>
  <c r="I208"/>
  <c r="H209"/>
  <c r="I209"/>
  <c r="H210"/>
  <c r="I210"/>
  <c r="H211"/>
  <c r="I211"/>
  <c r="H212"/>
  <c r="I212"/>
  <c r="H213"/>
  <c r="I213"/>
  <c r="H214"/>
  <c r="I214"/>
  <c r="H215"/>
  <c r="I215"/>
  <c r="H216"/>
  <c r="I216"/>
  <c r="H217"/>
  <c r="I217"/>
  <c r="H218"/>
  <c r="I218"/>
  <c r="H219"/>
  <c r="I219"/>
  <c r="H220"/>
  <c r="I220"/>
  <c r="H221"/>
  <c r="I221"/>
  <c r="H222"/>
  <c r="I222"/>
  <c r="H223"/>
  <c r="I223"/>
  <c r="H224"/>
  <c r="I224"/>
  <c r="H225"/>
  <c r="I225"/>
  <c r="I3"/>
  <c r="H3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L225"/>
  <c r="E225"/>
  <c r="D225"/>
  <c r="C225"/>
  <c r="B225"/>
  <c r="A225"/>
  <c r="L224"/>
  <c r="E224"/>
  <c r="D224"/>
  <c r="C224"/>
  <c r="B224"/>
  <c r="A224"/>
  <c r="L223"/>
  <c r="E223"/>
  <c r="D223"/>
  <c r="C223"/>
  <c r="B223"/>
  <c r="A223"/>
  <c r="L222"/>
  <c r="E222"/>
  <c r="D222"/>
  <c r="C222"/>
  <c r="B222"/>
  <c r="A222"/>
  <c r="L221"/>
  <c r="E221"/>
  <c r="D221"/>
  <c r="C221"/>
  <c r="B221"/>
  <c r="A221"/>
  <c r="L220"/>
  <c r="E220"/>
  <c r="D220"/>
  <c r="C220"/>
  <c r="B220"/>
  <c r="A220"/>
  <c r="L219"/>
  <c r="E219"/>
  <c r="D219"/>
  <c r="C219"/>
  <c r="B219"/>
  <c r="A219"/>
  <c r="L218"/>
  <c r="E218"/>
  <c r="D218"/>
  <c r="C218"/>
  <c r="B218"/>
  <c r="A218"/>
  <c r="L217"/>
  <c r="E217"/>
  <c r="D217"/>
  <c r="C217"/>
  <c r="B217"/>
  <c r="A217"/>
  <c r="L216"/>
  <c r="E216"/>
  <c r="D216"/>
  <c r="C216"/>
  <c r="B216"/>
  <c r="A216"/>
  <c r="L215"/>
  <c r="E215"/>
  <c r="D215"/>
  <c r="C215"/>
  <c r="B215"/>
  <c r="A215"/>
  <c r="L214"/>
  <c r="E214"/>
  <c r="D214"/>
  <c r="C214"/>
  <c r="B214"/>
  <c r="A214"/>
  <c r="L213"/>
  <c r="E213"/>
  <c r="D213"/>
  <c r="C213"/>
  <c r="B213"/>
  <c r="A213"/>
  <c r="L212"/>
  <c r="E212"/>
  <c r="D212"/>
  <c r="C212"/>
  <c r="B212"/>
  <c r="A212"/>
  <c r="L211"/>
  <c r="E211"/>
  <c r="D211"/>
  <c r="C211"/>
  <c r="B211"/>
  <c r="A211"/>
  <c r="L210"/>
  <c r="E210"/>
  <c r="D210"/>
  <c r="C210"/>
  <c r="B210"/>
  <c r="A210"/>
  <c r="L209"/>
  <c r="E209"/>
  <c r="D209"/>
  <c r="C209"/>
  <c r="B209"/>
  <c r="A209"/>
  <c r="L208"/>
  <c r="E208"/>
  <c r="D208"/>
  <c r="C208"/>
  <c r="B208"/>
  <c r="A208"/>
  <c r="L207"/>
  <c r="E207"/>
  <c r="D207"/>
  <c r="C207"/>
  <c r="B207"/>
  <c r="A207"/>
  <c r="L206"/>
  <c r="E206"/>
  <c r="D206"/>
  <c r="C206"/>
  <c r="B206"/>
  <c r="A206"/>
  <c r="L205"/>
  <c r="E205"/>
  <c r="D205"/>
  <c r="C205"/>
  <c r="B205"/>
  <c r="A205"/>
  <c r="L204"/>
  <c r="E204"/>
  <c r="D204"/>
  <c r="C204"/>
  <c r="B204"/>
  <c r="A204"/>
  <c r="L203"/>
  <c r="E203"/>
  <c r="D203"/>
  <c r="C203"/>
  <c r="B203"/>
  <c r="A203"/>
  <c r="L202"/>
  <c r="E202"/>
  <c r="D202"/>
  <c r="C202"/>
  <c r="B202"/>
  <c r="A202"/>
  <c r="L201"/>
  <c r="E201"/>
  <c r="D201"/>
  <c r="C201"/>
  <c r="B201"/>
  <c r="A201"/>
  <c r="L200"/>
  <c r="E200"/>
  <c r="D200"/>
  <c r="C200"/>
  <c r="B200"/>
  <c r="A200"/>
  <c r="L199"/>
  <c r="E199"/>
  <c r="D199"/>
  <c r="C199"/>
  <c r="B199"/>
  <c r="A199"/>
  <c r="L198"/>
  <c r="E198"/>
  <c r="D198"/>
  <c r="C198"/>
  <c r="B198"/>
  <c r="A198"/>
  <c r="L197"/>
  <c r="E197"/>
  <c r="D197"/>
  <c r="C197"/>
  <c r="B197"/>
  <c r="A197"/>
  <c r="L196"/>
  <c r="E196"/>
  <c r="D196"/>
  <c r="C196"/>
  <c r="B196"/>
  <c r="A196"/>
  <c r="L195"/>
  <c r="E195"/>
  <c r="D195"/>
  <c r="C195"/>
  <c r="B195"/>
  <c r="A195"/>
  <c r="L194"/>
  <c r="E194"/>
  <c r="D194"/>
  <c r="C194"/>
  <c r="B194"/>
  <c r="A194"/>
  <c r="L193"/>
  <c r="E193"/>
  <c r="D193"/>
  <c r="C193"/>
  <c r="B193"/>
  <c r="A193"/>
  <c r="L192"/>
  <c r="E192"/>
  <c r="D192"/>
  <c r="C192"/>
  <c r="B192"/>
  <c r="A192"/>
  <c r="L191"/>
  <c r="E191"/>
  <c r="D191"/>
  <c r="C191"/>
  <c r="B191"/>
  <c r="A191"/>
  <c r="L190"/>
  <c r="E190"/>
  <c r="D190"/>
  <c r="C190"/>
  <c r="B190"/>
  <c r="A190"/>
  <c r="L189"/>
  <c r="E189"/>
  <c r="D189"/>
  <c r="C189"/>
  <c r="B189"/>
  <c r="A189"/>
  <c r="L188"/>
  <c r="E188"/>
  <c r="D188"/>
  <c r="C188"/>
  <c r="B188"/>
  <c r="A188"/>
  <c r="L187"/>
  <c r="E187"/>
  <c r="D187"/>
  <c r="C187"/>
  <c r="B187"/>
  <c r="A187"/>
  <c r="L186"/>
  <c r="E186"/>
  <c r="D186"/>
  <c r="C186"/>
  <c r="B186"/>
  <c r="A186"/>
  <c r="L185"/>
  <c r="E185"/>
  <c r="D185"/>
  <c r="C185"/>
  <c r="B185"/>
  <c r="A185"/>
  <c r="L184"/>
  <c r="E184"/>
  <c r="D184"/>
  <c r="C184"/>
  <c r="B184"/>
  <c r="A184"/>
  <c r="L183"/>
  <c r="E183"/>
  <c r="D183"/>
  <c r="C183"/>
  <c r="B183"/>
  <c r="A183"/>
  <c r="L182"/>
  <c r="E182"/>
  <c r="D182"/>
  <c r="C182"/>
  <c r="B182"/>
  <c r="A182"/>
  <c r="L181"/>
  <c r="E181"/>
  <c r="D181"/>
  <c r="C181"/>
  <c r="B181"/>
  <c r="A181"/>
  <c r="L180"/>
  <c r="E180"/>
  <c r="D180"/>
  <c r="C180"/>
  <c r="B180"/>
  <c r="A180"/>
  <c r="L179"/>
  <c r="E179"/>
  <c r="D179"/>
  <c r="C179"/>
  <c r="B179"/>
  <c r="A179"/>
  <c r="L178"/>
  <c r="E178"/>
  <c r="D178"/>
  <c r="C178"/>
  <c r="B178"/>
  <c r="A178"/>
  <c r="L177"/>
  <c r="E177"/>
  <c r="D177"/>
  <c r="C177"/>
  <c r="B177"/>
  <c r="A177"/>
  <c r="L176"/>
  <c r="E176"/>
  <c r="D176"/>
  <c r="C176"/>
  <c r="B176"/>
  <c r="A176"/>
  <c r="L175"/>
  <c r="E175"/>
  <c r="D175"/>
  <c r="C175"/>
  <c r="B175"/>
  <c r="A175"/>
  <c r="L174"/>
  <c r="E174"/>
  <c r="D174"/>
  <c r="C174"/>
  <c r="B174"/>
  <c r="A174"/>
  <c r="L173"/>
  <c r="E173"/>
  <c r="D173"/>
  <c r="C173"/>
  <c r="B173"/>
  <c r="A173"/>
  <c r="L172"/>
  <c r="E172"/>
  <c r="D172"/>
  <c r="C172"/>
  <c r="B172"/>
  <c r="A172"/>
  <c r="L171"/>
  <c r="E171"/>
  <c r="D171"/>
  <c r="C171"/>
  <c r="B171"/>
  <c r="A171"/>
  <c r="L170"/>
  <c r="E170"/>
  <c r="D170"/>
  <c r="C170"/>
  <c r="B170"/>
  <c r="A170"/>
  <c r="L169"/>
  <c r="E169"/>
  <c r="D169"/>
  <c r="C169"/>
  <c r="B169"/>
  <c r="A169"/>
  <c r="L168"/>
  <c r="E168"/>
  <c r="D168"/>
  <c r="C168"/>
  <c r="B168"/>
  <c r="A168"/>
  <c r="L167"/>
  <c r="E167"/>
  <c r="D167"/>
  <c r="C167"/>
  <c r="B167"/>
  <c r="A167"/>
  <c r="L166"/>
  <c r="E166"/>
  <c r="D166"/>
  <c r="C166"/>
  <c r="B166"/>
  <c r="A166"/>
  <c r="L165"/>
  <c r="E165"/>
  <c r="D165"/>
  <c r="C165"/>
  <c r="B165"/>
  <c r="A165"/>
  <c r="L164"/>
  <c r="E164"/>
  <c r="D164"/>
  <c r="C164"/>
  <c r="B164"/>
  <c r="A164"/>
  <c r="L163"/>
  <c r="E163"/>
  <c r="D163"/>
  <c r="C163"/>
  <c r="B163"/>
  <c r="A163"/>
  <c r="L162"/>
  <c r="E162"/>
  <c r="D162"/>
  <c r="C162"/>
  <c r="B162"/>
  <c r="A162"/>
  <c r="L161"/>
  <c r="E161"/>
  <c r="D161"/>
  <c r="C161"/>
  <c r="B161"/>
  <c r="A161"/>
  <c r="L160"/>
  <c r="E160"/>
  <c r="D160"/>
  <c r="C160"/>
  <c r="B160"/>
  <c r="A160"/>
  <c r="L159"/>
  <c r="E159"/>
  <c r="D159"/>
  <c r="C159"/>
  <c r="B159"/>
  <c r="A159"/>
  <c r="L158"/>
  <c r="E158"/>
  <c r="D158"/>
  <c r="C158"/>
  <c r="B158"/>
  <c r="A158"/>
  <c r="L157"/>
  <c r="E157"/>
  <c r="D157"/>
  <c r="C157"/>
  <c r="B157"/>
  <c r="A157"/>
  <c r="L156"/>
  <c r="E156"/>
  <c r="D156"/>
  <c r="C156"/>
  <c r="B156"/>
  <c r="A156"/>
  <c r="L155"/>
  <c r="E155"/>
  <c r="D155"/>
  <c r="C155"/>
  <c r="B155"/>
  <c r="A155"/>
  <c r="L154"/>
  <c r="E154"/>
  <c r="D154"/>
  <c r="C154"/>
  <c r="B154"/>
  <c r="A154"/>
  <c r="L153"/>
  <c r="E153"/>
  <c r="D153"/>
  <c r="C153"/>
  <c r="B153"/>
  <c r="A153"/>
  <c r="L152"/>
  <c r="E152"/>
  <c r="D152"/>
  <c r="C152"/>
  <c r="B152"/>
  <c r="A152"/>
  <c r="L151"/>
  <c r="E151"/>
  <c r="D151"/>
  <c r="C151"/>
  <c r="B151"/>
  <c r="A151"/>
  <c r="L150"/>
  <c r="E150"/>
  <c r="D150"/>
  <c r="C150"/>
  <c r="B150"/>
  <c r="A150"/>
  <c r="L149"/>
  <c r="E149"/>
  <c r="D149"/>
  <c r="C149"/>
  <c r="B149"/>
  <c r="A149"/>
  <c r="L148"/>
  <c r="E148"/>
  <c r="D148"/>
  <c r="C148"/>
  <c r="B148"/>
  <c r="A148"/>
  <c r="L147"/>
  <c r="E147"/>
  <c r="D147"/>
  <c r="C147"/>
  <c r="B147"/>
  <c r="A147"/>
  <c r="L146"/>
  <c r="E146"/>
  <c r="D146"/>
  <c r="C146"/>
  <c r="B146"/>
  <c r="A146"/>
  <c r="L145"/>
  <c r="E145"/>
  <c r="D145"/>
  <c r="C145"/>
  <c r="B145"/>
  <c r="A145"/>
  <c r="L144"/>
  <c r="E144"/>
  <c r="D144"/>
  <c r="C144"/>
  <c r="B144"/>
  <c r="A144"/>
  <c r="L143"/>
  <c r="E143"/>
  <c r="D143"/>
  <c r="C143"/>
  <c r="B143"/>
  <c r="A143"/>
  <c r="L142"/>
  <c r="E142"/>
  <c r="D142"/>
  <c r="C142"/>
  <c r="B142"/>
  <c r="A142"/>
  <c r="L141"/>
  <c r="E141"/>
  <c r="D141"/>
  <c r="C141"/>
  <c r="B141"/>
  <c r="A141"/>
  <c r="L140"/>
  <c r="E140"/>
  <c r="D140"/>
  <c r="C140"/>
  <c r="B140"/>
  <c r="A140"/>
  <c r="L139"/>
  <c r="E139"/>
  <c r="D139"/>
  <c r="C139"/>
  <c r="B139"/>
  <c r="A139"/>
  <c r="L138"/>
  <c r="E138"/>
  <c r="D138"/>
  <c r="C138"/>
  <c r="B138"/>
  <c r="A138"/>
  <c r="L137"/>
  <c r="E137"/>
  <c r="D137"/>
  <c r="C137"/>
  <c r="B137"/>
  <c r="A137"/>
  <c r="L136"/>
  <c r="E136"/>
  <c r="D136"/>
  <c r="C136"/>
  <c r="B136"/>
  <c r="A136"/>
  <c r="L135"/>
  <c r="E135"/>
  <c r="D135"/>
  <c r="C135"/>
  <c r="B135"/>
  <c r="A135"/>
  <c r="L134"/>
  <c r="E134"/>
  <c r="D134"/>
  <c r="C134"/>
  <c r="B134"/>
  <c r="A134"/>
  <c r="L133"/>
  <c r="E133"/>
  <c r="D133"/>
  <c r="C133"/>
  <c r="B133"/>
  <c r="A133"/>
  <c r="L132"/>
  <c r="E132"/>
  <c r="D132"/>
  <c r="C132"/>
  <c r="B132"/>
  <c r="A132"/>
  <c r="L131"/>
  <c r="E131"/>
  <c r="D131"/>
  <c r="C131"/>
  <c r="B131"/>
  <c r="A131"/>
  <c r="L130"/>
  <c r="E130"/>
  <c r="D130"/>
  <c r="C130"/>
  <c r="B130"/>
  <c r="A130"/>
  <c r="L129"/>
  <c r="E129"/>
  <c r="D129"/>
  <c r="C129"/>
  <c r="B129"/>
  <c r="A129"/>
  <c r="L128"/>
  <c r="E128"/>
  <c r="D128"/>
  <c r="C128"/>
  <c r="B128"/>
  <c r="A128"/>
  <c r="L127"/>
  <c r="E127"/>
  <c r="D127"/>
  <c r="C127"/>
  <c r="B127"/>
  <c r="A127"/>
  <c r="L126"/>
  <c r="E126"/>
  <c r="D126"/>
  <c r="C126"/>
  <c r="B126"/>
  <c r="A126"/>
  <c r="L125"/>
  <c r="E125"/>
  <c r="D125"/>
  <c r="C125"/>
  <c r="B125"/>
  <c r="A125"/>
  <c r="L124"/>
  <c r="E124"/>
  <c r="D124"/>
  <c r="C124"/>
  <c r="B124"/>
  <c r="A124"/>
  <c r="L123"/>
  <c r="E123"/>
  <c r="D123"/>
  <c r="C123"/>
  <c r="B123"/>
  <c r="A123"/>
  <c r="L122"/>
  <c r="E122"/>
  <c r="D122"/>
  <c r="C122"/>
  <c r="B122"/>
  <c r="A122"/>
  <c r="L121"/>
  <c r="E121"/>
  <c r="D121"/>
  <c r="C121"/>
  <c r="B121"/>
  <c r="A121"/>
  <c r="L120"/>
  <c r="E120"/>
  <c r="D120"/>
  <c r="C120"/>
  <c r="B120"/>
  <c r="A120"/>
  <c r="L119"/>
  <c r="E119"/>
  <c r="D119"/>
  <c r="C119"/>
  <c r="B119"/>
  <c r="A119"/>
  <c r="L118"/>
  <c r="E118"/>
  <c r="D118"/>
  <c r="C118"/>
  <c r="B118"/>
  <c r="A118"/>
  <c r="L117"/>
  <c r="E117"/>
  <c r="D117"/>
  <c r="C117"/>
  <c r="B117"/>
  <c r="A117"/>
  <c r="L116"/>
  <c r="E116"/>
  <c r="D116"/>
  <c r="C116"/>
  <c r="B116"/>
  <c r="A116"/>
  <c r="L115"/>
  <c r="E115"/>
  <c r="D115"/>
  <c r="C115"/>
  <c r="B115"/>
  <c r="A115"/>
  <c r="L114"/>
  <c r="E114"/>
  <c r="D114"/>
  <c r="C114"/>
  <c r="B114"/>
  <c r="A114"/>
  <c r="L113"/>
  <c r="E113"/>
  <c r="D113"/>
  <c r="C113"/>
  <c r="B113"/>
  <c r="A113"/>
  <c r="L112"/>
  <c r="E112"/>
  <c r="D112"/>
  <c r="C112"/>
  <c r="B112"/>
  <c r="A112"/>
  <c r="L111"/>
  <c r="E111"/>
  <c r="D111"/>
  <c r="C111"/>
  <c r="B111"/>
  <c r="A111"/>
  <c r="L110"/>
  <c r="E110"/>
  <c r="D110"/>
  <c r="C110"/>
  <c r="B110"/>
  <c r="A110"/>
  <c r="L109"/>
  <c r="E109"/>
  <c r="D109"/>
  <c r="C109"/>
  <c r="B109"/>
  <c r="A109"/>
  <c r="L108"/>
  <c r="E108"/>
  <c r="D108"/>
  <c r="C108"/>
  <c r="B108"/>
  <c r="A108"/>
  <c r="L107"/>
  <c r="E107"/>
  <c r="D107"/>
  <c r="C107"/>
  <c r="B107"/>
  <c r="A107"/>
  <c r="L106"/>
  <c r="E106"/>
  <c r="D106"/>
  <c r="C106"/>
  <c r="B106"/>
  <c r="A106"/>
  <c r="L105"/>
  <c r="E105"/>
  <c r="D105"/>
  <c r="C105"/>
  <c r="B105"/>
  <c r="A105"/>
  <c r="L104"/>
  <c r="E104"/>
  <c r="D104"/>
  <c r="C104"/>
  <c r="B104"/>
  <c r="A104"/>
  <c r="L103"/>
  <c r="E103"/>
  <c r="D103"/>
  <c r="C103"/>
  <c r="B103"/>
  <c r="A103"/>
  <c r="L102"/>
  <c r="E102"/>
  <c r="D102"/>
  <c r="C102"/>
  <c r="B102"/>
  <c r="A102"/>
  <c r="L101"/>
  <c r="E101"/>
  <c r="D101"/>
  <c r="C101"/>
  <c r="B101"/>
  <c r="A101"/>
  <c r="L100"/>
  <c r="E100"/>
  <c r="D100"/>
  <c r="C100"/>
  <c r="B100"/>
  <c r="A100"/>
  <c r="L99"/>
  <c r="E99"/>
  <c r="D99"/>
  <c r="C99"/>
  <c r="B99"/>
  <c r="A99"/>
  <c r="L98"/>
  <c r="E98"/>
  <c r="D98"/>
  <c r="C98"/>
  <c r="B98"/>
  <c r="A98"/>
  <c r="L97"/>
  <c r="E97"/>
  <c r="D97"/>
  <c r="C97"/>
  <c r="B97"/>
  <c r="A97"/>
  <c r="L96"/>
  <c r="E96"/>
  <c r="D96"/>
  <c r="C96"/>
  <c r="B96"/>
  <c r="A96"/>
  <c r="L95"/>
  <c r="E95"/>
  <c r="D95"/>
  <c r="C95"/>
  <c r="B95"/>
  <c r="A95"/>
  <c r="L94"/>
  <c r="E94"/>
  <c r="D94"/>
  <c r="C94"/>
  <c r="B94"/>
  <c r="A94"/>
  <c r="L93"/>
  <c r="E93"/>
  <c r="D93"/>
  <c r="C93"/>
  <c r="B93"/>
  <c r="A93"/>
  <c r="L92"/>
  <c r="E92"/>
  <c r="D92"/>
  <c r="C92"/>
  <c r="B92"/>
  <c r="A92"/>
  <c r="L91"/>
  <c r="E91"/>
  <c r="D91"/>
  <c r="C91"/>
  <c r="B91"/>
  <c r="A91"/>
  <c r="L90"/>
  <c r="E90"/>
  <c r="D90"/>
  <c r="C90"/>
  <c r="B90"/>
  <c r="A90"/>
  <c r="L89"/>
  <c r="E89"/>
  <c r="D89"/>
  <c r="C89"/>
  <c r="B89"/>
  <c r="A89"/>
  <c r="L88"/>
  <c r="E88"/>
  <c r="D88"/>
  <c r="C88"/>
  <c r="B88"/>
  <c r="A88"/>
  <c r="L87"/>
  <c r="E87"/>
  <c r="D87"/>
  <c r="C87"/>
  <c r="B87"/>
  <c r="A87"/>
  <c r="L86"/>
  <c r="E86"/>
  <c r="D86"/>
  <c r="C86"/>
  <c r="B86"/>
  <c r="A86"/>
  <c r="L85"/>
  <c r="E85"/>
  <c r="D85"/>
  <c r="C85"/>
  <c r="B85"/>
  <c r="A85"/>
  <c r="L84"/>
  <c r="E84"/>
  <c r="D84"/>
  <c r="C84"/>
  <c r="B84"/>
  <c r="A84"/>
  <c r="L83"/>
  <c r="E83"/>
  <c r="D83"/>
  <c r="C83"/>
  <c r="B83"/>
  <c r="A83"/>
  <c r="L82"/>
  <c r="E82"/>
  <c r="D82"/>
  <c r="C82"/>
  <c r="B82"/>
  <c r="A82"/>
  <c r="L81"/>
  <c r="E81"/>
  <c r="D81"/>
  <c r="C81"/>
  <c r="B81"/>
  <c r="A81"/>
  <c r="L80"/>
  <c r="E80"/>
  <c r="D80"/>
  <c r="C80"/>
  <c r="B80"/>
  <c r="A80"/>
  <c r="L79"/>
  <c r="E79"/>
  <c r="D79"/>
  <c r="C79"/>
  <c r="B79"/>
  <c r="A79"/>
  <c r="L78"/>
  <c r="E78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D60"/>
  <c r="C60"/>
  <c r="B60"/>
  <c r="A60"/>
  <c r="E59"/>
  <c r="D59"/>
  <c r="C59"/>
  <c r="B59"/>
  <c r="A59"/>
  <c r="E58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E4"/>
  <c r="D4"/>
  <c r="C4"/>
  <c r="B4"/>
  <c r="A4"/>
  <c r="B91" i="1"/>
  <c r="M91" s="1"/>
  <c r="B92"/>
  <c r="M92" s="1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M95" s="1"/>
  <c r="B94"/>
  <c r="M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M93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H90" s="1"/>
  <c r="B89"/>
  <c r="H89" s="1"/>
  <c r="B88"/>
  <c r="H88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H78" s="1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H91" i="1" l="1"/>
  <c r="H79"/>
  <c r="M87"/>
  <c r="H92"/>
  <c r="H80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K95"/>
  <c r="H87"/>
  <c r="J87" s="1"/>
  <c r="M96"/>
  <c r="K96"/>
  <c r="M30" i="4"/>
  <c r="M42"/>
  <c r="M38"/>
  <c r="M62"/>
  <c r="M74"/>
  <c r="M79"/>
  <c r="M82"/>
  <c r="M85"/>
  <c r="M88"/>
  <c r="M91"/>
  <c r="M94"/>
  <c r="M97"/>
  <c r="M100"/>
  <c r="M103"/>
  <c r="M106"/>
  <c r="M109"/>
  <c r="M112"/>
  <c r="M115"/>
  <c r="M118"/>
  <c r="M121"/>
  <c r="M124"/>
  <c r="M127"/>
  <c r="M130"/>
  <c r="M133"/>
  <c r="M136"/>
  <c r="M139"/>
  <c r="M142"/>
  <c r="M145"/>
  <c r="M148"/>
  <c r="M151"/>
  <c r="M154"/>
  <c r="M157"/>
  <c r="M160"/>
  <c r="M172"/>
  <c r="M184"/>
  <c r="M196"/>
  <c r="M208"/>
  <c r="M50"/>
  <c r="M54"/>
  <c r="M66"/>
  <c r="J78" i="1"/>
  <c r="J92"/>
  <c r="J80"/>
  <c r="J91"/>
  <c r="M220" i="4"/>
  <c r="J88" i="1"/>
  <c r="M14" i="4"/>
  <c r="M26"/>
  <c r="M6"/>
  <c r="M18"/>
  <c r="M78"/>
  <c r="M81"/>
  <c r="M84"/>
  <c r="M87"/>
  <c r="M4"/>
  <c r="M16"/>
  <c r="M28"/>
  <c r="M40"/>
  <c r="M52"/>
  <c r="M64"/>
  <c r="M76"/>
  <c r="M12"/>
  <c r="M24"/>
  <c r="M36"/>
  <c r="M48"/>
  <c r="M60"/>
  <c r="M72"/>
  <c r="M19"/>
  <c r="M31"/>
  <c r="M5"/>
  <c r="M17"/>
  <c r="M29"/>
  <c r="M41"/>
  <c r="M53"/>
  <c r="M65"/>
  <c r="M77"/>
  <c r="M10"/>
  <c r="M34"/>
  <c r="M70"/>
  <c r="M83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15"/>
  <c r="M27"/>
  <c r="M39"/>
  <c r="M51"/>
  <c r="M63"/>
  <c r="M75"/>
  <c r="M44"/>
  <c r="M56"/>
  <c r="M68"/>
  <c r="M22"/>
  <c r="M8"/>
  <c r="M20"/>
  <c r="M32"/>
  <c r="M13"/>
  <c r="M25"/>
  <c r="M37"/>
  <c r="M49"/>
  <c r="M61"/>
  <c r="M73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11"/>
  <c r="M23"/>
  <c r="M35"/>
  <c r="M47"/>
  <c r="M59"/>
  <c r="M71"/>
  <c r="M9"/>
  <c r="M21"/>
  <c r="M33"/>
  <c r="M45"/>
  <c r="M57"/>
  <c r="M69"/>
  <c r="M163"/>
  <c r="M166"/>
  <c r="M169"/>
  <c r="M175"/>
  <c r="M178"/>
  <c r="M181"/>
  <c r="M187"/>
  <c r="M190"/>
  <c r="M193"/>
  <c r="M199"/>
  <c r="M202"/>
  <c r="M205"/>
  <c r="M211"/>
  <c r="M214"/>
  <c r="M217"/>
  <c r="M223"/>
  <c r="M7"/>
  <c r="M43"/>
  <c r="M55"/>
  <c r="M67"/>
  <c r="N148"/>
  <c r="N154"/>
  <c r="N199"/>
  <c r="N84"/>
  <c r="N192"/>
  <c r="N177"/>
  <c r="N156"/>
  <c r="N180"/>
  <c r="N105"/>
  <c r="N117"/>
  <c r="N209"/>
  <c r="N182"/>
  <c r="N185"/>
  <c r="N122"/>
  <c r="N125"/>
  <c r="N137"/>
  <c r="N214"/>
  <c r="N190"/>
  <c r="N118"/>
  <c r="N142"/>
  <c r="N82"/>
  <c r="N120"/>
  <c r="N132"/>
  <c r="N158"/>
  <c r="N178"/>
  <c r="N204"/>
  <c r="N216"/>
  <c r="N53"/>
  <c r="N91"/>
  <c r="N96"/>
  <c r="N149"/>
  <c r="N166"/>
  <c r="N194"/>
  <c r="N108"/>
  <c r="N163"/>
  <c r="N168"/>
  <c r="N221"/>
  <c r="N101"/>
  <c r="N197"/>
  <c r="N113"/>
  <c r="N173"/>
  <c r="N110"/>
  <c r="N124"/>
  <c r="N127"/>
  <c r="N220"/>
  <c r="N81"/>
  <c r="N89"/>
  <c r="N196"/>
  <c r="N202"/>
  <c r="N115"/>
  <c r="N153"/>
  <c r="N187"/>
  <c r="N86"/>
  <c r="N106"/>
  <c r="N144"/>
  <c r="N161"/>
  <c r="N189"/>
  <c r="N88"/>
  <c r="N160"/>
  <c r="N129"/>
  <c r="N134"/>
  <c r="N139"/>
  <c r="N201"/>
  <c r="N206"/>
  <c r="N211"/>
  <c r="N94"/>
  <c r="N100"/>
  <c r="N172"/>
  <c r="N79"/>
  <c r="N141"/>
  <c r="N146"/>
  <c r="N151"/>
  <c r="N213"/>
  <c r="N218"/>
  <c r="N223"/>
  <c r="N112"/>
  <c r="N184"/>
  <c r="CU95" i="2"/>
  <c r="N225" i="4"/>
  <c r="N93"/>
  <c r="N98"/>
  <c r="N103"/>
  <c r="N165"/>
  <c r="N170"/>
  <c r="N175"/>
  <c r="N130"/>
  <c r="N136"/>
  <c r="N208"/>
  <c r="N87"/>
  <c r="N99"/>
  <c r="N111"/>
  <c r="N123"/>
  <c r="N135"/>
  <c r="N147"/>
  <c r="N159"/>
  <c r="N171"/>
  <c r="N183"/>
  <c r="N195"/>
  <c r="N207"/>
  <c r="N219"/>
  <c r="N80"/>
  <c r="N92"/>
  <c r="N104"/>
  <c r="N116"/>
  <c r="N128"/>
  <c r="N140"/>
  <c r="N152"/>
  <c r="N164"/>
  <c r="N176"/>
  <c r="N188"/>
  <c r="N200"/>
  <c r="N212"/>
  <c r="N224"/>
  <c r="N85"/>
  <c r="N97"/>
  <c r="N109"/>
  <c r="N121"/>
  <c r="N133"/>
  <c r="N145"/>
  <c r="N157"/>
  <c r="N169"/>
  <c r="N181"/>
  <c r="N193"/>
  <c r="N205"/>
  <c r="N217"/>
  <c r="N78"/>
  <c r="N90"/>
  <c r="N102"/>
  <c r="N114"/>
  <c r="N126"/>
  <c r="N138"/>
  <c r="N150"/>
  <c r="N162"/>
  <c r="N174"/>
  <c r="N186"/>
  <c r="N198"/>
  <c r="N210"/>
  <c r="N222"/>
  <c r="N83"/>
  <c r="N95"/>
  <c r="N107"/>
  <c r="N119"/>
  <c r="N131"/>
  <c r="N143"/>
  <c r="N155"/>
  <c r="N167"/>
  <c r="N179"/>
  <c r="N191"/>
  <c r="N203"/>
  <c r="N215"/>
  <c r="CU91" i="2"/>
  <c r="CU94"/>
  <c r="CU93"/>
  <c r="CU92"/>
  <c r="J90" i="1"/>
  <c r="K93"/>
  <c r="J86"/>
  <c r="CU88" i="2"/>
  <c r="K88" i="1" s="1"/>
  <c r="CU90" i="2"/>
  <c r="CU89"/>
  <c r="J89" i="1"/>
  <c r="J79"/>
  <c r="AB84" i="3"/>
  <c r="AB78"/>
  <c r="AB85"/>
  <c r="AB79"/>
  <c r="AB87"/>
  <c r="AB77"/>
  <c r="AB83"/>
  <c r="AB81"/>
  <c r="AB82"/>
  <c r="AB86"/>
  <c r="AB80"/>
  <c r="K91" i="1" l="1"/>
  <c r="K90"/>
  <c r="K89"/>
  <c r="K94"/>
  <c r="K92"/>
  <c r="A3" i="4"/>
  <c r="B3"/>
  <c r="C3"/>
  <c r="D3"/>
  <c r="E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R59"/>
  <c r="W59" s="1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R70"/>
  <c r="W70" s="1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M3" i="4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J54" i="1"/>
  <c r="CU58" i="2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M65"/>
  <c r="H77"/>
  <c r="J77" s="1"/>
  <c r="M77"/>
  <c r="H64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J65"/>
  <c r="J64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M40"/>
  <c r="H52"/>
  <c r="M52"/>
  <c r="M9"/>
  <c r="H9"/>
  <c r="H27"/>
  <c r="M27"/>
  <c r="H39"/>
  <c r="M39"/>
  <c r="H51"/>
  <c r="J51" s="1"/>
  <c r="M51"/>
  <c r="M8"/>
  <c r="H8"/>
  <c r="M26"/>
  <c r="H26"/>
  <c r="M38"/>
  <c r="H38"/>
  <c r="M50"/>
  <c r="H50"/>
  <c r="J50" s="1"/>
  <c r="M7"/>
  <c r="H7"/>
  <c r="M19"/>
  <c r="H19"/>
  <c r="M25"/>
  <c r="H25"/>
  <c r="J25" s="1"/>
  <c r="M37"/>
  <c r="H37"/>
  <c r="J37" s="1"/>
  <c r="M49"/>
  <c r="H49"/>
  <c r="H6"/>
  <c r="M6"/>
  <c r="H18"/>
  <c r="J18" s="1"/>
  <c r="M18"/>
  <c r="M24"/>
  <c r="H24"/>
  <c r="M48"/>
  <c r="H48"/>
  <c r="J48" s="1"/>
  <c r="M36"/>
  <c r="H36"/>
  <c r="H5"/>
  <c r="J5" s="1"/>
  <c r="M5"/>
  <c r="H17"/>
  <c r="J17" s="1"/>
  <c r="M17"/>
  <c r="M23"/>
  <c r="H23"/>
  <c r="M35"/>
  <c r="H35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40"/>
  <c r="J52"/>
  <c r="J9"/>
  <c r="J27"/>
  <c r="J8"/>
  <c r="J38"/>
  <c r="J19"/>
  <c r="J6"/>
  <c r="J24"/>
  <c r="J36"/>
  <c r="J3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7" i="1"/>
  <c r="J39"/>
  <c r="J49"/>
  <c r="J28"/>
  <c r="J23"/>
  <c r="J26"/>
  <c r="J29"/>
  <c r="J35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4"/>
  <c r="DC124"/>
  <c r="DD124"/>
  <c r="DE124"/>
  <c r="DF124"/>
  <c r="DG124"/>
  <c r="DH124"/>
  <c r="DI124"/>
  <c r="DJ124"/>
  <c r="DK124"/>
  <c r="DL124"/>
  <c r="DM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EK124"/>
  <c r="EL124"/>
  <c r="EM124"/>
  <c r="EN124"/>
  <c r="EO124"/>
  <c r="EP124"/>
  <c r="EQ124"/>
  <c r="ER124"/>
  <c r="ES124"/>
  <c r="ET124"/>
  <c r="EU124"/>
  <c r="EV124"/>
  <c r="EW124"/>
  <c r="EX124"/>
  <c r="EY124"/>
  <c r="EZ124"/>
  <c r="FA124"/>
  <c r="FB124"/>
  <c r="FC124"/>
  <c r="FD124"/>
  <c r="FE124"/>
  <c r="FF124"/>
  <c r="FG124"/>
  <c r="FH124"/>
  <c r="FI124"/>
  <c r="FJ124"/>
  <c r="FK124"/>
  <c r="FL124"/>
  <c r="FM124"/>
  <c r="FN124"/>
  <c r="FO124"/>
  <c r="FP124"/>
  <c r="FQ124"/>
  <c r="FR124"/>
  <c r="FS124"/>
  <c r="DB125"/>
  <c r="DC125"/>
  <c r="DD125"/>
  <c r="DE125"/>
  <c r="DF125"/>
  <c r="DG125"/>
  <c r="DH125"/>
  <c r="DI125"/>
  <c r="DJ125"/>
  <c r="DK125"/>
  <c r="DL125"/>
  <c r="DM125"/>
  <c r="DN125"/>
  <c r="DO125"/>
  <c r="DP125"/>
  <c r="DQ125"/>
  <c r="DR125"/>
  <c r="DS125"/>
  <c r="DT125"/>
  <c r="DU125"/>
  <c r="DV125"/>
  <c r="DW125"/>
  <c r="DX125"/>
  <c r="DY125"/>
  <c r="DZ125"/>
  <c r="EA125"/>
  <c r="EB125"/>
  <c r="EC125"/>
  <c r="ED125"/>
  <c r="EE125"/>
  <c r="EF125"/>
  <c r="EG125"/>
  <c r="EH125"/>
  <c r="EI125"/>
  <c r="EJ125"/>
  <c r="EK125"/>
  <c r="EL125"/>
  <c r="EM125"/>
  <c r="EN125"/>
  <c r="EO125"/>
  <c r="EP125"/>
  <c r="EQ125"/>
  <c r="ER125"/>
  <c r="ES125"/>
  <c r="ET125"/>
  <c r="EU125"/>
  <c r="EV125"/>
  <c r="EW125"/>
  <c r="EX125"/>
  <c r="EY125"/>
  <c r="EZ125"/>
  <c r="FA125"/>
  <c r="FB125"/>
  <c r="FC125"/>
  <c r="FD125"/>
  <c r="FE125"/>
  <c r="FF125"/>
  <c r="FG125"/>
  <c r="FH125"/>
  <c r="FI125"/>
  <c r="FJ125"/>
  <c r="FK125"/>
  <c r="FL125"/>
  <c r="FM125"/>
  <c r="FN125"/>
  <c r="FO125"/>
  <c r="FP125"/>
  <c r="FQ125"/>
  <c r="FR125"/>
  <c r="FS125"/>
  <c r="DB126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DB127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67"/>
  <c r="CU143"/>
  <c r="CU131"/>
  <c r="CU125"/>
  <c r="CU185"/>
  <c r="CU179"/>
  <c r="CU173"/>
  <c r="CU161"/>
  <c r="CU155"/>
  <c r="CU149"/>
  <c r="CU137"/>
  <c r="CU83"/>
  <c r="CU184"/>
  <c r="CU178"/>
  <c r="CU172"/>
  <c r="CU166"/>
  <c r="CU160"/>
  <c r="CU154"/>
  <c r="CU148"/>
  <c r="CU142"/>
  <c r="CU136"/>
  <c r="CU130"/>
  <c r="CU124"/>
  <c r="CU82"/>
  <c r="CU183"/>
  <c r="CU177"/>
  <c r="CU171"/>
  <c r="CU165"/>
  <c r="CU159"/>
  <c r="CU153"/>
  <c r="CU147"/>
  <c r="CU141"/>
  <c r="CU135"/>
  <c r="CU129"/>
  <c r="CU188"/>
  <c r="CU182"/>
  <c r="CU176"/>
  <c r="CU170"/>
  <c r="CU164"/>
  <c r="CU158"/>
  <c r="CU152"/>
  <c r="CU146"/>
  <c r="CU140"/>
  <c r="CU134"/>
  <c r="CU128"/>
  <c r="CU187"/>
  <c r="CU181"/>
  <c r="CU175"/>
  <c r="CU169"/>
  <c r="CU163"/>
  <c r="CU157"/>
  <c r="CU151"/>
  <c r="CU145"/>
  <c r="CU139"/>
  <c r="CU133"/>
  <c r="CU127"/>
  <c r="CU85"/>
  <c r="CU79"/>
  <c r="CU3"/>
  <c r="CU186"/>
  <c r="CU180"/>
  <c r="CU174"/>
  <c r="CU168"/>
  <c r="CU162"/>
  <c r="CU156"/>
  <c r="CU150"/>
  <c r="CU144"/>
  <c r="CU138"/>
  <c r="CU132"/>
  <c r="CU12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4" i="2"/>
  <c r="CO174"/>
  <c r="CP174"/>
  <c r="CQ17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Q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1" i="2"/>
  <c r="CO171"/>
  <c r="CP171"/>
  <c r="CQ171"/>
  <c r="CN172"/>
  <c r="CO172"/>
  <c r="CP172"/>
  <c r="CQ172"/>
  <c r="CN173"/>
  <c r="CO173"/>
  <c r="CP173"/>
  <c r="CQ173"/>
  <c r="CR173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CR171" l="1"/>
  <c r="CR17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4" i="2"/>
  <c r="CO154"/>
  <c r="CP154"/>
  <c r="CQ154"/>
  <c r="CN155"/>
  <c r="CO155"/>
  <c r="CP155"/>
  <c r="CQ155"/>
  <c r="CN156"/>
  <c r="CO156"/>
  <c r="CP156"/>
  <c r="CQ156"/>
  <c r="CN157"/>
  <c r="CO157"/>
  <c r="CP157"/>
  <c r="CQ157"/>
  <c r="CR157"/>
  <c r="CN158"/>
  <c r="CO158"/>
  <c r="CP158"/>
  <c r="CQ158"/>
  <c r="CN159"/>
  <c r="CO159"/>
  <c r="CP159"/>
  <c r="CQ159"/>
  <c r="CN160"/>
  <c r="CO160"/>
  <c r="CP160"/>
  <c r="CQ160"/>
  <c r="CR16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Q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Q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3" i="2"/>
  <c r="CQ153"/>
  <c r="CP153"/>
  <c r="CO153"/>
  <c r="CN153"/>
  <c r="CR159" l="1"/>
  <c r="CR154"/>
  <c r="CR156"/>
  <c r="CR158"/>
  <c r="CR15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K79" i="1" s="1"/>
  <c r="P6" i="3"/>
  <c r="P10"/>
  <c r="P7"/>
  <c r="P16"/>
  <c r="P8"/>
  <c r="P3"/>
  <c r="P14"/>
  <c r="P72"/>
  <c r="P57"/>
  <c r="P73"/>
  <c r="P64"/>
  <c r="CV82" i="2"/>
  <c r="K82" i="1" s="1"/>
  <c r="P75" i="3"/>
  <c r="P66"/>
  <c r="P69"/>
  <c r="P76"/>
  <c r="P67"/>
  <c r="P62"/>
  <c r="CV63" i="2" s="1"/>
  <c r="P74" i="3"/>
  <c r="P58"/>
  <c r="P65"/>
  <c r="P59"/>
  <c r="P63"/>
  <c r="P70"/>
  <c r="P68"/>
  <c r="P71"/>
  <c r="P61"/>
  <c r="CV80" i="2"/>
  <c r="K80" i="1" s="1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P89" i="3"/>
  <c r="P92"/>
  <c r="P22"/>
  <c r="P41"/>
  <c r="P88"/>
  <c r="P96"/>
  <c r="P33"/>
  <c r="P24"/>
  <c r="P43"/>
  <c r="P90"/>
  <c r="P31"/>
  <c r="P20"/>
  <c r="P32"/>
  <c r="P35"/>
  <c r="CV61" i="2" s="1"/>
  <c r="P38" i="3"/>
  <c r="P25"/>
  <c r="P34"/>
  <c r="P37"/>
  <c r="P93"/>
  <c r="P19"/>
  <c r="P94"/>
  <c r="P28"/>
  <c r="CV54" i="2" s="1"/>
  <c r="P42" i="3"/>
  <c r="P40"/>
  <c r="CV41" i="2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5" i="2" l="1"/>
  <c r="CV87"/>
  <c r="K87" i="1" s="1"/>
  <c r="CV66" i="2"/>
  <c r="CV64"/>
  <c r="CV72"/>
  <c r="CV68"/>
  <c r="CV85"/>
  <c r="K85" i="1" s="1"/>
  <c r="CV83" i="2"/>
  <c r="K83" i="1" s="1"/>
  <c r="CV73" i="2"/>
  <c r="CV78"/>
  <c r="K78" i="1" s="1"/>
  <c r="CV74" i="2"/>
  <c r="CV65"/>
  <c r="CV76"/>
  <c r="CV71"/>
  <c r="CV67"/>
  <c r="CV69"/>
  <c r="CV81"/>
  <c r="K81" i="1" s="1"/>
  <c r="CV86" i="2"/>
  <c r="K86" i="1" s="1"/>
  <c r="CV70" i="2"/>
  <c r="CV84"/>
  <c r="K84" i="1" s="1"/>
  <c r="CV77" i="2"/>
  <c r="CV57"/>
  <c r="CV59"/>
  <c r="CV60"/>
  <c r="CV62"/>
  <c r="K41" i="1"/>
  <c r="CV58" i="2"/>
  <c r="CV55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0" i="2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U195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R128"/>
  <c r="CQ128"/>
  <c r="CP128"/>
  <c r="CO128"/>
  <c r="CN128"/>
  <c r="CR127"/>
  <c r="CQ127"/>
  <c r="CP127"/>
  <c r="CO127"/>
  <c r="CN127"/>
  <c r="CR126"/>
  <c r="CQ126"/>
  <c r="CP126"/>
  <c r="CO126"/>
  <c r="CN126"/>
  <c r="CR125"/>
  <c r="CQ125"/>
  <c r="CP125"/>
  <c r="CO125"/>
  <c r="CN125"/>
  <c r="CR124"/>
  <c r="CQ124"/>
  <c r="CP124"/>
  <c r="CO124"/>
  <c r="CN124"/>
  <c r="CQ63"/>
  <c r="CP63"/>
  <c r="CO63"/>
  <c r="CN63"/>
  <c r="CQ3"/>
  <c r="CP3"/>
  <c r="CO3"/>
  <c r="CN3"/>
  <c r="N58" i="5"/>
  <c r="G58"/>
  <c r="R4"/>
  <c r="I4"/>
  <c r="CU227" i="2" l="1"/>
  <c r="CU235"/>
  <c r="CU236"/>
  <c r="CV42"/>
  <c r="CV53"/>
  <c r="K53" i="1" s="1"/>
  <c r="CV40" i="2"/>
  <c r="CV24"/>
  <c r="K24" i="1" s="1"/>
  <c r="CV10" i="2"/>
  <c r="K10" i="1" s="1"/>
  <c r="CV30" i="2"/>
  <c r="K55" i="1" s="1"/>
  <c r="CV48" i="2"/>
  <c r="CV28"/>
  <c r="CV9"/>
  <c r="K9" i="1" s="1"/>
  <c r="CV51" i="2"/>
  <c r="K76" i="1" s="1"/>
  <c r="CV29" i="2"/>
  <c r="K54" i="1" s="1"/>
  <c r="CV38" i="2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1" i="2"/>
  <c r="CU192"/>
  <c r="CU193"/>
  <c r="CU194"/>
  <c r="CU211"/>
  <c r="CU199"/>
  <c r="CU207"/>
  <c r="CU209"/>
  <c r="CU210"/>
  <c r="CU203"/>
  <c r="CU204"/>
  <c r="CU215"/>
  <c r="CU223"/>
  <c r="CU225"/>
  <c r="CU226"/>
  <c r="CU219"/>
  <c r="CU220"/>
  <c r="CU231"/>
  <c r="CU23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89" i="2"/>
  <c r="CU190"/>
  <c r="CU200"/>
  <c r="CU205"/>
  <c r="CU206"/>
  <c r="CU216"/>
  <c r="CU221"/>
  <c r="CU222"/>
  <c r="CU232"/>
  <c r="CU237"/>
  <c r="CU238"/>
  <c r="G59" i="5"/>
  <c r="M59" s="1"/>
  <c r="CB59" s="1"/>
  <c r="CR3" i="2"/>
  <c r="CU197"/>
  <c r="CU198"/>
  <c r="CU208"/>
  <c r="CU213"/>
  <c r="CU214"/>
  <c r="CU224"/>
  <c r="CU229"/>
  <c r="CU230"/>
  <c r="CU240"/>
  <c r="CU196"/>
  <c r="CU201"/>
  <c r="CU202"/>
  <c r="CU212"/>
  <c r="CU217"/>
  <c r="CU218"/>
  <c r="CU228"/>
  <c r="CU233"/>
  <c r="CU23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K51" i="1" l="1"/>
  <c r="K29"/>
  <c r="K38"/>
  <c r="K73"/>
  <c r="K42"/>
  <c r="K40"/>
  <c r="K30"/>
  <c r="K65"/>
  <c r="K48"/>
  <c r="K28"/>
  <c r="K63"/>
  <c r="CV49" i="2"/>
  <c r="CV50"/>
  <c r="K75" i="1" s="1"/>
  <c r="CV46" i="2"/>
  <c r="K46" i="1" s="1"/>
  <c r="CV52" i="2"/>
  <c r="K52" i="1" s="1"/>
  <c r="CV39" i="2"/>
  <c r="K64" i="1" s="1"/>
  <c r="CV45" i="2"/>
  <c r="K45" i="1" s="1"/>
  <c r="CV37" i="2"/>
  <c r="K62" i="1" s="1"/>
  <c r="CV47" i="2"/>
  <c r="K47" i="1" s="1"/>
  <c r="CV43" i="2"/>
  <c r="CV44"/>
  <c r="K44" i="1" s="1"/>
  <c r="CV31" i="2"/>
  <c r="K56" i="1" s="1"/>
  <c r="CV27" i="2"/>
  <c r="K27" i="1" s="1"/>
  <c r="CV32" i="2"/>
  <c r="K57" i="1" s="1"/>
  <c r="CV20" i="2"/>
  <c r="K20" i="1" s="1"/>
  <c r="CV26" i="2"/>
  <c r="K26" i="1" s="1"/>
  <c r="CV36" i="2"/>
  <c r="K61" i="1" s="1"/>
  <c r="CV35" i="2"/>
  <c r="K60" i="1" s="1"/>
  <c r="CV21" i="2"/>
  <c r="K21" i="1" s="1"/>
  <c r="CV25" i="2"/>
  <c r="K25" i="1" s="1"/>
  <c r="CV34" i="2"/>
  <c r="K59" i="1" s="1"/>
  <c r="CV33" i="2"/>
  <c r="K58" i="1" s="1"/>
  <c r="CV22" i="2"/>
  <c r="K22" i="1" s="1"/>
  <c r="CV23" i="2"/>
  <c r="K23" i="1" s="1"/>
  <c r="CV19" i="2"/>
  <c r="K19" i="1" s="1"/>
  <c r="CV7" i="2"/>
  <c r="K7" i="1" s="1"/>
  <c r="CV8" i="2"/>
  <c r="K8" i="1" s="1"/>
  <c r="CV17" i="2"/>
  <c r="K17" i="1" s="1"/>
  <c r="CV15" i="2"/>
  <c r="K15" i="1" s="1"/>
  <c r="CV18" i="2"/>
  <c r="K18" i="1" s="1"/>
  <c r="CV16" i="2"/>
  <c r="K16" i="1" s="1"/>
  <c r="CV14" i="2"/>
  <c r="K14" i="1" s="1"/>
  <c r="CV12" i="2"/>
  <c r="K12" i="1" s="1"/>
  <c r="CV11" i="2"/>
  <c r="K11" i="1" s="1"/>
  <c r="CV13" i="2"/>
  <c r="K13" i="1" s="1"/>
  <c r="CV4" i="2"/>
  <c r="K4" i="1" s="1"/>
  <c r="CV6" i="2"/>
  <c r="K6" i="1" s="1"/>
  <c r="CV5" i="2"/>
  <c r="K5" i="1" s="1"/>
  <c r="CV3" i="2"/>
  <c r="K3" i="1" s="1"/>
  <c r="G60" i="5"/>
  <c r="M60" s="1"/>
  <c r="CB60" s="1"/>
  <c r="N60"/>
  <c r="X60" s="1"/>
  <c r="CC60" s="1"/>
  <c r="I5"/>
  <c r="M5" s="1"/>
  <c r="CB5" s="1"/>
  <c r="R5"/>
  <c r="X5" s="1"/>
  <c r="CC5" s="1"/>
  <c r="K77" i="1" l="1"/>
  <c r="K33"/>
  <c r="K68"/>
  <c r="K43"/>
  <c r="K31"/>
  <c r="K66"/>
  <c r="K32"/>
  <c r="K67"/>
  <c r="K49"/>
  <c r="K50"/>
  <c r="K36"/>
  <c r="K71"/>
  <c r="K35"/>
  <c r="K70"/>
  <c r="K39"/>
  <c r="K74"/>
  <c r="K37"/>
  <c r="K72"/>
  <c r="K34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<sst xmlns="http://schemas.openxmlformats.org/spreadsheetml/2006/main" count="3703" uniqueCount="920">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</sst>
</file>

<file path=xl/styles.xml><?xml version="1.0" encoding="utf-8"?>
<styleSheet xmlns="http://schemas.openxmlformats.org/spreadsheetml/2006/main">
  <fonts count="20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09"/>
  <sheetViews>
    <sheetView tabSelected="1" zoomScaleNormal="100" workbookViewId="0">
      <pane xSplit="8" ySplit="2" topLeftCell="I81" activePane="bottomRight" state="frozen"/>
      <selection pane="topRight"/>
      <selection pane="bottomLeft"/>
      <selection pane="bottomRight" activeCell="B82" sqref="B82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123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3" si="30">H97</f>
        <v>境界挑战2</v>
      </c>
      <c r="K97" s="56" t="str">
        <f t="shared" ref="K97:K123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IS01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抽技能DC</v>
      </c>
      <c r="I106" s="63" t="str">
        <f>VLOOKUP(B106,装备!B:CV,99,FALSE)</f>
        <v>抽技能DC</v>
      </c>
      <c r="J106" s="56" t="str">
        <f t="shared" si="30"/>
        <v>抽技能DC</v>
      </c>
      <c r="K106" s="56" t="str">
        <f t="shared" si="31"/>
        <v>抽技能DC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IS02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抽技能B</v>
      </c>
      <c r="I107" s="63" t="str">
        <f>VLOOKUP(B107,装备!B:CV,99,FALSE)</f>
        <v>抽技能B</v>
      </c>
      <c r="J107" s="56" t="str">
        <f t="shared" si="30"/>
        <v>抽技能B</v>
      </c>
      <c r="K107" s="56" t="str">
        <f t="shared" si="31"/>
        <v>抽技能B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1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IS03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抽技能A</v>
      </c>
      <c r="I108" s="63" t="str">
        <f>VLOOKUP(B108,装备!B:CV,99,FALSE)</f>
        <v>抽技能A</v>
      </c>
      <c r="J108" s="56" t="str">
        <f t="shared" si="30"/>
        <v>抽技能A</v>
      </c>
      <c r="K108" s="56" t="str">
        <f t="shared" si="31"/>
        <v>抽技能A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2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IS04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抽技能S</v>
      </c>
      <c r="I109" s="63" t="str">
        <f>VLOOKUP(B109,装备!B:CV,99,FALSE)</f>
        <v>抽技能S</v>
      </c>
      <c r="J109" s="56" t="str">
        <f t="shared" si="30"/>
        <v>抽技能S</v>
      </c>
      <c r="K109" s="56" t="str">
        <f t="shared" si="31"/>
        <v>抽技能S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3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IH00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觉醒兽魂</v>
      </c>
      <c r="I110" s="63" t="str">
        <f>VLOOKUP(B110,装备!B:CV,99,FALSE)</f>
        <v>觉醒兽魂</v>
      </c>
      <c r="J110" s="56" t="str">
        <f t="shared" si="30"/>
        <v>觉醒兽魂</v>
      </c>
      <c r="K110" s="56" t="str">
        <f t="shared" si="31"/>
        <v>觉醒兽魂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3</v>
      </c>
      <c r="Q110" s="63">
        <v>2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IH01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兽魂1</v>
      </c>
      <c r="I111" s="63" t="str">
        <f>VLOOKUP(B111,装备!B:CV,99,FALSE)</f>
        <v>觉醒兽魂</v>
      </c>
      <c r="J111" s="56" t="str">
        <f t="shared" si="30"/>
        <v>兽魂1</v>
      </c>
      <c r="K111" s="56" t="str">
        <f t="shared" si="31"/>
        <v>觉醒兽魂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IH02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兽魂2</v>
      </c>
      <c r="I112" s="63" t="str">
        <f>VLOOKUP(B112,装备!B:CV,99,FALSE)</f>
        <v>觉醒兽魂</v>
      </c>
      <c r="J112" s="56" t="str">
        <f t="shared" si="30"/>
        <v>兽魂2</v>
      </c>
      <c r="K112" s="56" t="str">
        <f t="shared" si="31"/>
        <v>觉醒兽魂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1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IH03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兽魂3</v>
      </c>
      <c r="I113" s="63" t="str">
        <f>VLOOKUP(B113,装备!B:CV,99,FALSE)</f>
        <v>觉醒兽魂</v>
      </c>
      <c r="J113" s="56" t="str">
        <f t="shared" si="30"/>
        <v>兽魂3</v>
      </c>
      <c r="K113" s="56" t="str">
        <f t="shared" si="31"/>
        <v>觉醒兽魂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2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IH04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兽魂4</v>
      </c>
      <c r="I114" s="63" t="str">
        <f>VLOOKUP(B114,装备!B:CV,99,FALSE)</f>
        <v>觉醒兽魂</v>
      </c>
      <c r="J114" s="56" t="str">
        <f t="shared" si="30"/>
        <v>兽魂4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IH05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兽魂5</v>
      </c>
      <c r="I115" s="63" t="str">
        <f>VLOOKUP(B115,装备!B:CV,99,FALSE)</f>
        <v>觉醒兽魂</v>
      </c>
      <c r="J115" s="56" t="str">
        <f t="shared" si="30"/>
        <v>兽魂5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1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IH06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兽魂6</v>
      </c>
      <c r="I116" s="63" t="str">
        <f>VLOOKUP(B116,装备!B:CV,99,FALSE)</f>
        <v>觉醒兽魂</v>
      </c>
      <c r="J116" s="56" t="str">
        <f t="shared" si="30"/>
        <v>兽魂6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IH07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兽魂7</v>
      </c>
      <c r="I117" s="63" t="str">
        <f>VLOOKUP(B117,装备!B:CV,99,FALSE)</f>
        <v>觉醒兽魂</v>
      </c>
      <c r="J117" s="56" t="str">
        <f t="shared" si="30"/>
        <v>兽魂7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1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IH08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兽魂8</v>
      </c>
      <c r="I118" s="63" t="str">
        <f>VLOOKUP(B118,装备!B:CV,99,FALSE)</f>
        <v>觉醒兽魂</v>
      </c>
      <c r="J118" s="56" t="str">
        <f t="shared" si="30"/>
        <v>兽魂8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1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IB01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入群礼包</v>
      </c>
      <c r="I119" s="63" t="str">
        <f>VLOOKUP(B119,装备!B:CV,99,FALSE)</f>
        <v>入群礼包</v>
      </c>
      <c r="J119" s="56" t="str">
        <f t="shared" si="30"/>
        <v>入群礼包</v>
      </c>
      <c r="K119" s="56" t="str">
        <f t="shared" si="31"/>
        <v>入群礼包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IB02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公众号礼包</v>
      </c>
      <c r="I120" s="63" t="str">
        <f>VLOOKUP(B120,装备!B:CV,99,FALSE)</f>
        <v>公众号礼包</v>
      </c>
      <c r="J120" s="56" t="str">
        <f t="shared" si="30"/>
        <v>公众号礼包</v>
      </c>
      <c r="K120" s="56" t="str">
        <f t="shared" si="31"/>
        <v>公众号礼包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IB03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好评礼包</v>
      </c>
      <c r="I121" s="63" t="str">
        <f>VLOOKUP(B121,装备!B:CV,99,FALSE)</f>
        <v>好评礼包</v>
      </c>
      <c r="J121" s="56" t="str">
        <f t="shared" si="30"/>
        <v>好评礼包</v>
      </c>
      <c r="K121" s="56" t="str">
        <f t="shared" si="31"/>
        <v>好评礼包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IB04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老铁礼包</v>
      </c>
      <c r="I122" s="63" t="str">
        <f>VLOOKUP(B122,装备!B:CV,99,FALSE)</f>
        <v>老铁礼包</v>
      </c>
      <c r="J122" s="56" t="str">
        <f t="shared" si="30"/>
        <v>老铁礼包</v>
      </c>
      <c r="K122" s="56" t="str">
        <f t="shared" si="31"/>
        <v>老铁礼包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IB05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工会礼包</v>
      </c>
      <c r="I123" s="63" t="str">
        <f>VLOOKUP(B123,装备!B:CV,99,FALSE)</f>
        <v>工会礼包</v>
      </c>
      <c r="J123" s="56" t="str">
        <f t="shared" si="30"/>
        <v>工会礼包</v>
      </c>
      <c r="K123" s="56" t="str">
        <f t="shared" si="31"/>
        <v>工会礼包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/>
      <c r="C124" s="63"/>
      <c r="D124" s="63"/>
      <c r="E124" s="66"/>
      <c r="F124" s="63"/>
      <c r="G124" s="63"/>
      <c r="H124" s="63"/>
      <c r="I124" s="63"/>
      <c r="J124" s="56"/>
      <c r="K124" s="56"/>
      <c r="L124" s="63"/>
      <c r="M124" s="65"/>
      <c r="N124" s="83"/>
      <c r="O124" s="84"/>
      <c r="P124" s="63"/>
      <c r="Q124" s="63"/>
      <c r="R124" s="83"/>
      <c r="S124" s="83"/>
      <c r="T124" s="83"/>
      <c r="U124" s="83"/>
      <c r="V124" s="63"/>
      <c r="W124" s="83"/>
      <c r="X124" s="63"/>
      <c r="Y124" s="8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</row>
    <row r="125" spans="1:42">
      <c r="A125" s="62"/>
      <c r="B125" s="63"/>
      <c r="C125" s="63"/>
      <c r="D125" s="63"/>
      <c r="E125" s="66"/>
      <c r="F125" s="63"/>
      <c r="G125" s="63"/>
      <c r="H125" s="63"/>
      <c r="I125" s="63"/>
      <c r="J125" s="56"/>
      <c r="K125" s="56"/>
      <c r="L125" s="63"/>
      <c r="M125" s="65"/>
      <c r="N125" s="83"/>
      <c r="O125" s="84"/>
      <c r="P125" s="63"/>
      <c r="Q125" s="63"/>
      <c r="R125" s="83"/>
      <c r="S125" s="83"/>
      <c r="T125" s="83"/>
      <c r="U125" s="83"/>
      <c r="V125" s="63"/>
      <c r="W125" s="83"/>
      <c r="X125" s="63"/>
      <c r="Y125" s="8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</row>
    <row r="126" spans="1:42">
      <c r="A126" s="62"/>
      <c r="B126" s="63"/>
      <c r="C126" s="63"/>
      <c r="D126" s="63"/>
      <c r="E126" s="66"/>
      <c r="F126" s="63"/>
      <c r="G126" s="63"/>
      <c r="H126" s="63"/>
      <c r="I126" s="63"/>
      <c r="J126" s="56"/>
      <c r="K126" s="56"/>
      <c r="L126" s="63"/>
      <c r="M126" s="65"/>
      <c r="N126" s="83"/>
      <c r="O126" s="84"/>
      <c r="P126" s="63"/>
      <c r="Q126" s="63"/>
      <c r="R126" s="83"/>
      <c r="S126" s="83"/>
      <c r="T126" s="83"/>
      <c r="U126" s="83"/>
      <c r="V126" s="63"/>
      <c r="W126" s="83"/>
      <c r="X126" s="63"/>
      <c r="Y126" s="8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</row>
    <row r="127" spans="1:42">
      <c r="A127" s="62"/>
      <c r="B127" s="63"/>
      <c r="C127" s="63"/>
      <c r="D127" s="63"/>
      <c r="E127" s="66"/>
      <c r="F127" s="63"/>
      <c r="G127" s="63"/>
      <c r="H127" s="63"/>
      <c r="I127" s="63"/>
      <c r="J127" s="56"/>
      <c r="K127" s="56"/>
      <c r="L127" s="63"/>
      <c r="M127" s="65"/>
      <c r="N127" s="83"/>
      <c r="O127" s="84"/>
      <c r="P127" s="63"/>
      <c r="Q127" s="63"/>
      <c r="R127" s="83"/>
      <c r="S127" s="83"/>
      <c r="T127" s="83"/>
      <c r="U127" s="83"/>
      <c r="V127" s="63"/>
      <c r="W127" s="83"/>
      <c r="X127" s="63"/>
      <c r="Y127" s="8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66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66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66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66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B199" s="67"/>
      <c r="C199" s="63"/>
      <c r="D199" s="63"/>
      <c r="E199" s="66"/>
      <c r="H199" s="63"/>
      <c r="J199" s="56"/>
      <c r="K199" s="63"/>
      <c r="L199" s="63"/>
      <c r="O199" s="65"/>
      <c r="P199" s="63"/>
      <c r="Q199" s="63"/>
      <c r="W199" s="58"/>
      <c r="X199" s="58"/>
      <c r="Z199" s="63"/>
      <c r="AA199" s="63"/>
      <c r="AB199" s="58"/>
      <c r="AC199" s="63"/>
      <c r="AD199" s="63"/>
      <c r="AI199" s="63"/>
      <c r="AJ199" s="63"/>
      <c r="AK199" s="63"/>
      <c r="AO199" s="63"/>
      <c r="AP199" s="63"/>
    </row>
    <row r="200" spans="1:42">
      <c r="B200" s="67"/>
      <c r="C200" s="63"/>
      <c r="D200" s="63"/>
      <c r="E200" s="66"/>
      <c r="H200" s="63"/>
      <c r="J200" s="56"/>
      <c r="K200" s="63"/>
      <c r="L200" s="63"/>
      <c r="O200" s="65"/>
      <c r="P200" s="63"/>
      <c r="Q200" s="63"/>
      <c r="W200" s="58"/>
      <c r="X200" s="58"/>
      <c r="Z200" s="63"/>
      <c r="AA200" s="63"/>
      <c r="AB200" s="58"/>
      <c r="AC200" s="63"/>
      <c r="AD200" s="63"/>
      <c r="AI200" s="63"/>
      <c r="AJ200" s="63"/>
      <c r="AK200" s="63"/>
      <c r="AO200" s="63"/>
      <c r="AP200" s="63"/>
    </row>
    <row r="201" spans="1:42">
      <c r="B201" s="67"/>
      <c r="C201" s="63"/>
      <c r="D201" s="63"/>
      <c r="E201" s="66"/>
      <c r="H201" s="63"/>
      <c r="J201" s="56"/>
      <c r="K201" s="63"/>
      <c r="L201" s="63"/>
      <c r="O201" s="65"/>
      <c r="P201" s="63"/>
      <c r="Q201" s="63"/>
      <c r="W201" s="58"/>
      <c r="X201" s="58"/>
      <c r="Z201" s="63"/>
      <c r="AA201" s="63"/>
      <c r="AB201" s="58"/>
      <c r="AC201" s="63"/>
      <c r="AD201" s="63"/>
      <c r="AI201" s="63"/>
      <c r="AJ201" s="63"/>
      <c r="AK201" s="63"/>
      <c r="AO201" s="63"/>
      <c r="AP201" s="63"/>
    </row>
    <row r="202" spans="1:42">
      <c r="B202" s="67"/>
      <c r="C202" s="63"/>
      <c r="D202" s="63"/>
      <c r="E202" s="66"/>
      <c r="H202" s="63"/>
      <c r="J202" s="56"/>
      <c r="K202" s="63"/>
      <c r="L202" s="63"/>
      <c r="O202" s="65"/>
      <c r="P202" s="63"/>
      <c r="Q202" s="63"/>
      <c r="W202" s="58"/>
      <c r="X202" s="58"/>
      <c r="Z202" s="63"/>
      <c r="AA202" s="63"/>
      <c r="AB202" s="58"/>
      <c r="AC202" s="63"/>
      <c r="AD202" s="63"/>
      <c r="AI202" s="63"/>
      <c r="AJ202" s="63"/>
      <c r="AK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58"/>
      <c r="C252" s="63"/>
      <c r="D252" s="63"/>
      <c r="E252" s="66"/>
      <c r="H252" s="63"/>
      <c r="J252" s="56"/>
      <c r="K252" s="63"/>
      <c r="L252" s="63"/>
      <c r="M252" s="68"/>
      <c r="O252" s="65"/>
      <c r="P252" s="63"/>
      <c r="Q252" s="63"/>
      <c r="W252" s="63"/>
      <c r="X252" s="63"/>
      <c r="Z252" s="63"/>
      <c r="AA252" s="63"/>
      <c r="AB252" s="58"/>
      <c r="AC252" s="63"/>
      <c r="AD252" s="63"/>
      <c r="AJ252" s="63"/>
      <c r="AK252" s="63"/>
      <c r="AO252" s="63"/>
      <c r="AP252" s="63"/>
    </row>
    <row r="253" spans="2:42">
      <c r="B253" s="58"/>
      <c r="C253" s="63"/>
      <c r="D253" s="63"/>
      <c r="E253" s="66"/>
      <c r="H253" s="63"/>
      <c r="J253" s="56"/>
      <c r="K253" s="63"/>
      <c r="L253" s="63"/>
      <c r="M253" s="68"/>
      <c r="O253" s="65"/>
      <c r="P253" s="63"/>
      <c r="Q253" s="63"/>
      <c r="W253" s="63"/>
      <c r="X253" s="63"/>
      <c r="Z253" s="63"/>
      <c r="AA253" s="63"/>
      <c r="AB253" s="58"/>
      <c r="AC253" s="63"/>
      <c r="AD253" s="63"/>
      <c r="AJ253" s="63"/>
      <c r="AK253" s="63"/>
      <c r="AO253" s="63"/>
      <c r="AP253" s="63"/>
    </row>
    <row r="254" spans="2:42">
      <c r="B254" s="58"/>
      <c r="C254" s="63"/>
      <c r="D254" s="63"/>
      <c r="E254" s="66"/>
      <c r="H254" s="63"/>
      <c r="J254" s="56"/>
      <c r="K254" s="63"/>
      <c r="L254" s="63"/>
      <c r="M254" s="68"/>
      <c r="O254" s="65"/>
      <c r="P254" s="63"/>
      <c r="Q254" s="63"/>
      <c r="W254" s="63"/>
      <c r="X254" s="63"/>
      <c r="Z254" s="63"/>
      <c r="AA254" s="63"/>
      <c r="AB254" s="58"/>
      <c r="AC254" s="63"/>
      <c r="AD254" s="63"/>
      <c r="AJ254" s="63"/>
      <c r="AK254" s="63"/>
      <c r="AO254" s="63"/>
      <c r="AP254" s="63"/>
    </row>
    <row r="255" spans="2:42">
      <c r="B255" s="58"/>
      <c r="C255" s="63"/>
      <c r="D255" s="63"/>
      <c r="E255" s="66"/>
      <c r="H255" s="63"/>
      <c r="J255" s="56"/>
      <c r="K255" s="63"/>
      <c r="L255" s="63"/>
      <c r="M255" s="68"/>
      <c r="O255" s="65"/>
      <c r="P255" s="63"/>
      <c r="Q255" s="63"/>
      <c r="W255" s="63"/>
      <c r="X255" s="63"/>
      <c r="Z255" s="63"/>
      <c r="AA255" s="63"/>
      <c r="AB255" s="58"/>
      <c r="AC255" s="63"/>
      <c r="AD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P258" s="63"/>
      <c r="Q258" s="63"/>
      <c r="W258" s="63"/>
      <c r="X258" s="63"/>
      <c r="Z258" s="63"/>
      <c r="AA258" s="63"/>
      <c r="AC258" s="63"/>
      <c r="AD258" s="63"/>
      <c r="AI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P259" s="63"/>
      <c r="Q259" s="63"/>
      <c r="W259" s="63"/>
      <c r="X259" s="63"/>
      <c r="Z259" s="63"/>
      <c r="AA259" s="63"/>
      <c r="AC259" s="63"/>
      <c r="AD259" s="63"/>
      <c r="AI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P260" s="63"/>
      <c r="Q260" s="63"/>
      <c r="W260" s="63"/>
      <c r="X260" s="63"/>
      <c r="Z260" s="63"/>
      <c r="AA260" s="63"/>
      <c r="AC260" s="63"/>
      <c r="AD260" s="63"/>
      <c r="AI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P261" s="63"/>
      <c r="Q261" s="63"/>
      <c r="W261" s="63"/>
      <c r="X261" s="63"/>
      <c r="Z261" s="63"/>
      <c r="AA261" s="63"/>
      <c r="AC261" s="63"/>
      <c r="AD261" s="63"/>
      <c r="AI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69"/>
      <c r="K263" s="58"/>
      <c r="L263" s="63"/>
      <c r="M263" s="68"/>
      <c r="O263" s="65"/>
      <c r="P263" s="63"/>
      <c r="Q263" s="63"/>
      <c r="W263" s="58"/>
      <c r="X263" s="63"/>
      <c r="Z263" s="63"/>
      <c r="AA263" s="63"/>
      <c r="AB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69"/>
      <c r="K264" s="58"/>
      <c r="L264" s="63"/>
      <c r="M264" s="68"/>
      <c r="O264" s="65"/>
      <c r="P264" s="63"/>
      <c r="Q264" s="63"/>
      <c r="W264" s="58"/>
      <c r="X264" s="63"/>
      <c r="Z264" s="63"/>
      <c r="AA264" s="63"/>
      <c r="AB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69"/>
      <c r="K265" s="58"/>
      <c r="L265" s="63"/>
      <c r="M265" s="68"/>
      <c r="O265" s="65"/>
      <c r="P265" s="63"/>
      <c r="Q265" s="63"/>
      <c r="W265" s="58"/>
      <c r="X265" s="63"/>
      <c r="Z265" s="63"/>
      <c r="AA265" s="63"/>
      <c r="AB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69"/>
      <c r="K266" s="58"/>
      <c r="L266" s="63"/>
      <c r="M266" s="68"/>
      <c r="O266" s="65"/>
      <c r="P266" s="63"/>
      <c r="Q266" s="63"/>
      <c r="W266" s="58"/>
      <c r="X266" s="63"/>
      <c r="Z266" s="63"/>
      <c r="AA266" s="63"/>
      <c r="AB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R267" s="58"/>
      <c r="S267" s="58"/>
      <c r="T267" s="58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R268" s="58"/>
      <c r="S268" s="58"/>
      <c r="T268" s="58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R269" s="58"/>
      <c r="S269" s="58"/>
      <c r="T269" s="58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R270" s="58"/>
      <c r="S270" s="58"/>
      <c r="T270" s="58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63"/>
      <c r="S279" s="63"/>
      <c r="T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63"/>
      <c r="S280" s="63"/>
      <c r="T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 s="57" customFormat="1">
      <c r="E281" s="66"/>
      <c r="H281" s="63"/>
      <c r="J281" s="56"/>
      <c r="AB281" s="63"/>
    </row>
    <row r="282" spans="2:42" s="57" customFormat="1">
      <c r="E282" s="66"/>
      <c r="H282" s="63"/>
      <c r="J282" s="56"/>
      <c r="AB282" s="63"/>
    </row>
    <row r="283" spans="2:42" s="57" customFormat="1">
      <c r="E283" s="66"/>
      <c r="H283" s="63"/>
      <c r="J283" s="56"/>
      <c r="AB283" s="63"/>
    </row>
    <row r="284" spans="2:42" s="57" customFormat="1">
      <c r="E284" s="66"/>
      <c r="H284" s="63"/>
      <c r="J284" s="56"/>
      <c r="AB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>
      <c r="B299" s="58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63"/>
      <c r="X299" s="63"/>
      <c r="Z299" s="63"/>
      <c r="AA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I300" s="57"/>
      <c r="J300" s="56"/>
      <c r="K300" s="63"/>
      <c r="L300" s="63"/>
      <c r="M300" s="57"/>
      <c r="O300" s="65"/>
      <c r="P300" s="63"/>
      <c r="Q300" s="63"/>
      <c r="W300" s="63"/>
      <c r="X300" s="63"/>
      <c r="Z300" s="63"/>
      <c r="AA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I301" s="57"/>
      <c r="J301" s="56"/>
      <c r="K301" s="63"/>
      <c r="L301" s="63"/>
      <c r="M301" s="57"/>
      <c r="O301" s="65"/>
      <c r="P301" s="63"/>
      <c r="Q301" s="63"/>
      <c r="W301" s="63"/>
      <c r="X301" s="63"/>
      <c r="Z301" s="63"/>
      <c r="AA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I302" s="57"/>
      <c r="J302" s="56"/>
      <c r="K302" s="63"/>
      <c r="L302" s="63"/>
      <c r="M302" s="57"/>
      <c r="O302" s="65"/>
      <c r="P302" s="63"/>
      <c r="Q302" s="63"/>
      <c r="W302" s="63"/>
      <c r="X302" s="63"/>
      <c r="Z302" s="63"/>
      <c r="AA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I303" s="57"/>
      <c r="J303" s="57"/>
      <c r="K303" s="63"/>
      <c r="L303" s="63"/>
      <c r="M303" s="57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7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7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8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8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56"/>
      <c r="K308" s="63"/>
      <c r="L308" s="63"/>
      <c r="M308" s="68"/>
      <c r="O308" s="65"/>
      <c r="P308" s="63"/>
      <c r="Q308" s="63"/>
      <c r="W308" s="58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58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58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58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70"/>
      <c r="O312" s="65"/>
      <c r="P312" s="63"/>
      <c r="Q312" s="63"/>
      <c r="W312" s="63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70"/>
      <c r="O313" s="65"/>
      <c r="P313" s="63"/>
      <c r="Q313" s="63"/>
      <c r="W313" s="63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70"/>
      <c r="O314" s="65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70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7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7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7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I323" s="57"/>
      <c r="J323" s="56"/>
      <c r="K323" s="63"/>
      <c r="L323" s="63"/>
      <c r="M323" s="68"/>
      <c r="O323" s="65"/>
      <c r="P323" s="63"/>
      <c r="Q323" s="63"/>
      <c r="W323" s="58"/>
      <c r="X323" s="63"/>
      <c r="Z323" s="63"/>
      <c r="AA323" s="63"/>
      <c r="AC323" s="63"/>
      <c r="AD323" s="63"/>
      <c r="AJ323" s="63"/>
      <c r="AK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J324" s="63"/>
      <c r="AK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J325" s="63"/>
      <c r="AK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68"/>
      <c r="O326" s="65"/>
      <c r="P326" s="63"/>
      <c r="Q326" s="63"/>
      <c r="W326" s="58"/>
      <c r="X326" s="63"/>
      <c r="Z326" s="63"/>
      <c r="AA326" s="63"/>
      <c r="AC326" s="63"/>
      <c r="AD326" s="63"/>
      <c r="AJ326" s="63"/>
      <c r="AK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/>
      <c r="O340" s="65"/>
      <c r="P340" s="63"/>
      <c r="Q340" s="63"/>
      <c r="W340" s="63"/>
      <c r="X340" s="63"/>
      <c r="Z340" s="63"/>
      <c r="AA340" s="63"/>
      <c r="AB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/>
      <c r="O341" s="65"/>
      <c r="P341" s="63"/>
      <c r="Q341" s="63"/>
      <c r="W341" s="63"/>
      <c r="X341" s="63"/>
      <c r="Z341" s="63"/>
      <c r="AA341" s="63"/>
      <c r="AB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/>
      <c r="O342" s="65"/>
      <c r="P342" s="63"/>
      <c r="Q342" s="63"/>
      <c r="W342" s="63"/>
      <c r="X342" s="63"/>
      <c r="Z342" s="63"/>
      <c r="AA342" s="63"/>
      <c r="AB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/>
      <c r="O343" s="65"/>
      <c r="P343" s="63"/>
      <c r="Q343" s="63"/>
      <c r="W343" s="63"/>
      <c r="X343" s="63"/>
      <c r="Z343" s="63"/>
      <c r="AA343" s="63"/>
      <c r="AB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M364" s="71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M365" s="71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M366" s="71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M367" s="71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58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58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7"/>
      <c r="C384" s="63"/>
      <c r="D384" s="63"/>
      <c r="E384" s="66"/>
      <c r="H384" s="63"/>
      <c r="I384" s="57"/>
      <c r="J384" s="56"/>
      <c r="K384" s="63"/>
      <c r="L384" s="63"/>
      <c r="M384" s="71"/>
      <c r="O384" s="65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7"/>
      <c r="C385" s="63"/>
      <c r="D385" s="63"/>
      <c r="E385" s="66"/>
      <c r="H385" s="63"/>
      <c r="I385" s="57"/>
      <c r="J385" s="56"/>
      <c r="K385" s="63"/>
      <c r="L385" s="63"/>
      <c r="M385" s="71"/>
      <c r="O385" s="65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7"/>
      <c r="C386" s="63"/>
      <c r="D386" s="63"/>
      <c r="E386" s="66"/>
      <c r="H386" s="63"/>
      <c r="I386" s="57"/>
      <c r="J386" s="56"/>
      <c r="K386" s="63"/>
      <c r="L386" s="63"/>
      <c r="M386" s="71"/>
      <c r="O386" s="65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7"/>
      <c r="C387" s="63"/>
      <c r="D387" s="63"/>
      <c r="E387" s="66"/>
      <c r="H387" s="63"/>
      <c r="I387" s="57"/>
      <c r="J387" s="56"/>
      <c r="K387" s="63"/>
      <c r="L387" s="63"/>
      <c r="M387" s="71"/>
      <c r="O387" s="65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O403" s="65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O404" s="65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O405" s="65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O406" s="65"/>
      <c r="P406" s="63"/>
      <c r="Q406" s="63"/>
      <c r="W406" s="58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I414" s="63"/>
      <c r="J414" s="56"/>
      <c r="K414" s="63"/>
      <c r="L414" s="63"/>
      <c r="N414" s="58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I415" s="63"/>
      <c r="J415" s="56"/>
      <c r="K415" s="63"/>
      <c r="L415" s="63"/>
      <c r="N415" s="58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I416" s="63"/>
      <c r="J416" s="56"/>
      <c r="K416" s="63"/>
      <c r="L416" s="63"/>
      <c r="N416" s="58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I417" s="63"/>
      <c r="J417" s="56"/>
      <c r="K417" s="63"/>
      <c r="L417" s="63"/>
      <c r="N417" s="58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 s="59" customFormat="1">
      <c r="B418" s="72"/>
      <c r="C418" s="73"/>
      <c r="D418" s="73"/>
      <c r="E418" s="66"/>
      <c r="H418" s="63"/>
      <c r="I418" s="73"/>
      <c r="J418" s="74"/>
      <c r="K418" s="73"/>
      <c r="L418" s="73"/>
      <c r="M418" s="68"/>
      <c r="P418" s="73"/>
      <c r="Q418" s="73"/>
      <c r="W418" s="73"/>
      <c r="X418" s="73"/>
      <c r="Z418" s="73"/>
      <c r="AA418" s="63"/>
      <c r="AC418" s="73"/>
      <c r="AD418" s="73"/>
      <c r="AI418" s="73"/>
      <c r="AJ418" s="73"/>
      <c r="AK418" s="73"/>
      <c r="AN418" s="72"/>
      <c r="AO418" s="73"/>
      <c r="AP418" s="73"/>
    </row>
    <row r="419" spans="2:42" s="59" customFormat="1">
      <c r="B419" s="72"/>
      <c r="C419" s="73"/>
      <c r="D419" s="73"/>
      <c r="E419" s="66"/>
      <c r="H419" s="63"/>
      <c r="I419" s="73"/>
      <c r="J419" s="74"/>
      <c r="K419" s="73"/>
      <c r="L419" s="73"/>
      <c r="M419" s="68"/>
      <c r="P419" s="73"/>
      <c r="Q419" s="73"/>
      <c r="W419" s="73"/>
      <c r="X419" s="73"/>
      <c r="Z419" s="73"/>
      <c r="AA419" s="63"/>
      <c r="AC419" s="73"/>
      <c r="AD419" s="73"/>
      <c r="AI419" s="73"/>
      <c r="AJ419" s="73"/>
      <c r="AK419" s="73"/>
      <c r="AN419" s="72"/>
      <c r="AO419" s="73"/>
      <c r="AP419" s="7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I422" s="63"/>
      <c r="J422" s="56"/>
      <c r="K422" s="63"/>
      <c r="L422" s="63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I423" s="63"/>
      <c r="J423" s="56"/>
      <c r="K423" s="63"/>
      <c r="L423" s="63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57"/>
      <c r="J439" s="56"/>
      <c r="K439" s="63"/>
      <c r="L439" s="63"/>
      <c r="P439" s="63"/>
      <c r="Q439" s="63"/>
      <c r="V439" s="63"/>
      <c r="W439" s="58"/>
      <c r="X439" s="63"/>
      <c r="Z439" s="63"/>
      <c r="AA439" s="63"/>
      <c r="AB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56"/>
      <c r="J440" s="56"/>
      <c r="K440" s="63"/>
      <c r="L440" s="63"/>
      <c r="P440" s="63"/>
      <c r="Q440" s="63"/>
      <c r="V440" s="63"/>
      <c r="W440" s="58"/>
      <c r="X440" s="63"/>
      <c r="Z440" s="63"/>
      <c r="AA440" s="63"/>
      <c r="AB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56"/>
      <c r="J441" s="56"/>
      <c r="K441" s="63"/>
      <c r="L441" s="63"/>
      <c r="P441" s="63"/>
      <c r="Q441" s="63"/>
      <c r="V441" s="63"/>
      <c r="W441" s="58"/>
      <c r="X441" s="63"/>
      <c r="Z441" s="63"/>
      <c r="AA441" s="63"/>
      <c r="AB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56"/>
      <c r="J442" s="56"/>
      <c r="K442" s="63"/>
      <c r="L442" s="63"/>
      <c r="P442" s="63"/>
      <c r="Q442" s="63"/>
      <c r="V442" s="63"/>
      <c r="W442" s="58"/>
      <c r="X442" s="63"/>
      <c r="Z442" s="63"/>
      <c r="AA442" s="63"/>
      <c r="AB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6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63"/>
      <c r="C448" s="63"/>
      <c r="D448" s="63"/>
      <c r="E448" s="66"/>
      <c r="F448" s="63"/>
      <c r="G448" s="63"/>
      <c r="H448" s="63"/>
      <c r="I448" s="63"/>
      <c r="J448" s="56"/>
      <c r="K448" s="56"/>
      <c r="L448" s="63"/>
      <c r="M448" s="65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</row>
    <row r="449" spans="2:42">
      <c r="B449" s="63"/>
      <c r="C449" s="63"/>
      <c r="D449" s="63"/>
      <c r="E449" s="66"/>
      <c r="F449" s="63"/>
      <c r="G449" s="63"/>
      <c r="H449" s="63"/>
      <c r="I449" s="63"/>
      <c r="J449" s="56"/>
      <c r="K449" s="56"/>
      <c r="L449" s="63"/>
      <c r="M449" s="65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</row>
    <row r="450" spans="2:42">
      <c r="B450" s="63"/>
      <c r="C450" s="63"/>
      <c r="D450" s="63"/>
      <c r="E450" s="66"/>
      <c r="F450" s="63"/>
      <c r="G450" s="63"/>
      <c r="H450" s="63"/>
      <c r="I450" s="63"/>
      <c r="J450" s="56"/>
      <c r="K450" s="56"/>
      <c r="L450" s="63"/>
      <c r="M450" s="65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</row>
    <row r="451" spans="2:42">
      <c r="B451" s="63"/>
      <c r="C451" s="63"/>
      <c r="D451" s="63"/>
      <c r="E451" s="66"/>
      <c r="F451" s="63"/>
      <c r="G451" s="63"/>
      <c r="H451" s="63"/>
      <c r="I451" s="63"/>
      <c r="J451" s="56"/>
      <c r="K451" s="56"/>
      <c r="L451" s="63"/>
      <c r="M451" s="65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H455" s="63"/>
      <c r="I455" s="56"/>
      <c r="J455" s="56"/>
      <c r="K455" s="63"/>
      <c r="L455" s="63"/>
      <c r="M455" s="75"/>
      <c r="O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63"/>
      <c r="C456" s="63"/>
      <c r="D456" s="63"/>
      <c r="E456" s="66"/>
      <c r="H456" s="63"/>
      <c r="I456" s="56"/>
      <c r="J456" s="56"/>
      <c r="K456" s="63"/>
      <c r="L456" s="63"/>
      <c r="M456" s="75"/>
      <c r="O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63"/>
      <c r="C457" s="63"/>
      <c r="D457" s="63"/>
      <c r="E457" s="66"/>
      <c r="H457" s="63"/>
      <c r="I457" s="56"/>
      <c r="J457" s="56"/>
      <c r="K457" s="63"/>
      <c r="L457" s="63"/>
      <c r="M457" s="76"/>
      <c r="O457" s="63"/>
      <c r="P457" s="63"/>
      <c r="Q457" s="63"/>
      <c r="W457" s="63"/>
      <c r="X457" s="63"/>
      <c r="Z457" s="63"/>
      <c r="AA457" s="63"/>
      <c r="AC457" s="63"/>
      <c r="AD457" s="63"/>
      <c r="AI457" s="58"/>
      <c r="AJ457" s="63"/>
      <c r="AK457" s="63"/>
      <c r="AO457" s="63"/>
      <c r="AP457" s="63"/>
    </row>
    <row r="458" spans="2:42">
      <c r="B458" s="63"/>
      <c r="C458" s="63"/>
      <c r="D458" s="63"/>
      <c r="E458" s="66"/>
      <c r="H458" s="63"/>
      <c r="I458" s="56"/>
      <c r="J458" s="56"/>
      <c r="K458" s="63"/>
      <c r="L458" s="63"/>
      <c r="M458" s="75"/>
      <c r="O458" s="63"/>
      <c r="P458" s="63"/>
      <c r="Q458" s="63"/>
      <c r="W458" s="63"/>
      <c r="X458" s="63"/>
      <c r="Z458" s="63"/>
      <c r="AA458" s="63"/>
      <c r="AC458" s="63"/>
      <c r="AD458" s="63"/>
      <c r="AI458" s="58"/>
      <c r="AJ458" s="63"/>
      <c r="AK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63"/>
      <c r="J460" s="56"/>
      <c r="K460" s="63"/>
      <c r="L460" s="63"/>
      <c r="M460" s="75"/>
      <c r="N460" s="58"/>
      <c r="O460" s="77"/>
      <c r="P460" s="63"/>
      <c r="Q460" s="63"/>
      <c r="W460" s="63"/>
      <c r="X460" s="63"/>
      <c r="Z460" s="63"/>
      <c r="AA460" s="63"/>
      <c r="AB460" s="63"/>
      <c r="AC460" s="63"/>
      <c r="AD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63"/>
      <c r="J461" s="56"/>
      <c r="K461" s="63"/>
      <c r="L461" s="63"/>
      <c r="M461" s="75"/>
      <c r="N461" s="58"/>
      <c r="O461" s="77"/>
      <c r="P461" s="63"/>
      <c r="Q461" s="63"/>
      <c r="W461" s="63"/>
      <c r="X461" s="63"/>
      <c r="Z461" s="63"/>
      <c r="AA461" s="63"/>
      <c r="AB461" s="63"/>
      <c r="AC461" s="63"/>
      <c r="AD461" s="63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63"/>
      <c r="J462" s="56"/>
      <c r="K462" s="63"/>
      <c r="L462" s="63"/>
      <c r="M462" s="75"/>
      <c r="N462" s="58"/>
      <c r="O462" s="77"/>
      <c r="P462" s="63"/>
      <c r="Q462" s="63"/>
      <c r="W462" s="63"/>
      <c r="X462" s="63"/>
      <c r="Z462" s="63"/>
      <c r="AA462" s="63"/>
      <c r="AB462" s="63"/>
      <c r="AC462" s="63"/>
      <c r="AD462" s="63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63"/>
      <c r="J463" s="56"/>
      <c r="K463" s="63"/>
      <c r="L463" s="63"/>
      <c r="M463" s="75"/>
      <c r="N463" s="58"/>
      <c r="O463" s="77"/>
      <c r="P463" s="63"/>
      <c r="Q463" s="63"/>
      <c r="W463" s="63"/>
      <c r="X463" s="63"/>
      <c r="Z463" s="63"/>
      <c r="AA463" s="63"/>
      <c r="AB463" s="63"/>
      <c r="AC463" s="63"/>
      <c r="AD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6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6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6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6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7"/>
      <c r="O510" s="62"/>
      <c r="P510" s="63"/>
      <c r="Q510" s="63"/>
      <c r="V510" s="63"/>
      <c r="W510" s="58"/>
      <c r="X510" s="63"/>
      <c r="Z510" s="63"/>
      <c r="AA510" s="63"/>
      <c r="AC510" s="63"/>
      <c r="AD510" s="63"/>
      <c r="AJ510" s="63"/>
      <c r="AK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7"/>
      <c r="O511" s="62"/>
      <c r="P511" s="63"/>
      <c r="Q511" s="63"/>
      <c r="V511" s="63"/>
      <c r="W511" s="58"/>
      <c r="X511" s="63"/>
      <c r="Z511" s="63"/>
      <c r="AA511" s="63"/>
      <c r="AB511" s="63"/>
      <c r="AC511" s="63"/>
      <c r="AD511" s="63"/>
      <c r="AJ511" s="63"/>
      <c r="AK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7"/>
      <c r="O512" s="62"/>
      <c r="P512" s="63"/>
      <c r="Q512" s="63"/>
      <c r="V512" s="63"/>
      <c r="W512" s="58"/>
      <c r="X512" s="63"/>
      <c r="Z512" s="63"/>
      <c r="AA512" s="63"/>
      <c r="AB512" s="63"/>
      <c r="AC512" s="63"/>
      <c r="AD512" s="63"/>
      <c r="AJ512" s="63"/>
      <c r="AK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7"/>
      <c r="O513" s="62"/>
      <c r="P513" s="63"/>
      <c r="Q513" s="63"/>
      <c r="V513" s="63"/>
      <c r="W513" s="58"/>
      <c r="X513" s="63"/>
      <c r="Z513" s="63"/>
      <c r="AA513" s="63"/>
      <c r="AB513" s="63"/>
      <c r="AC513" s="63"/>
      <c r="AD513" s="63"/>
      <c r="AJ513" s="63"/>
      <c r="AK513" s="63"/>
    </row>
    <row r="514" spans="2:42" s="60" customFormat="1">
      <c r="B514" s="78"/>
      <c r="C514" s="78"/>
      <c r="D514" s="78"/>
      <c r="E514" s="66"/>
      <c r="H514" s="63"/>
      <c r="I514" s="78"/>
      <c r="J514" s="79"/>
      <c r="K514" s="78"/>
      <c r="L514" s="78"/>
      <c r="M514" s="80"/>
      <c r="O514" s="81"/>
      <c r="P514" s="78"/>
      <c r="Q514" s="78"/>
      <c r="V514" s="78"/>
      <c r="W514" s="82"/>
      <c r="X514" s="78"/>
      <c r="Z514" s="78"/>
      <c r="AA514" s="78"/>
      <c r="AC514" s="78"/>
      <c r="AD514" s="78"/>
      <c r="AJ514" s="78"/>
      <c r="AK514" s="78"/>
      <c r="AN514" s="82"/>
    </row>
    <row r="515" spans="2:42" s="60" customFormat="1">
      <c r="B515" s="78"/>
      <c r="C515" s="78"/>
      <c r="D515" s="78"/>
      <c r="E515" s="66"/>
      <c r="H515" s="63"/>
      <c r="I515" s="78"/>
      <c r="J515" s="79"/>
      <c r="K515" s="78"/>
      <c r="L515" s="78"/>
      <c r="M515" s="80"/>
      <c r="O515" s="81"/>
      <c r="P515" s="78"/>
      <c r="Q515" s="78"/>
      <c r="V515" s="78"/>
      <c r="W515" s="82"/>
      <c r="X515" s="78"/>
      <c r="Z515" s="78"/>
      <c r="AA515" s="78"/>
      <c r="AC515" s="78"/>
      <c r="AD515" s="78"/>
      <c r="AJ515" s="78"/>
      <c r="AK515" s="78"/>
      <c r="AN515" s="82"/>
    </row>
    <row r="516" spans="2:42" s="60" customFormat="1">
      <c r="B516" s="78"/>
      <c r="C516" s="78"/>
      <c r="D516" s="78"/>
      <c r="E516" s="66"/>
      <c r="H516" s="63"/>
      <c r="I516" s="78"/>
      <c r="J516" s="79"/>
      <c r="K516" s="78"/>
      <c r="L516" s="78"/>
      <c r="M516" s="80"/>
      <c r="O516" s="81"/>
      <c r="P516" s="78"/>
      <c r="Q516" s="78"/>
      <c r="V516" s="78"/>
      <c r="W516" s="82"/>
      <c r="X516" s="78"/>
      <c r="Z516" s="78"/>
      <c r="AA516" s="78"/>
      <c r="AC516" s="78"/>
      <c r="AD516" s="78"/>
      <c r="AJ516" s="78"/>
      <c r="AK516" s="78"/>
      <c r="AN516" s="82"/>
    </row>
    <row r="517" spans="2:42" s="60" customFormat="1">
      <c r="B517" s="78"/>
      <c r="C517" s="78"/>
      <c r="D517" s="78"/>
      <c r="E517" s="66"/>
      <c r="H517" s="63"/>
      <c r="I517" s="78"/>
      <c r="J517" s="79"/>
      <c r="K517" s="78"/>
      <c r="L517" s="78"/>
      <c r="M517" s="80"/>
      <c r="O517" s="81"/>
      <c r="P517" s="78"/>
      <c r="Q517" s="78"/>
      <c r="V517" s="78"/>
      <c r="W517" s="82"/>
      <c r="X517" s="78"/>
      <c r="Z517" s="78"/>
      <c r="AA517" s="78"/>
      <c r="AC517" s="78"/>
      <c r="AD517" s="78"/>
      <c r="AJ517" s="78"/>
      <c r="AK517" s="78"/>
      <c r="AN517" s="82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7"/>
      <c r="O518" s="62"/>
      <c r="P518" s="63"/>
      <c r="Q518" s="63"/>
      <c r="W518" s="63"/>
      <c r="X518" s="63"/>
      <c r="Z518" s="63"/>
      <c r="AA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7"/>
      <c r="O519" s="62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7"/>
      <c r="O520" s="62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7"/>
      <c r="O521" s="62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 s="60" customFormat="1">
      <c r="B522" s="78"/>
      <c r="C522" s="78"/>
      <c r="D522" s="78"/>
      <c r="E522" s="66"/>
      <c r="H522" s="63"/>
      <c r="I522" s="78"/>
      <c r="J522" s="79"/>
      <c r="K522" s="78"/>
      <c r="L522" s="78"/>
      <c r="M522" s="80"/>
      <c r="O522" s="81"/>
      <c r="P522" s="78"/>
      <c r="Q522" s="78"/>
      <c r="W522" s="78"/>
      <c r="X522" s="78"/>
      <c r="Z522" s="78"/>
      <c r="AA522" s="78"/>
      <c r="AC522" s="78"/>
      <c r="AD522" s="78"/>
      <c r="AJ522" s="78"/>
      <c r="AK522" s="78"/>
      <c r="AN522" s="82"/>
      <c r="AO522" s="78"/>
      <c r="AP522" s="78"/>
    </row>
    <row r="523" spans="2:42" s="60" customFormat="1">
      <c r="B523" s="78"/>
      <c r="C523" s="78"/>
      <c r="D523" s="78"/>
      <c r="E523" s="66"/>
      <c r="H523" s="63"/>
      <c r="I523" s="78"/>
      <c r="J523" s="79"/>
      <c r="K523" s="78"/>
      <c r="L523" s="78"/>
      <c r="M523" s="80"/>
      <c r="O523" s="81"/>
      <c r="P523" s="78"/>
      <c r="Q523" s="78"/>
      <c r="W523" s="78"/>
      <c r="X523" s="78"/>
      <c r="Z523" s="78"/>
      <c r="AA523" s="78"/>
      <c r="AC523" s="78"/>
      <c r="AD523" s="78"/>
      <c r="AJ523" s="78"/>
      <c r="AK523" s="78"/>
      <c r="AN523" s="82"/>
      <c r="AO523" s="78"/>
      <c r="AP523" s="78"/>
    </row>
    <row r="524" spans="2:42" s="60" customFormat="1">
      <c r="B524" s="78"/>
      <c r="C524" s="78"/>
      <c r="D524" s="78"/>
      <c r="E524" s="66"/>
      <c r="H524" s="63"/>
      <c r="I524" s="78"/>
      <c r="J524" s="79"/>
      <c r="K524" s="78"/>
      <c r="L524" s="78"/>
      <c r="M524" s="80"/>
      <c r="O524" s="81"/>
      <c r="P524" s="78"/>
      <c r="Q524" s="78"/>
      <c r="W524" s="78"/>
      <c r="X524" s="78"/>
      <c r="Z524" s="78"/>
      <c r="AA524" s="78"/>
      <c r="AC524" s="78"/>
      <c r="AD524" s="78"/>
      <c r="AJ524" s="78"/>
      <c r="AK524" s="78"/>
      <c r="AN524" s="82"/>
      <c r="AO524" s="78"/>
      <c r="AP524" s="78"/>
    </row>
    <row r="525" spans="2:42" s="60" customFormat="1">
      <c r="B525" s="78"/>
      <c r="C525" s="78"/>
      <c r="D525" s="78"/>
      <c r="E525" s="66"/>
      <c r="H525" s="63"/>
      <c r="I525" s="78"/>
      <c r="J525" s="79"/>
      <c r="K525" s="78"/>
      <c r="L525" s="78"/>
      <c r="M525" s="80"/>
      <c r="O525" s="81"/>
      <c r="P525" s="78"/>
      <c r="Q525" s="78"/>
      <c r="W525" s="78"/>
      <c r="X525" s="78"/>
      <c r="Z525" s="78"/>
      <c r="AA525" s="78"/>
      <c r="AC525" s="78"/>
      <c r="AD525" s="78"/>
      <c r="AJ525" s="78"/>
      <c r="AK525" s="78"/>
      <c r="AN525" s="82"/>
      <c r="AO525" s="78"/>
      <c r="AP525" s="78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65"/>
      <c r="O526" s="63"/>
      <c r="P526" s="63"/>
      <c r="Q526" s="63"/>
      <c r="W526" s="63"/>
      <c r="X526" s="63"/>
      <c r="Z526" s="63"/>
      <c r="AA526" s="63"/>
      <c r="AC526" s="63"/>
      <c r="AD526" s="63"/>
      <c r="AI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65"/>
      <c r="O527" s="63"/>
      <c r="P527" s="63"/>
      <c r="Q527" s="63"/>
      <c r="W527" s="63"/>
      <c r="X527" s="63"/>
      <c r="Z527" s="63"/>
      <c r="AA527" s="63"/>
      <c r="AC527" s="63"/>
      <c r="AD527" s="63"/>
      <c r="AI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65"/>
      <c r="O528" s="63"/>
      <c r="P528" s="63"/>
      <c r="Q528" s="63"/>
      <c r="W528" s="63"/>
      <c r="X528" s="63"/>
      <c r="Z528" s="63"/>
      <c r="AA528" s="63"/>
      <c r="AC528" s="63"/>
      <c r="AD528" s="63"/>
      <c r="AI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65"/>
      <c r="O529" s="63"/>
      <c r="P529" s="63"/>
      <c r="Q529" s="63"/>
      <c r="W529" s="63"/>
      <c r="X529" s="63"/>
      <c r="Z529" s="63"/>
      <c r="AA529" s="63"/>
      <c r="AC529" s="63"/>
      <c r="AD529" s="63"/>
      <c r="AI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56"/>
      <c r="C540" s="63"/>
      <c r="D540" s="63"/>
      <c r="E540" s="66"/>
      <c r="H540" s="63"/>
      <c r="I540" s="56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O541" s="62"/>
      <c r="P541" s="63"/>
      <c r="Q541" s="63"/>
      <c r="V541" s="63"/>
      <c r="W541" s="58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R551" s="58"/>
      <c r="S551" s="58"/>
      <c r="T551" s="58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R552" s="58"/>
      <c r="S552" s="58"/>
      <c r="T552" s="58"/>
      <c r="W552" s="63"/>
      <c r="X552" s="63"/>
      <c r="Z552" s="63"/>
      <c r="AA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R553" s="58"/>
      <c r="S553" s="58"/>
      <c r="T553" s="58"/>
      <c r="W553" s="63"/>
      <c r="X553" s="63"/>
      <c r="Z553" s="63"/>
      <c r="AA553" s="63"/>
      <c r="AC553" s="63"/>
      <c r="AD553" s="63"/>
      <c r="AJ553" s="63"/>
      <c r="AK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R554" s="58"/>
      <c r="S554" s="58"/>
      <c r="T554" s="58"/>
      <c r="W554" s="63"/>
      <c r="X554" s="63"/>
      <c r="Z554" s="63"/>
      <c r="AA554" s="63"/>
      <c r="AC554" s="63"/>
      <c r="AD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J555" s="63"/>
      <c r="AK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2"/>
      <c r="J560" s="56"/>
      <c r="K560" s="63"/>
      <c r="M560" s="71"/>
      <c r="W560" s="63"/>
      <c r="Z560" s="63"/>
      <c r="AA560" s="63"/>
      <c r="AC560" s="63"/>
      <c r="AD560" s="63"/>
      <c r="AI560" s="63"/>
      <c r="AO560" s="63"/>
    </row>
    <row r="561" spans="2:41">
      <c r="B561" s="63"/>
      <c r="C561" s="63"/>
      <c r="D561" s="63"/>
      <c r="E561" s="66"/>
      <c r="H561" s="63"/>
      <c r="I561" s="62"/>
      <c r="J561" s="56"/>
      <c r="K561" s="63"/>
      <c r="M561" s="71"/>
      <c r="W561" s="63"/>
      <c r="Z561" s="63"/>
      <c r="AA561" s="63"/>
      <c r="AC561" s="63"/>
      <c r="AD561" s="63"/>
      <c r="AI561" s="63"/>
      <c r="AO561" s="63"/>
    </row>
    <row r="562" spans="2:41">
      <c r="B562" s="63"/>
      <c r="C562" s="63"/>
      <c r="D562" s="63"/>
      <c r="E562" s="66"/>
      <c r="H562" s="63"/>
      <c r="I562" s="62"/>
      <c r="J562" s="56"/>
      <c r="K562" s="63"/>
      <c r="M562" s="71"/>
      <c r="W562" s="63"/>
      <c r="Z562" s="63"/>
      <c r="AA562" s="63"/>
      <c r="AC562" s="63"/>
      <c r="AD562" s="63"/>
      <c r="AI562" s="63"/>
      <c r="AO562" s="63"/>
    </row>
    <row r="563" spans="2:41">
      <c r="B563" s="63"/>
      <c r="C563" s="63"/>
      <c r="D563" s="63"/>
      <c r="E563" s="66"/>
      <c r="H563" s="63"/>
      <c r="I563" s="62"/>
      <c r="J563" s="56"/>
      <c r="K563" s="63"/>
      <c r="M563" s="71"/>
      <c r="W563" s="63"/>
      <c r="Z563" s="63"/>
      <c r="AA563" s="63"/>
      <c r="AC563" s="63"/>
      <c r="AD563" s="63"/>
      <c r="AI563" s="63"/>
      <c r="AO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J568" s="56"/>
      <c r="K568" s="63"/>
    </row>
    <row r="569" spans="2:41">
      <c r="B569" s="63"/>
      <c r="C569" s="63"/>
      <c r="D569" s="63"/>
      <c r="E569" s="66"/>
      <c r="H569" s="63"/>
      <c r="J569" s="56"/>
      <c r="K569" s="58"/>
    </row>
    <row r="570" spans="2:41">
      <c r="E570" s="66"/>
      <c r="J570" s="56"/>
    </row>
    <row r="571" spans="2:41">
      <c r="E571" s="66"/>
      <c r="J571" s="56"/>
    </row>
    <row r="572" spans="2:41">
      <c r="E572" s="66"/>
      <c r="J572" s="56"/>
    </row>
    <row r="573" spans="2:41">
      <c r="E573" s="66"/>
      <c r="J573" s="56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</row>
    <row r="609" spans="5:5">
      <c r="E609" s="66"/>
    </row>
  </sheetData>
  <autoFilter ref="A1:AP607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0"/>
  <sheetViews>
    <sheetView zoomScaleNormal="100" workbookViewId="0">
      <pane xSplit="5" ySplit="2" topLeftCell="CE66" activePane="bottomRight" state="frozen"/>
      <selection pane="topRight"/>
      <selection pane="bottomLeft"/>
      <selection pane="bottomRight" activeCell="CV87" sqref="CV87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1" t="s">
        <v>79</v>
      </c>
      <c r="G1" s="121"/>
      <c r="H1" s="121"/>
      <c r="I1" s="121"/>
      <c r="J1" s="121"/>
      <c r="K1" s="121"/>
      <c r="L1" s="121"/>
      <c r="M1" s="121"/>
      <c r="N1" s="121"/>
      <c r="O1" s="121"/>
      <c r="P1" s="122" t="s">
        <v>80</v>
      </c>
      <c r="Q1" s="123"/>
      <c r="R1" s="123"/>
      <c r="S1" s="124"/>
      <c r="T1" s="125" t="s">
        <v>7</v>
      </c>
      <c r="U1" s="125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38"/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38"/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38"/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38"/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38"/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38"/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38"/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38"/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38"/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38"/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38"/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38"/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T97" s="117" t="s">
        <v>866</v>
      </c>
      <c r="U97" s="37" t="s">
        <v>822</v>
      </c>
      <c r="CN97" s="7" t="str">
        <f t="shared" ref="CN97:CN106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06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06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06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5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06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06" si="1402">T97</f>
        <v>境界挑战2</v>
      </c>
      <c r="CW97" s="24"/>
      <c r="CX97" s="24"/>
      <c r="CY97" s="24"/>
      <c r="CZ97" s="24"/>
      <c r="DA97" s="24"/>
      <c r="DB97" s="30" t="str">
        <f t="shared" ref="DB97:DB106" si="1403">IF(V97="","","|n"&amp;DB$2&amp;"+"&amp;V97&amp;DB$1)</f>
        <v/>
      </c>
      <c r="DC97" s="30" t="str">
        <f t="shared" ref="DC97:DC106" si="1404">IF(W97="","","|n"&amp;DC$2&amp;"+"&amp;W97&amp;DC$1)</f>
        <v/>
      </c>
      <c r="DD97" s="30" t="str">
        <f t="shared" ref="DD97:DD106" si="1405">IF(X97="","","|n"&amp;DD$2&amp;"+"&amp;X97&amp;DD$1)</f>
        <v/>
      </c>
      <c r="DE97" s="30" t="str">
        <f t="shared" ref="DE97:DE106" si="1406">IF(Y97="","","|n"&amp;DE$2&amp;"+"&amp;Y97&amp;DE$1)</f>
        <v/>
      </c>
      <c r="DF97" s="30" t="str">
        <f t="shared" ref="DF97:DF106" si="1407">IF(Z97="","","|n"&amp;DF$2&amp;"+"&amp;Z97&amp;DF$1)</f>
        <v/>
      </c>
      <c r="DG97" s="30" t="str">
        <f t="shared" ref="DG97:DG106" si="1408">IF(AA97="","","|n"&amp;DG$2&amp;"+"&amp;AA97&amp;DG$1)</f>
        <v/>
      </c>
      <c r="DH97" s="30" t="str">
        <f t="shared" ref="DH97:DH106" si="1409">IF(AB97="","","|n"&amp;DH$2&amp;"+"&amp;AB97&amp;DH$1)</f>
        <v/>
      </c>
      <c r="DI97" s="30" t="str">
        <f t="shared" ref="DI97:DI106" si="1410">IF(AC97="","","|n"&amp;DI$2&amp;"+"&amp;AC97&amp;DI$1)</f>
        <v/>
      </c>
      <c r="DJ97" s="30" t="str">
        <f t="shared" ref="DJ97:DJ106" si="1411">IF(AD97="","","|n"&amp;DJ$2&amp;"+"&amp;AD97&amp;DJ$1)</f>
        <v/>
      </c>
      <c r="DK97" s="30" t="str">
        <f t="shared" ref="DK97:DK106" si="1412">IF(AE97="","","|n"&amp;DK$2&amp;"+"&amp;AE97&amp;DK$1)</f>
        <v/>
      </c>
      <c r="DL97" s="30" t="str">
        <f t="shared" ref="DL97:DL106" si="1413">IF(AF97="","","|n"&amp;DL$2&amp;"+"&amp;AF97&amp;DL$1)</f>
        <v/>
      </c>
      <c r="DM97" s="30" t="str">
        <f t="shared" ref="DM97:DM106" si="1414">IF(AG97="","","|n"&amp;DM$2&amp;"+"&amp;AG97&amp;DM$1)</f>
        <v/>
      </c>
      <c r="DN97" s="30" t="str">
        <f t="shared" ref="DN97:DN106" si="1415">IF(AH97="","","|n"&amp;DN$2&amp;"+"&amp;AH97&amp;DN$1)</f>
        <v/>
      </c>
      <c r="DO97" s="30" t="str">
        <f t="shared" ref="DO97:DO106" si="1416">IF(AI97="","","|n"&amp;DO$2&amp;"+"&amp;AI97&amp;DO$1)</f>
        <v/>
      </c>
      <c r="DP97" s="30" t="str">
        <f t="shared" ref="DP97:DP106" si="1417">IF(AJ97="","","|n"&amp;DP$2&amp;"+"&amp;AJ97&amp;DP$1)</f>
        <v/>
      </c>
      <c r="DQ97" s="30" t="str">
        <f t="shared" ref="DQ97:DQ106" si="1418">IF(AK97="","","|n"&amp;DQ$2&amp;"+"&amp;AK97&amp;DQ$1)</f>
        <v/>
      </c>
      <c r="DR97" s="30" t="str">
        <f t="shared" ref="DR97:DR106" si="1419">IF(AL97="","","|n"&amp;DR$2&amp;"+"&amp;AL97&amp;DR$1)</f>
        <v/>
      </c>
      <c r="DS97" s="30" t="str">
        <f t="shared" ref="DS97:DS106" si="1420">IF(AM97="","","|n"&amp;DS$2&amp;"+"&amp;AM97&amp;DS$1)</f>
        <v/>
      </c>
      <c r="DT97" s="30" t="str">
        <f t="shared" ref="DT97:DT106" si="1421">IF(AN97="","","|n"&amp;DT$2&amp;"+"&amp;AN97&amp;DT$1)</f>
        <v/>
      </c>
      <c r="DU97" s="30" t="str">
        <f t="shared" ref="DU97:DU106" si="1422">IF(AO97="","","|n"&amp;DU$2&amp;"+"&amp;AO97&amp;DU$1)</f>
        <v/>
      </c>
      <c r="DV97" s="30" t="str">
        <f t="shared" ref="DV97:DV106" si="1423">IF(AP97="","","|n"&amp;DV$2&amp;"+"&amp;AP97&amp;DV$1)</f>
        <v/>
      </c>
      <c r="DW97" s="30" t="str">
        <f t="shared" ref="DW97:DW106" si="1424">IF(AQ97="","","|n"&amp;DW$2&amp;"+"&amp;AQ97&amp;DW$1)</f>
        <v/>
      </c>
      <c r="DX97" s="30" t="str">
        <f t="shared" ref="DX97:DX106" si="1425">IF(AR97="","","|n"&amp;DX$2&amp;"+"&amp;AR97&amp;DX$1)</f>
        <v/>
      </c>
      <c r="DY97" s="30" t="str">
        <f t="shared" ref="DY97:DY106" si="1426">IF(AS97="","","|n"&amp;DY$2&amp;"+"&amp;AS97&amp;DY$1)</f>
        <v/>
      </c>
      <c r="DZ97" s="30" t="str">
        <f t="shared" ref="DZ97:DZ106" si="1427">IF(AT97="","","|n"&amp;DZ$2&amp;"+"&amp;AT97&amp;DZ$1)</f>
        <v/>
      </c>
      <c r="EA97" s="30" t="str">
        <f t="shared" ref="EA97:EA106" si="1428">IF(AU97="","","|n"&amp;EA$2&amp;"+"&amp;AU97&amp;EA$1)</f>
        <v/>
      </c>
      <c r="EB97" s="30" t="str">
        <f t="shared" ref="EB97:EB106" si="1429">IF(AV97="","","|n"&amp;EB$2&amp;"+"&amp;AV97&amp;EB$1)</f>
        <v/>
      </c>
      <c r="EC97" s="30" t="str">
        <f t="shared" ref="EC97:EC106" si="1430">IF(AW97="","","|n"&amp;EC$2&amp;"+"&amp;AW97&amp;EC$1)</f>
        <v/>
      </c>
      <c r="ED97" s="30" t="str">
        <f t="shared" ref="ED97:ED106" si="1431">IF(AX97="","","|n"&amp;ED$2&amp;"+"&amp;AX97&amp;ED$1)</f>
        <v/>
      </c>
      <c r="EE97" s="30" t="str">
        <f t="shared" ref="EE97:EE106" si="1432">IF(AY97="","","|n"&amp;EE$2&amp;"+"&amp;AY97&amp;EE$1)</f>
        <v/>
      </c>
      <c r="EF97" s="30" t="str">
        <f t="shared" ref="EF97:EF106" si="1433">IF(AZ97="","","|n"&amp;EF$2&amp;"+"&amp;AZ97&amp;EF$1)</f>
        <v/>
      </c>
      <c r="EG97" s="30" t="str">
        <f t="shared" ref="EG97:EG106" si="1434">IF(BA97="","","|n"&amp;EG$2&amp;"+"&amp;BA97&amp;EG$1)</f>
        <v/>
      </c>
      <c r="EH97" s="30" t="str">
        <f t="shared" ref="EH97:EH106" si="1435">IF(BB97="","","|n"&amp;EH$2&amp;"+"&amp;BB97&amp;EH$1)</f>
        <v/>
      </c>
      <c r="EI97" s="30" t="str">
        <f t="shared" ref="EI97:EI106" si="1436">IF(BC97="","","|n"&amp;EI$2&amp;"+"&amp;BC97&amp;EI$1)</f>
        <v/>
      </c>
      <c r="EJ97" s="30" t="str">
        <f t="shared" ref="EJ97:EJ106" si="1437">IF(BD97="","","|n"&amp;EJ$2&amp;"+"&amp;BD97&amp;EJ$1)</f>
        <v/>
      </c>
      <c r="EK97" s="30" t="str">
        <f t="shared" ref="EK97:EK106" si="1438">IF(BE97="","","|n"&amp;EK$2&amp;"+"&amp;BE97&amp;EK$1)</f>
        <v/>
      </c>
      <c r="EL97" s="30" t="str">
        <f t="shared" ref="EL97:EL106" si="1439">IF(BF97="","","|n"&amp;EL$2&amp;"+"&amp;BF97&amp;EL$1)</f>
        <v/>
      </c>
      <c r="EM97" s="30" t="str">
        <f t="shared" ref="EM97:EM106" si="1440">IF(BG97="","","|n"&amp;EM$2&amp;"+"&amp;BG97&amp;EM$1)</f>
        <v/>
      </c>
      <c r="EN97" s="30" t="str">
        <f t="shared" ref="EN97:EN106" si="1441">IF(BH97="","","|n"&amp;EN$2&amp;"+"&amp;BH97&amp;EN$1)</f>
        <v/>
      </c>
      <c r="EO97" s="30" t="str">
        <f t="shared" ref="EO97:EO106" si="1442">IF(BI97="","","|n"&amp;EO$2&amp;"+"&amp;BI97&amp;EO$1)</f>
        <v/>
      </c>
      <c r="EP97" s="30" t="str">
        <f t="shared" ref="EP97:EP106" si="1443">IF(BJ97="","","|n"&amp;EP$2&amp;"+"&amp;BJ97&amp;EP$1)</f>
        <v/>
      </c>
      <c r="EQ97" s="30" t="str">
        <f t="shared" ref="EQ97:EQ106" si="1444">IF(BK97="","","|n"&amp;EQ$2&amp;"+"&amp;BK97&amp;EQ$1)</f>
        <v/>
      </c>
      <c r="ER97" s="30" t="str">
        <f t="shared" ref="ER97:ER106" si="1445">IF(BL97="","","|n"&amp;ER$2&amp;"+"&amp;BL97&amp;ER$1)</f>
        <v/>
      </c>
      <c r="ES97" s="30" t="str">
        <f t="shared" ref="ES97:ES106" si="1446">IF(BM97="","","|n"&amp;ES$2&amp;"+"&amp;BM97&amp;ES$1)</f>
        <v/>
      </c>
      <c r="ET97" s="30" t="str">
        <f t="shared" ref="ET97:ET106" si="1447">IF(BN97="","","|n"&amp;ET$2&amp;"+"&amp;BN97&amp;ET$1)</f>
        <v/>
      </c>
      <c r="EU97" s="30" t="str">
        <f t="shared" ref="EU97:EU106" si="1448">IF(BO97="","","|n"&amp;EU$2&amp;"+"&amp;BO97&amp;EU$1)</f>
        <v/>
      </c>
      <c r="EV97" s="30" t="str">
        <f t="shared" ref="EV97:EV106" si="1449">IF(BP97="","","|n"&amp;EV$2&amp;"+"&amp;BP97&amp;EV$1)</f>
        <v/>
      </c>
      <c r="EW97" s="30" t="str">
        <f t="shared" ref="EW97:EW106" si="1450">IF(BQ97="","","|n"&amp;EW$2&amp;"+"&amp;BQ97&amp;EW$1)</f>
        <v/>
      </c>
      <c r="EX97" s="30" t="str">
        <f t="shared" ref="EX97:EX106" si="1451">IF(BR97="","","|n"&amp;EX$2&amp;"+"&amp;BR97&amp;EX$1)</f>
        <v/>
      </c>
      <c r="EY97" s="30" t="str">
        <f t="shared" ref="EY97:EY106" si="1452">IF(BS97="","","|n"&amp;EY$2&amp;"+"&amp;BS97&amp;EY$1)</f>
        <v/>
      </c>
      <c r="EZ97" s="30" t="str">
        <f t="shared" ref="EZ97:EZ106" si="1453">IF(BT97="","","|n"&amp;EZ$2&amp;"+"&amp;BT97&amp;EZ$1)</f>
        <v/>
      </c>
      <c r="FA97" s="30" t="str">
        <f t="shared" ref="FA97:FA106" si="1454">IF(BU97="","","|n"&amp;FA$2&amp;"+"&amp;BU97&amp;FA$1)</f>
        <v/>
      </c>
      <c r="FB97" s="30" t="str">
        <f t="shared" ref="FB97:FB106" si="1455">IF(BV97="","","|n"&amp;FB$2&amp;"+"&amp;BV97&amp;FB$1)</f>
        <v/>
      </c>
      <c r="FC97" s="30" t="str">
        <f t="shared" ref="FC97:FC106" si="1456">IF(BW97="","","|n"&amp;FC$2&amp;"+"&amp;BW97&amp;FC$1)</f>
        <v/>
      </c>
      <c r="FD97" s="30" t="str">
        <f t="shared" ref="FD97:FD106" si="1457">IF(BX97="","","|n"&amp;FD$2&amp;"+"&amp;BX97&amp;FD$1)</f>
        <v/>
      </c>
      <c r="FE97" s="30" t="str">
        <f t="shared" ref="FE97:FE106" si="1458">IF(BY97="","","|n"&amp;FE$2&amp;"+"&amp;BY97&amp;FE$1)</f>
        <v/>
      </c>
      <c r="FF97" s="30" t="str">
        <f t="shared" ref="FF97:FF106" si="1459">IF(BZ97="","","|n"&amp;FF$2&amp;"+"&amp;BZ97&amp;FF$1)</f>
        <v/>
      </c>
      <c r="FG97" s="30" t="str">
        <f t="shared" ref="FG97:FG106" si="1460">IF(CA97="","","|n"&amp;FG$2&amp;"+"&amp;CA97&amp;FG$1)</f>
        <v/>
      </c>
      <c r="FH97" s="30" t="str">
        <f t="shared" ref="FH97:FH106" si="1461">IF(CB97="","","|n"&amp;FH$2&amp;"+"&amp;CB97&amp;FH$1)</f>
        <v/>
      </c>
      <c r="FI97" s="30" t="str">
        <f t="shared" ref="FI97:FI106" si="1462">IF(CC97="","","|n"&amp;FI$2&amp;"+"&amp;CC97&amp;FI$1)</f>
        <v/>
      </c>
      <c r="FJ97" s="30" t="str">
        <f t="shared" ref="FJ97:FJ106" si="1463">IF(CD97="","","|n"&amp;FJ$2&amp;"+"&amp;CD97&amp;FJ$1)</f>
        <v/>
      </c>
      <c r="FK97" s="30" t="str">
        <f t="shared" ref="FK97:FK106" si="1464">IF(CE97="","","|n"&amp;FK$2&amp;"+"&amp;CE97&amp;FK$1)</f>
        <v/>
      </c>
      <c r="FL97" s="30" t="str">
        <f t="shared" ref="FL97:FL106" si="1465">IF(CF97="","","|n"&amp;FL$2&amp;"+"&amp;CF97&amp;FL$1)</f>
        <v/>
      </c>
      <c r="FM97" s="30" t="str">
        <f t="shared" ref="FM97:FM106" si="1466">IF(CG97="","","|n"&amp;FM$2&amp;"+"&amp;CG97&amp;FM$1)</f>
        <v/>
      </c>
      <c r="FN97" s="30" t="str">
        <f t="shared" ref="FN97:FN106" si="1467">IF(CH97="","","|n"&amp;FN$2&amp;"+"&amp;CH97&amp;FN$1)</f>
        <v/>
      </c>
      <c r="FO97" s="30" t="str">
        <f t="shared" ref="FO97:FO106" si="1468">IF(CI97="","","|n"&amp;FO$2&amp;"+"&amp;CI97&amp;FO$1)</f>
        <v/>
      </c>
      <c r="FP97" s="30" t="str">
        <f t="shared" ref="FP97:FP106" si="1469">IF(CJ97="","","|n"&amp;FP$2&amp;"+"&amp;CJ97&amp;FP$1)</f>
        <v/>
      </c>
      <c r="FQ97" s="30" t="str">
        <f t="shared" ref="FQ97:FQ106" si="1470">IF(CK97="","","|n"&amp;FQ$2&amp;"+"&amp;CK97&amp;FQ$1)</f>
        <v/>
      </c>
      <c r="FR97" s="30" t="str">
        <f t="shared" ref="FR97:FR106" si="1471">IF(CL97="","","|n"&amp;FR$2&amp;"+"&amp;CL97&amp;FR$1)</f>
        <v/>
      </c>
      <c r="FS97" s="30" t="str">
        <f t="shared" ref="FS97:FS106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 t="shared" si="1400"/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/>
      <c r="B106" s="111" t="s">
        <v>883</v>
      </c>
      <c r="C106" s="117" t="s">
        <v>887</v>
      </c>
      <c r="T106" s="117" t="s">
        <v>887</v>
      </c>
      <c r="U106" s="37" t="s">
        <v>822</v>
      </c>
      <c r="CN106" s="7" t="str">
        <f t="shared" si="1396"/>
        <v>InitUnitState('IS01',,,,,,,,,,)</v>
      </c>
      <c r="CO106" s="7" t="str">
        <f t="shared" si="1397"/>
        <v>InitUnitNormal('IS01',,,,,,,,,,)</v>
      </c>
      <c r="CP106" s="7" t="str">
        <f t="shared" si="1398"/>
        <v>InitUnitMagic('IS01',,,,,,,,,,)</v>
      </c>
      <c r="CQ106" s="7" t="str">
        <f t="shared" si="1399"/>
        <v>InitUnitAdd('IS01',,,,,,,,,,)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InitEquipData('IS01',,"",,,,,'','','','','','',"ReplaceableTextures\\CommandButtons\\BTNTome.blp")</v>
      </c>
      <c r="CU106" s="45" t="str">
        <f t="shared" si="1401"/>
        <v>|n</v>
      </c>
      <c r="CV106" s="29" t="str">
        <f t="shared" si="1402"/>
        <v>抽技能DC</v>
      </c>
      <c r="CW106" s="24"/>
      <c r="CX106" s="24"/>
      <c r="CY106" s="24"/>
      <c r="CZ106" s="24"/>
      <c r="DA106" s="24"/>
      <c r="DB106" s="30" t="str">
        <f t="shared" si="1403"/>
        <v/>
      </c>
      <c r="DC106" s="30" t="str">
        <f t="shared" si="1404"/>
        <v/>
      </c>
      <c r="DD106" s="30" t="str">
        <f t="shared" si="1405"/>
        <v/>
      </c>
      <c r="DE106" s="30" t="str">
        <f t="shared" si="1406"/>
        <v/>
      </c>
      <c r="DF106" s="30" t="str">
        <f t="shared" si="1407"/>
        <v/>
      </c>
      <c r="DG106" s="30" t="str">
        <f t="shared" si="1408"/>
        <v/>
      </c>
      <c r="DH106" s="30" t="str">
        <f t="shared" si="1409"/>
        <v/>
      </c>
      <c r="DI106" s="30" t="str">
        <f t="shared" si="1410"/>
        <v/>
      </c>
      <c r="DJ106" s="30" t="str">
        <f t="shared" si="1411"/>
        <v/>
      </c>
      <c r="DK106" s="30" t="str">
        <f t="shared" si="1412"/>
        <v/>
      </c>
      <c r="DL106" s="30" t="str">
        <f t="shared" si="1413"/>
        <v/>
      </c>
      <c r="DM106" s="30" t="str">
        <f t="shared" si="1414"/>
        <v/>
      </c>
      <c r="DN106" s="30" t="str">
        <f t="shared" si="1415"/>
        <v/>
      </c>
      <c r="DO106" s="30" t="str">
        <f t="shared" si="1416"/>
        <v/>
      </c>
      <c r="DP106" s="30" t="str">
        <f t="shared" si="1417"/>
        <v/>
      </c>
      <c r="DQ106" s="30" t="str">
        <f t="shared" si="1418"/>
        <v/>
      </c>
      <c r="DR106" s="30" t="str">
        <f t="shared" si="1419"/>
        <v/>
      </c>
      <c r="DS106" s="30" t="str">
        <f t="shared" si="1420"/>
        <v/>
      </c>
      <c r="DT106" s="30" t="str">
        <f t="shared" si="1421"/>
        <v/>
      </c>
      <c r="DU106" s="30" t="str">
        <f t="shared" si="1422"/>
        <v/>
      </c>
      <c r="DV106" s="30" t="str">
        <f t="shared" si="1423"/>
        <v/>
      </c>
      <c r="DW106" s="30" t="str">
        <f t="shared" si="1424"/>
        <v/>
      </c>
      <c r="DX106" s="30" t="str">
        <f t="shared" si="1425"/>
        <v/>
      </c>
      <c r="DY106" s="30" t="str">
        <f t="shared" si="1426"/>
        <v/>
      </c>
      <c r="DZ106" s="30" t="str">
        <f t="shared" si="1427"/>
        <v/>
      </c>
      <c r="EA106" s="30" t="str">
        <f t="shared" si="1428"/>
        <v/>
      </c>
      <c r="EB106" s="30" t="str">
        <f t="shared" si="1429"/>
        <v/>
      </c>
      <c r="EC106" s="30" t="str">
        <f t="shared" si="1430"/>
        <v/>
      </c>
      <c r="ED106" s="30" t="str">
        <f t="shared" si="1431"/>
        <v/>
      </c>
      <c r="EE106" s="30" t="str">
        <f t="shared" si="1432"/>
        <v/>
      </c>
      <c r="EF106" s="30" t="str">
        <f t="shared" si="1433"/>
        <v/>
      </c>
      <c r="EG106" s="30" t="str">
        <f t="shared" si="1434"/>
        <v/>
      </c>
      <c r="EH106" s="30" t="str">
        <f t="shared" si="1435"/>
        <v/>
      </c>
      <c r="EI106" s="30" t="str">
        <f t="shared" si="1436"/>
        <v/>
      </c>
      <c r="EJ106" s="30" t="str">
        <f t="shared" si="1437"/>
        <v/>
      </c>
      <c r="EK106" s="30" t="str">
        <f t="shared" si="1438"/>
        <v/>
      </c>
      <c r="EL106" s="30" t="str">
        <f t="shared" si="1439"/>
        <v/>
      </c>
      <c r="EM106" s="30" t="str">
        <f t="shared" si="1440"/>
        <v/>
      </c>
      <c r="EN106" s="30" t="str">
        <f t="shared" si="1441"/>
        <v/>
      </c>
      <c r="EO106" s="30" t="str">
        <f t="shared" si="1442"/>
        <v/>
      </c>
      <c r="EP106" s="30" t="str">
        <f t="shared" si="1443"/>
        <v/>
      </c>
      <c r="EQ106" s="30" t="str">
        <f t="shared" si="1444"/>
        <v/>
      </c>
      <c r="ER106" s="30" t="str">
        <f t="shared" si="1445"/>
        <v/>
      </c>
      <c r="ES106" s="30" t="str">
        <f t="shared" si="1446"/>
        <v/>
      </c>
      <c r="ET106" s="30" t="str">
        <f t="shared" si="1447"/>
        <v/>
      </c>
      <c r="EU106" s="30" t="str">
        <f t="shared" si="1448"/>
        <v/>
      </c>
      <c r="EV106" s="30" t="str">
        <f t="shared" si="1449"/>
        <v/>
      </c>
      <c r="EW106" s="30" t="str">
        <f t="shared" si="1450"/>
        <v/>
      </c>
      <c r="EX106" s="30" t="str">
        <f t="shared" si="1451"/>
        <v/>
      </c>
      <c r="EY106" s="30" t="str">
        <f t="shared" si="1452"/>
        <v/>
      </c>
      <c r="EZ106" s="30" t="str">
        <f t="shared" si="1453"/>
        <v/>
      </c>
      <c r="FA106" s="30" t="str">
        <f t="shared" si="1454"/>
        <v/>
      </c>
      <c r="FB106" s="30" t="str">
        <f t="shared" si="1455"/>
        <v/>
      </c>
      <c r="FC106" s="30" t="str">
        <f t="shared" si="1456"/>
        <v/>
      </c>
      <c r="FD106" s="30" t="str">
        <f t="shared" si="1457"/>
        <v/>
      </c>
      <c r="FE106" s="30" t="str">
        <f t="shared" si="1458"/>
        <v/>
      </c>
      <c r="FF106" s="30" t="str">
        <f t="shared" si="1459"/>
        <v/>
      </c>
      <c r="FG106" s="30" t="str">
        <f t="shared" si="1460"/>
        <v/>
      </c>
      <c r="FH106" s="30" t="str">
        <f t="shared" si="1461"/>
        <v/>
      </c>
      <c r="FI106" s="30" t="str">
        <f t="shared" si="1462"/>
        <v/>
      </c>
      <c r="FJ106" s="30" t="str">
        <f t="shared" si="1463"/>
        <v/>
      </c>
      <c r="FK106" s="30" t="str">
        <f t="shared" si="1464"/>
        <v/>
      </c>
      <c r="FL106" s="30" t="str">
        <f t="shared" si="1465"/>
        <v/>
      </c>
      <c r="FM106" s="30" t="str">
        <f t="shared" si="1466"/>
        <v/>
      </c>
      <c r="FN106" s="30" t="str">
        <f t="shared" si="1467"/>
        <v/>
      </c>
      <c r="FO106" s="30" t="str">
        <f t="shared" si="1468"/>
        <v/>
      </c>
      <c r="FP106" s="30" t="str">
        <f t="shared" si="1469"/>
        <v/>
      </c>
      <c r="FQ106" s="30" t="str">
        <f t="shared" si="1470"/>
        <v/>
      </c>
      <c r="FR106" s="30" t="str">
        <f t="shared" si="1471"/>
        <v/>
      </c>
      <c r="FS106" s="30" t="str">
        <f t="shared" si="1472"/>
        <v/>
      </c>
    </row>
    <row r="107" spans="1:175" ht="16.5">
      <c r="A107" s="117"/>
      <c r="B107" s="111" t="s">
        <v>884</v>
      </c>
      <c r="C107" s="117" t="s">
        <v>888</v>
      </c>
      <c r="T107" s="117" t="s">
        <v>888</v>
      </c>
      <c r="U107" s="37" t="s">
        <v>822</v>
      </c>
      <c r="CN107" s="7" t="str">
        <f t="shared" ref="CN107:CN110" si="1473">"InitUnitState('"&amp;B107&amp;"',"&amp;V107&amp;","&amp;W107&amp;","&amp;X107&amp;","&amp;Y107&amp;","&amp;Z107&amp;","&amp;AA107&amp;","&amp;AB107&amp;","&amp;AC107&amp;","&amp;AD107&amp;","&amp;AE107&amp;")"</f>
        <v>InitUnitState('IS02',,,,,,,,,,)</v>
      </c>
      <c r="CO107" s="7" t="str">
        <f t="shared" ref="CO107:CO110" si="1474">"InitUnitNormal('"&amp;B107&amp;"',"&amp;AF107&amp;","&amp;AG107&amp;","&amp;AH107&amp;","&amp;AI107&amp;","&amp;AJ107&amp;","&amp;AK107&amp;","&amp;AL107&amp;","&amp;AM107&amp;","&amp;AN107&amp;","&amp;AO107&amp;")"</f>
        <v>InitUnitNormal('IS02',,,,,,,,,,)</v>
      </c>
      <c r="CP107" s="7" t="str">
        <f t="shared" ref="CP107:CP110" si="1475">"InitUnitMagic('"&amp;B107&amp;"',"&amp;AP107&amp;","&amp;AQ107&amp;","&amp;AR107&amp;","&amp;AS107&amp;","&amp;AT107&amp;","&amp;AU107&amp;","&amp;AV107&amp;","&amp;AW107&amp;","&amp;BI107&amp;","&amp;BJ107&amp;")"</f>
        <v>InitUnitMagic('IS02',,,,,,,,,,)</v>
      </c>
      <c r="CQ107" s="7" t="str">
        <f t="shared" ref="CQ107:CQ110" si="1476">"InitUnitAdd('"&amp;B107&amp;"',"&amp;BK107&amp;","&amp;BL107&amp;","&amp;BM107&amp;","&amp;BN107&amp;","&amp;BO107&amp;","&amp;BP107&amp;","&amp;BQ107&amp;","&amp;BR107&amp;","&amp;BS107&amp;","&amp;BT107&amp;")"</f>
        <v>InitUnitAdd('IS02',,,,,,,,,,)</v>
      </c>
      <c r="CR107" s="7" t="str">
        <f t="shared" ref="CR107:CR109" si="1477"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108&amp;CR$1&amp;")"</f>
        <v>InitEquipData('IS02',,"",,,,,'','','','','','',"ReplaceableTextures\\CommandButtons\\BTNTome.blp")</v>
      </c>
      <c r="CU107" s="45" t="str">
        <f t="shared" ref="CU107:CU110" si="1478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29" t="str">
        <f t="shared" ref="CV107:CV110" si="1479">T107</f>
        <v>抽技能B</v>
      </c>
      <c r="CW107" s="24"/>
      <c r="CX107" s="24"/>
      <c r="CY107" s="24"/>
      <c r="CZ107" s="24"/>
      <c r="DA107" s="24"/>
      <c r="DB107" s="30" t="str">
        <f t="shared" ref="DB107:DB110" si="1480">IF(V107="","","|n"&amp;DB$2&amp;"+"&amp;V107&amp;DB$1)</f>
        <v/>
      </c>
      <c r="DC107" s="30" t="str">
        <f t="shared" ref="DC107:DC110" si="1481">IF(W107="","","|n"&amp;DC$2&amp;"+"&amp;W107&amp;DC$1)</f>
        <v/>
      </c>
      <c r="DD107" s="30" t="str">
        <f t="shared" ref="DD107:DD110" si="1482">IF(X107="","","|n"&amp;DD$2&amp;"+"&amp;X107&amp;DD$1)</f>
        <v/>
      </c>
      <c r="DE107" s="30" t="str">
        <f t="shared" ref="DE107:DE110" si="1483">IF(Y107="","","|n"&amp;DE$2&amp;"+"&amp;Y107&amp;DE$1)</f>
        <v/>
      </c>
      <c r="DF107" s="30" t="str">
        <f t="shared" ref="DF107:DF110" si="1484">IF(Z107="","","|n"&amp;DF$2&amp;"+"&amp;Z107&amp;DF$1)</f>
        <v/>
      </c>
      <c r="DG107" s="30" t="str">
        <f t="shared" ref="DG107:DG110" si="1485">IF(AA107="","","|n"&amp;DG$2&amp;"+"&amp;AA107&amp;DG$1)</f>
        <v/>
      </c>
      <c r="DH107" s="30" t="str">
        <f t="shared" ref="DH107:DH110" si="1486">IF(AB107="","","|n"&amp;DH$2&amp;"+"&amp;AB107&amp;DH$1)</f>
        <v/>
      </c>
      <c r="DI107" s="30" t="str">
        <f t="shared" ref="DI107:DI110" si="1487">IF(AC107="","","|n"&amp;DI$2&amp;"+"&amp;AC107&amp;DI$1)</f>
        <v/>
      </c>
      <c r="DJ107" s="30" t="str">
        <f t="shared" ref="DJ107:DJ110" si="1488">IF(AD107="","","|n"&amp;DJ$2&amp;"+"&amp;AD107&amp;DJ$1)</f>
        <v/>
      </c>
      <c r="DK107" s="30" t="str">
        <f t="shared" ref="DK107:DK110" si="1489">IF(AE107="","","|n"&amp;DK$2&amp;"+"&amp;AE107&amp;DK$1)</f>
        <v/>
      </c>
      <c r="DL107" s="30" t="str">
        <f t="shared" ref="DL107:DL110" si="1490">IF(AF107="","","|n"&amp;DL$2&amp;"+"&amp;AF107&amp;DL$1)</f>
        <v/>
      </c>
      <c r="DM107" s="30" t="str">
        <f t="shared" ref="DM107:DM110" si="1491">IF(AG107="","","|n"&amp;DM$2&amp;"+"&amp;AG107&amp;DM$1)</f>
        <v/>
      </c>
      <c r="DN107" s="30" t="str">
        <f t="shared" ref="DN107:DN110" si="1492">IF(AH107="","","|n"&amp;DN$2&amp;"+"&amp;AH107&amp;DN$1)</f>
        <v/>
      </c>
      <c r="DO107" s="30" t="str">
        <f t="shared" ref="DO107:DO110" si="1493">IF(AI107="","","|n"&amp;DO$2&amp;"+"&amp;AI107&amp;DO$1)</f>
        <v/>
      </c>
      <c r="DP107" s="30" t="str">
        <f t="shared" ref="DP107:DP110" si="1494">IF(AJ107="","","|n"&amp;DP$2&amp;"+"&amp;AJ107&amp;DP$1)</f>
        <v/>
      </c>
      <c r="DQ107" s="30" t="str">
        <f t="shared" ref="DQ107:DQ110" si="1495">IF(AK107="","","|n"&amp;DQ$2&amp;"+"&amp;AK107&amp;DQ$1)</f>
        <v/>
      </c>
      <c r="DR107" s="30" t="str">
        <f t="shared" ref="DR107:DR110" si="1496">IF(AL107="","","|n"&amp;DR$2&amp;"+"&amp;AL107&amp;DR$1)</f>
        <v/>
      </c>
      <c r="DS107" s="30" t="str">
        <f t="shared" ref="DS107:DS110" si="1497">IF(AM107="","","|n"&amp;DS$2&amp;"+"&amp;AM107&amp;DS$1)</f>
        <v/>
      </c>
      <c r="DT107" s="30" t="str">
        <f t="shared" ref="DT107:DT110" si="1498">IF(AN107="","","|n"&amp;DT$2&amp;"+"&amp;AN107&amp;DT$1)</f>
        <v/>
      </c>
      <c r="DU107" s="30" t="str">
        <f t="shared" ref="DU107:DU110" si="1499">IF(AO107="","","|n"&amp;DU$2&amp;"+"&amp;AO107&amp;DU$1)</f>
        <v/>
      </c>
      <c r="DV107" s="30" t="str">
        <f t="shared" ref="DV107:DV110" si="1500">IF(AP107="","","|n"&amp;DV$2&amp;"+"&amp;AP107&amp;DV$1)</f>
        <v/>
      </c>
      <c r="DW107" s="30" t="str">
        <f t="shared" ref="DW107:DW110" si="1501">IF(AQ107="","","|n"&amp;DW$2&amp;"+"&amp;AQ107&amp;DW$1)</f>
        <v/>
      </c>
      <c r="DX107" s="30" t="str">
        <f t="shared" ref="DX107:DX110" si="1502">IF(AR107="","","|n"&amp;DX$2&amp;"+"&amp;AR107&amp;DX$1)</f>
        <v/>
      </c>
      <c r="DY107" s="30" t="str">
        <f t="shared" ref="DY107:DY110" si="1503">IF(AS107="","","|n"&amp;DY$2&amp;"+"&amp;AS107&amp;DY$1)</f>
        <v/>
      </c>
      <c r="DZ107" s="30" t="str">
        <f t="shared" ref="DZ107:DZ110" si="1504">IF(AT107="","","|n"&amp;DZ$2&amp;"+"&amp;AT107&amp;DZ$1)</f>
        <v/>
      </c>
      <c r="EA107" s="30" t="str">
        <f t="shared" ref="EA107:EA110" si="1505">IF(AU107="","","|n"&amp;EA$2&amp;"+"&amp;AU107&amp;EA$1)</f>
        <v/>
      </c>
      <c r="EB107" s="30" t="str">
        <f t="shared" ref="EB107:EB110" si="1506">IF(AV107="","","|n"&amp;EB$2&amp;"+"&amp;AV107&amp;EB$1)</f>
        <v/>
      </c>
      <c r="EC107" s="30" t="str">
        <f t="shared" ref="EC107:EC110" si="1507">IF(AW107="","","|n"&amp;EC$2&amp;"+"&amp;AW107&amp;EC$1)</f>
        <v/>
      </c>
      <c r="ED107" s="30" t="str">
        <f t="shared" ref="ED107:ED110" si="1508">IF(AX107="","","|n"&amp;ED$2&amp;"+"&amp;AX107&amp;ED$1)</f>
        <v/>
      </c>
      <c r="EE107" s="30" t="str">
        <f t="shared" ref="EE107:EE110" si="1509">IF(AY107="","","|n"&amp;EE$2&amp;"+"&amp;AY107&amp;EE$1)</f>
        <v/>
      </c>
      <c r="EF107" s="30" t="str">
        <f t="shared" ref="EF107:EF110" si="1510">IF(AZ107="","","|n"&amp;EF$2&amp;"+"&amp;AZ107&amp;EF$1)</f>
        <v/>
      </c>
      <c r="EG107" s="30" t="str">
        <f t="shared" ref="EG107:EG110" si="1511">IF(BA107="","","|n"&amp;EG$2&amp;"+"&amp;BA107&amp;EG$1)</f>
        <v/>
      </c>
      <c r="EH107" s="30" t="str">
        <f t="shared" ref="EH107:EH110" si="1512">IF(BB107="","","|n"&amp;EH$2&amp;"+"&amp;BB107&amp;EH$1)</f>
        <v/>
      </c>
      <c r="EI107" s="30" t="str">
        <f t="shared" ref="EI107:EI110" si="1513">IF(BC107="","","|n"&amp;EI$2&amp;"+"&amp;BC107&amp;EI$1)</f>
        <v/>
      </c>
      <c r="EJ107" s="30" t="str">
        <f t="shared" ref="EJ107:EJ110" si="1514">IF(BD107="","","|n"&amp;EJ$2&amp;"+"&amp;BD107&amp;EJ$1)</f>
        <v/>
      </c>
      <c r="EK107" s="30" t="str">
        <f t="shared" ref="EK107:EK110" si="1515">IF(BE107="","","|n"&amp;EK$2&amp;"+"&amp;BE107&amp;EK$1)</f>
        <v/>
      </c>
      <c r="EL107" s="30" t="str">
        <f t="shared" ref="EL107:EL110" si="1516">IF(BF107="","","|n"&amp;EL$2&amp;"+"&amp;BF107&amp;EL$1)</f>
        <v/>
      </c>
      <c r="EM107" s="30" t="str">
        <f t="shared" ref="EM107:EM110" si="1517">IF(BG107="","","|n"&amp;EM$2&amp;"+"&amp;BG107&amp;EM$1)</f>
        <v/>
      </c>
      <c r="EN107" s="30" t="str">
        <f t="shared" ref="EN107:EN110" si="1518">IF(BH107="","","|n"&amp;EN$2&amp;"+"&amp;BH107&amp;EN$1)</f>
        <v/>
      </c>
      <c r="EO107" s="30" t="str">
        <f t="shared" ref="EO107:EO110" si="1519">IF(BI107="","","|n"&amp;EO$2&amp;"+"&amp;BI107&amp;EO$1)</f>
        <v/>
      </c>
      <c r="EP107" s="30" t="str">
        <f t="shared" ref="EP107:EP110" si="1520">IF(BJ107="","","|n"&amp;EP$2&amp;"+"&amp;BJ107&amp;EP$1)</f>
        <v/>
      </c>
      <c r="EQ107" s="30" t="str">
        <f t="shared" ref="EQ107:EQ110" si="1521">IF(BK107="","","|n"&amp;EQ$2&amp;"+"&amp;BK107&amp;EQ$1)</f>
        <v/>
      </c>
      <c r="ER107" s="30" t="str">
        <f t="shared" ref="ER107:ER110" si="1522">IF(BL107="","","|n"&amp;ER$2&amp;"+"&amp;BL107&amp;ER$1)</f>
        <v/>
      </c>
      <c r="ES107" s="30" t="str">
        <f t="shared" ref="ES107:ES110" si="1523">IF(BM107="","","|n"&amp;ES$2&amp;"+"&amp;BM107&amp;ES$1)</f>
        <v/>
      </c>
      <c r="ET107" s="30" t="str">
        <f t="shared" ref="ET107:ET110" si="1524">IF(BN107="","","|n"&amp;ET$2&amp;"+"&amp;BN107&amp;ET$1)</f>
        <v/>
      </c>
      <c r="EU107" s="30" t="str">
        <f t="shared" ref="EU107:EU110" si="1525">IF(BO107="","","|n"&amp;EU$2&amp;"+"&amp;BO107&amp;EU$1)</f>
        <v/>
      </c>
      <c r="EV107" s="30" t="str">
        <f t="shared" ref="EV107:EV110" si="1526">IF(BP107="","","|n"&amp;EV$2&amp;"+"&amp;BP107&amp;EV$1)</f>
        <v/>
      </c>
      <c r="EW107" s="30" t="str">
        <f t="shared" ref="EW107:EW110" si="1527">IF(BQ107="","","|n"&amp;EW$2&amp;"+"&amp;BQ107&amp;EW$1)</f>
        <v/>
      </c>
      <c r="EX107" s="30" t="str">
        <f t="shared" ref="EX107:EX110" si="1528">IF(BR107="","","|n"&amp;EX$2&amp;"+"&amp;BR107&amp;EX$1)</f>
        <v/>
      </c>
      <c r="EY107" s="30" t="str">
        <f t="shared" ref="EY107:EY110" si="1529">IF(BS107="","","|n"&amp;EY$2&amp;"+"&amp;BS107&amp;EY$1)</f>
        <v/>
      </c>
      <c r="EZ107" s="30" t="str">
        <f t="shared" ref="EZ107:EZ110" si="1530">IF(BT107="","","|n"&amp;EZ$2&amp;"+"&amp;BT107&amp;EZ$1)</f>
        <v/>
      </c>
      <c r="FA107" s="30" t="str">
        <f t="shared" ref="FA107:FA110" si="1531">IF(BU107="","","|n"&amp;FA$2&amp;"+"&amp;BU107&amp;FA$1)</f>
        <v/>
      </c>
      <c r="FB107" s="30" t="str">
        <f t="shared" ref="FB107:FB110" si="1532">IF(BV107="","","|n"&amp;FB$2&amp;"+"&amp;BV107&amp;FB$1)</f>
        <v/>
      </c>
      <c r="FC107" s="30" t="str">
        <f t="shared" ref="FC107:FC110" si="1533">IF(BW107="","","|n"&amp;FC$2&amp;"+"&amp;BW107&amp;FC$1)</f>
        <v/>
      </c>
      <c r="FD107" s="30" t="str">
        <f t="shared" ref="FD107:FD110" si="1534">IF(BX107="","","|n"&amp;FD$2&amp;"+"&amp;BX107&amp;FD$1)</f>
        <v/>
      </c>
      <c r="FE107" s="30" t="str">
        <f t="shared" ref="FE107:FE110" si="1535">IF(BY107="","","|n"&amp;FE$2&amp;"+"&amp;BY107&amp;FE$1)</f>
        <v/>
      </c>
      <c r="FF107" s="30" t="str">
        <f t="shared" ref="FF107:FF110" si="1536">IF(BZ107="","","|n"&amp;FF$2&amp;"+"&amp;BZ107&amp;FF$1)</f>
        <v/>
      </c>
      <c r="FG107" s="30" t="str">
        <f t="shared" ref="FG107:FG110" si="1537">IF(CA107="","","|n"&amp;FG$2&amp;"+"&amp;CA107&amp;FG$1)</f>
        <v/>
      </c>
      <c r="FH107" s="30" t="str">
        <f t="shared" ref="FH107:FH110" si="1538">IF(CB107="","","|n"&amp;FH$2&amp;"+"&amp;CB107&amp;FH$1)</f>
        <v/>
      </c>
      <c r="FI107" s="30" t="str">
        <f t="shared" ref="FI107:FI110" si="1539">IF(CC107="","","|n"&amp;FI$2&amp;"+"&amp;CC107&amp;FI$1)</f>
        <v/>
      </c>
      <c r="FJ107" s="30" t="str">
        <f t="shared" ref="FJ107:FJ110" si="1540">IF(CD107="","","|n"&amp;FJ$2&amp;"+"&amp;CD107&amp;FJ$1)</f>
        <v/>
      </c>
      <c r="FK107" s="30" t="str">
        <f t="shared" ref="FK107:FK110" si="1541">IF(CE107="","","|n"&amp;FK$2&amp;"+"&amp;CE107&amp;FK$1)</f>
        <v/>
      </c>
      <c r="FL107" s="30" t="str">
        <f t="shared" ref="FL107:FL110" si="1542">IF(CF107="","","|n"&amp;FL$2&amp;"+"&amp;CF107&amp;FL$1)</f>
        <v/>
      </c>
      <c r="FM107" s="30" t="str">
        <f t="shared" ref="FM107:FM110" si="1543">IF(CG107="","","|n"&amp;FM$2&amp;"+"&amp;CG107&amp;FM$1)</f>
        <v/>
      </c>
      <c r="FN107" s="30" t="str">
        <f t="shared" ref="FN107:FN110" si="1544">IF(CH107="","","|n"&amp;FN$2&amp;"+"&amp;CH107&amp;FN$1)</f>
        <v/>
      </c>
      <c r="FO107" s="30" t="str">
        <f t="shared" ref="FO107:FO110" si="1545">IF(CI107="","","|n"&amp;FO$2&amp;"+"&amp;CI107&amp;FO$1)</f>
        <v/>
      </c>
      <c r="FP107" s="30" t="str">
        <f t="shared" ref="FP107:FP110" si="1546">IF(CJ107="","","|n"&amp;FP$2&amp;"+"&amp;CJ107&amp;FP$1)</f>
        <v/>
      </c>
      <c r="FQ107" s="30" t="str">
        <f t="shared" ref="FQ107:FQ110" si="1547">IF(CK107="","","|n"&amp;FQ$2&amp;"+"&amp;CK107&amp;FQ$1)</f>
        <v/>
      </c>
      <c r="FR107" s="30" t="str">
        <f t="shared" ref="FR107:FR110" si="1548">IF(CL107="","","|n"&amp;FR$2&amp;"+"&amp;CL107&amp;FR$1)</f>
        <v/>
      </c>
      <c r="FS107" s="30" t="str">
        <f t="shared" ref="FS107:FS110" si="1549">IF(CM107="","","|n"&amp;FS$2&amp;"+"&amp;CM107&amp;FS$1)</f>
        <v/>
      </c>
    </row>
    <row r="108" spans="1:175" ht="16.5">
      <c r="A108" s="117"/>
      <c r="B108" s="111" t="s">
        <v>885</v>
      </c>
      <c r="C108" s="117" t="s">
        <v>889</v>
      </c>
      <c r="T108" s="117" t="s">
        <v>889</v>
      </c>
      <c r="U108" s="37" t="s">
        <v>822</v>
      </c>
      <c r="CN108" s="7" t="str">
        <f t="shared" si="1473"/>
        <v>InitUnitState('IS03',,,,,,,,,,)</v>
      </c>
      <c r="CO108" s="7" t="str">
        <f t="shared" si="1474"/>
        <v>InitUnitNormal('IS03',,,,,,,,,,)</v>
      </c>
      <c r="CP108" s="7" t="str">
        <f t="shared" si="1475"/>
        <v>InitUnitMagic('IS03',,,,,,,,,,)</v>
      </c>
      <c r="CQ108" s="7" t="str">
        <f t="shared" si="1476"/>
        <v>InitUnitAdd('IS03',,,,,,,,,,)</v>
      </c>
      <c r="CR108" s="7" t="str">
        <f t="shared" si="1477"/>
        <v>InitEquipData('IS03',,"",,,,,'','','','','','',"ReplaceableTextures\\CommandButtons\\BTNTome.blp")</v>
      </c>
      <c r="CU108" s="45" t="str">
        <f t="shared" si="1478"/>
        <v>|n</v>
      </c>
      <c r="CV108" s="29" t="str">
        <f t="shared" si="1479"/>
        <v>抽技能A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886</v>
      </c>
      <c r="C109" s="117" t="s">
        <v>890</v>
      </c>
      <c r="T109" s="117" t="s">
        <v>890</v>
      </c>
      <c r="U109" s="37" t="s">
        <v>822</v>
      </c>
      <c r="CN109" s="7" t="str">
        <f t="shared" si="1473"/>
        <v>InitUnitState('IS04',,,,,,,,,,)</v>
      </c>
      <c r="CO109" s="7" t="str">
        <f t="shared" si="1474"/>
        <v>InitUnitNormal('IS04',,,,,,,,,,)</v>
      </c>
      <c r="CP109" s="7" t="str">
        <f t="shared" si="1475"/>
        <v>InitUnitMagic('IS04',,,,,,,,,,)</v>
      </c>
      <c r="CQ109" s="7" t="str">
        <f t="shared" si="1476"/>
        <v>InitUnitAdd('IS04',,,,,,,,,,)</v>
      </c>
      <c r="CR109" s="7" t="str">
        <f t="shared" si="1477"/>
        <v>InitEquipData('IS04',,"",,,,,'','','','','','',"ReplaceableTextures\\CommandButtons\\BTNTome.blp")</v>
      </c>
      <c r="CU109" s="45" t="str">
        <f t="shared" si="1478"/>
        <v>|n</v>
      </c>
      <c r="CV109" s="29" t="str">
        <f t="shared" si="1479"/>
        <v>抽技能S</v>
      </c>
      <c r="CW109" s="24"/>
      <c r="CX109" s="24"/>
      <c r="CY109" s="24"/>
      <c r="CZ109" s="24"/>
      <c r="DA109" s="24"/>
      <c r="DB109" s="30" t="str">
        <f t="shared" si="1480"/>
        <v/>
      </c>
      <c r="DC109" s="30" t="str">
        <f t="shared" si="1481"/>
        <v/>
      </c>
      <c r="DD109" s="30" t="str">
        <f t="shared" si="1482"/>
        <v/>
      </c>
      <c r="DE109" s="30" t="str">
        <f t="shared" si="1483"/>
        <v/>
      </c>
      <c r="DF109" s="30" t="str">
        <f t="shared" si="1484"/>
        <v/>
      </c>
      <c r="DG109" s="30" t="str">
        <f t="shared" si="1485"/>
        <v/>
      </c>
      <c r="DH109" s="30" t="str">
        <f t="shared" si="1486"/>
        <v/>
      </c>
      <c r="DI109" s="30" t="str">
        <f t="shared" si="1487"/>
        <v/>
      </c>
      <c r="DJ109" s="30" t="str">
        <f t="shared" si="1488"/>
        <v/>
      </c>
      <c r="DK109" s="30" t="str">
        <f t="shared" si="1489"/>
        <v/>
      </c>
      <c r="DL109" s="30" t="str">
        <f t="shared" si="1490"/>
        <v/>
      </c>
      <c r="DM109" s="30" t="str">
        <f t="shared" si="1491"/>
        <v/>
      </c>
      <c r="DN109" s="30" t="str">
        <f t="shared" si="1492"/>
        <v/>
      </c>
      <c r="DO109" s="30" t="str">
        <f t="shared" si="1493"/>
        <v/>
      </c>
      <c r="DP109" s="30" t="str">
        <f t="shared" si="1494"/>
        <v/>
      </c>
      <c r="DQ109" s="30" t="str">
        <f t="shared" si="1495"/>
        <v/>
      </c>
      <c r="DR109" s="30" t="str">
        <f t="shared" si="1496"/>
        <v/>
      </c>
      <c r="DS109" s="30" t="str">
        <f t="shared" si="1497"/>
        <v/>
      </c>
      <c r="DT109" s="30" t="str">
        <f t="shared" si="1498"/>
        <v/>
      </c>
      <c r="DU109" s="30" t="str">
        <f t="shared" si="1499"/>
        <v/>
      </c>
      <c r="DV109" s="30" t="str">
        <f t="shared" si="1500"/>
        <v/>
      </c>
      <c r="DW109" s="30" t="str">
        <f t="shared" si="1501"/>
        <v/>
      </c>
      <c r="DX109" s="30" t="str">
        <f t="shared" si="1502"/>
        <v/>
      </c>
      <c r="DY109" s="30" t="str">
        <f t="shared" si="1503"/>
        <v/>
      </c>
      <c r="DZ109" s="30" t="str">
        <f t="shared" si="1504"/>
        <v/>
      </c>
      <c r="EA109" s="30" t="str">
        <f t="shared" si="1505"/>
        <v/>
      </c>
      <c r="EB109" s="30" t="str">
        <f t="shared" si="1506"/>
        <v/>
      </c>
      <c r="EC109" s="30" t="str">
        <f t="shared" si="1507"/>
        <v/>
      </c>
      <c r="ED109" s="30" t="str">
        <f t="shared" si="1508"/>
        <v/>
      </c>
      <c r="EE109" s="30" t="str">
        <f t="shared" si="1509"/>
        <v/>
      </c>
      <c r="EF109" s="30" t="str">
        <f t="shared" si="1510"/>
        <v/>
      </c>
      <c r="EG109" s="30" t="str">
        <f t="shared" si="1511"/>
        <v/>
      </c>
      <c r="EH109" s="30" t="str">
        <f t="shared" si="1512"/>
        <v/>
      </c>
      <c r="EI109" s="30" t="str">
        <f t="shared" si="1513"/>
        <v/>
      </c>
      <c r="EJ109" s="30" t="str">
        <f t="shared" si="1514"/>
        <v/>
      </c>
      <c r="EK109" s="30" t="str">
        <f t="shared" si="1515"/>
        <v/>
      </c>
      <c r="EL109" s="30" t="str">
        <f t="shared" si="1516"/>
        <v/>
      </c>
      <c r="EM109" s="30" t="str">
        <f t="shared" si="1517"/>
        <v/>
      </c>
      <c r="EN109" s="30" t="str">
        <f t="shared" si="1518"/>
        <v/>
      </c>
      <c r="EO109" s="30" t="str">
        <f t="shared" si="1519"/>
        <v/>
      </c>
      <c r="EP109" s="30" t="str">
        <f t="shared" si="1520"/>
        <v/>
      </c>
      <c r="EQ109" s="30" t="str">
        <f t="shared" si="1521"/>
        <v/>
      </c>
      <c r="ER109" s="30" t="str">
        <f t="shared" si="1522"/>
        <v/>
      </c>
      <c r="ES109" s="30" t="str">
        <f t="shared" si="1523"/>
        <v/>
      </c>
      <c r="ET109" s="30" t="str">
        <f t="shared" si="1524"/>
        <v/>
      </c>
      <c r="EU109" s="30" t="str">
        <f t="shared" si="1525"/>
        <v/>
      </c>
      <c r="EV109" s="30" t="str">
        <f t="shared" si="1526"/>
        <v/>
      </c>
      <c r="EW109" s="30" t="str">
        <f t="shared" si="1527"/>
        <v/>
      </c>
      <c r="EX109" s="30" t="str">
        <f t="shared" si="1528"/>
        <v/>
      </c>
      <c r="EY109" s="30" t="str">
        <f t="shared" si="1529"/>
        <v/>
      </c>
      <c r="EZ109" s="30" t="str">
        <f t="shared" si="1530"/>
        <v/>
      </c>
      <c r="FA109" s="30" t="str">
        <f t="shared" si="1531"/>
        <v/>
      </c>
      <c r="FB109" s="30" t="str">
        <f t="shared" si="1532"/>
        <v/>
      </c>
      <c r="FC109" s="30" t="str">
        <f t="shared" si="1533"/>
        <v/>
      </c>
      <c r="FD109" s="30" t="str">
        <f t="shared" si="1534"/>
        <v/>
      </c>
      <c r="FE109" s="30" t="str">
        <f t="shared" si="1535"/>
        <v/>
      </c>
      <c r="FF109" s="30" t="str">
        <f t="shared" si="1536"/>
        <v/>
      </c>
      <c r="FG109" s="30" t="str">
        <f t="shared" si="1537"/>
        <v/>
      </c>
      <c r="FH109" s="30" t="str">
        <f t="shared" si="1538"/>
        <v/>
      </c>
      <c r="FI109" s="30" t="str">
        <f t="shared" si="1539"/>
        <v/>
      </c>
      <c r="FJ109" s="30" t="str">
        <f t="shared" si="1540"/>
        <v/>
      </c>
      <c r="FK109" s="30" t="str">
        <f t="shared" si="1541"/>
        <v/>
      </c>
      <c r="FL109" s="30" t="str">
        <f t="shared" si="1542"/>
        <v/>
      </c>
      <c r="FM109" s="30" t="str">
        <f t="shared" si="1543"/>
        <v/>
      </c>
      <c r="FN109" s="30" t="str">
        <f t="shared" si="1544"/>
        <v/>
      </c>
      <c r="FO109" s="30" t="str">
        <f t="shared" si="1545"/>
        <v/>
      </c>
      <c r="FP109" s="30" t="str">
        <f t="shared" si="1546"/>
        <v/>
      </c>
      <c r="FQ109" s="30" t="str">
        <f t="shared" si="1547"/>
        <v/>
      </c>
      <c r="FR109" s="30" t="str">
        <f t="shared" si="1548"/>
        <v/>
      </c>
      <c r="FS109" s="30" t="str">
        <f t="shared" si="1549"/>
        <v/>
      </c>
    </row>
    <row r="110" spans="1:175" ht="16.5">
      <c r="A110" s="117"/>
      <c r="B110" s="111" t="s">
        <v>891</v>
      </c>
      <c r="C110" s="117" t="s">
        <v>892</v>
      </c>
      <c r="T110" s="117" t="s">
        <v>892</v>
      </c>
      <c r="U110" s="37" t="s">
        <v>822</v>
      </c>
      <c r="CN110" s="7" t="str">
        <f t="shared" si="1473"/>
        <v>InitUnitState('IH00',,,,,,,,,,)</v>
      </c>
      <c r="CO110" s="7" t="str">
        <f t="shared" si="1474"/>
        <v>InitUnitNormal('IH00',,,,,,,,,,)</v>
      </c>
      <c r="CP110" s="7" t="str">
        <f t="shared" si="1475"/>
        <v>InitUnitMagic('IH00',,,,,,,,,,)</v>
      </c>
      <c r="CQ110" s="7" t="str">
        <f t="shared" si="1476"/>
        <v>InitUnitAdd('IH00',,,,,,,,,,)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InitEquipData('IH00',,"",,,,,'','','','','','',"ReplaceableTextures\\CommandButtons\\BTNTome.blp")</v>
      </c>
      <c r="CU110" s="45" t="str">
        <f t="shared" si="1478"/>
        <v>|n</v>
      </c>
      <c r="CV110" s="29" t="str">
        <f t="shared" si="1479"/>
        <v>觉醒兽魂</v>
      </c>
      <c r="CW110" s="24"/>
      <c r="CX110" s="24"/>
      <c r="CY110" s="24"/>
      <c r="CZ110" s="24"/>
      <c r="DA110" s="24"/>
      <c r="DB110" s="30" t="str">
        <f t="shared" si="1480"/>
        <v/>
      </c>
      <c r="DC110" s="30" t="str">
        <f t="shared" si="1481"/>
        <v/>
      </c>
      <c r="DD110" s="30" t="str">
        <f t="shared" si="1482"/>
        <v/>
      </c>
      <c r="DE110" s="30" t="str">
        <f t="shared" si="1483"/>
        <v/>
      </c>
      <c r="DF110" s="30" t="str">
        <f t="shared" si="1484"/>
        <v/>
      </c>
      <c r="DG110" s="30" t="str">
        <f t="shared" si="1485"/>
        <v/>
      </c>
      <c r="DH110" s="30" t="str">
        <f t="shared" si="1486"/>
        <v/>
      </c>
      <c r="DI110" s="30" t="str">
        <f t="shared" si="1487"/>
        <v/>
      </c>
      <c r="DJ110" s="30" t="str">
        <f t="shared" si="1488"/>
        <v/>
      </c>
      <c r="DK110" s="30" t="str">
        <f t="shared" si="1489"/>
        <v/>
      </c>
      <c r="DL110" s="30" t="str">
        <f t="shared" si="1490"/>
        <v/>
      </c>
      <c r="DM110" s="30" t="str">
        <f t="shared" si="1491"/>
        <v/>
      </c>
      <c r="DN110" s="30" t="str">
        <f t="shared" si="1492"/>
        <v/>
      </c>
      <c r="DO110" s="30" t="str">
        <f t="shared" si="1493"/>
        <v/>
      </c>
      <c r="DP110" s="30" t="str">
        <f t="shared" si="1494"/>
        <v/>
      </c>
      <c r="DQ110" s="30" t="str">
        <f t="shared" si="1495"/>
        <v/>
      </c>
      <c r="DR110" s="30" t="str">
        <f t="shared" si="1496"/>
        <v/>
      </c>
      <c r="DS110" s="30" t="str">
        <f t="shared" si="1497"/>
        <v/>
      </c>
      <c r="DT110" s="30" t="str">
        <f t="shared" si="1498"/>
        <v/>
      </c>
      <c r="DU110" s="30" t="str">
        <f t="shared" si="1499"/>
        <v/>
      </c>
      <c r="DV110" s="30" t="str">
        <f t="shared" si="1500"/>
        <v/>
      </c>
      <c r="DW110" s="30" t="str">
        <f t="shared" si="1501"/>
        <v/>
      </c>
      <c r="DX110" s="30" t="str">
        <f t="shared" si="1502"/>
        <v/>
      </c>
      <c r="DY110" s="30" t="str">
        <f t="shared" si="1503"/>
        <v/>
      </c>
      <c r="DZ110" s="30" t="str">
        <f t="shared" si="1504"/>
        <v/>
      </c>
      <c r="EA110" s="30" t="str">
        <f t="shared" si="1505"/>
        <v/>
      </c>
      <c r="EB110" s="30" t="str">
        <f t="shared" si="1506"/>
        <v/>
      </c>
      <c r="EC110" s="30" t="str">
        <f t="shared" si="1507"/>
        <v/>
      </c>
      <c r="ED110" s="30" t="str">
        <f t="shared" si="1508"/>
        <v/>
      </c>
      <c r="EE110" s="30" t="str">
        <f t="shared" si="1509"/>
        <v/>
      </c>
      <c r="EF110" s="30" t="str">
        <f t="shared" si="1510"/>
        <v/>
      </c>
      <c r="EG110" s="30" t="str">
        <f t="shared" si="1511"/>
        <v/>
      </c>
      <c r="EH110" s="30" t="str">
        <f t="shared" si="1512"/>
        <v/>
      </c>
      <c r="EI110" s="30" t="str">
        <f t="shared" si="1513"/>
        <v/>
      </c>
      <c r="EJ110" s="30" t="str">
        <f t="shared" si="1514"/>
        <v/>
      </c>
      <c r="EK110" s="30" t="str">
        <f t="shared" si="1515"/>
        <v/>
      </c>
      <c r="EL110" s="30" t="str">
        <f t="shared" si="1516"/>
        <v/>
      </c>
      <c r="EM110" s="30" t="str">
        <f t="shared" si="1517"/>
        <v/>
      </c>
      <c r="EN110" s="30" t="str">
        <f t="shared" si="1518"/>
        <v/>
      </c>
      <c r="EO110" s="30" t="str">
        <f t="shared" si="1519"/>
        <v/>
      </c>
      <c r="EP110" s="30" t="str">
        <f t="shared" si="1520"/>
        <v/>
      </c>
      <c r="EQ110" s="30" t="str">
        <f t="shared" si="1521"/>
        <v/>
      </c>
      <c r="ER110" s="30" t="str">
        <f t="shared" si="1522"/>
        <v/>
      </c>
      <c r="ES110" s="30" t="str">
        <f t="shared" si="1523"/>
        <v/>
      </c>
      <c r="ET110" s="30" t="str">
        <f t="shared" si="1524"/>
        <v/>
      </c>
      <c r="EU110" s="30" t="str">
        <f t="shared" si="1525"/>
        <v/>
      </c>
      <c r="EV110" s="30" t="str">
        <f t="shared" si="1526"/>
        <v/>
      </c>
      <c r="EW110" s="30" t="str">
        <f t="shared" si="1527"/>
        <v/>
      </c>
      <c r="EX110" s="30" t="str">
        <f t="shared" si="1528"/>
        <v/>
      </c>
      <c r="EY110" s="30" t="str">
        <f t="shared" si="1529"/>
        <v/>
      </c>
      <c r="EZ110" s="30" t="str">
        <f t="shared" si="1530"/>
        <v/>
      </c>
      <c r="FA110" s="30" t="str">
        <f t="shared" si="1531"/>
        <v/>
      </c>
      <c r="FB110" s="30" t="str">
        <f t="shared" si="1532"/>
        <v/>
      </c>
      <c r="FC110" s="30" t="str">
        <f t="shared" si="1533"/>
        <v/>
      </c>
      <c r="FD110" s="30" t="str">
        <f t="shared" si="1534"/>
        <v/>
      </c>
      <c r="FE110" s="30" t="str">
        <f t="shared" si="1535"/>
        <v/>
      </c>
      <c r="FF110" s="30" t="str">
        <f t="shared" si="1536"/>
        <v/>
      </c>
      <c r="FG110" s="30" t="str">
        <f t="shared" si="1537"/>
        <v/>
      </c>
      <c r="FH110" s="30" t="str">
        <f t="shared" si="1538"/>
        <v/>
      </c>
      <c r="FI110" s="30" t="str">
        <f t="shared" si="1539"/>
        <v/>
      </c>
      <c r="FJ110" s="30" t="str">
        <f t="shared" si="1540"/>
        <v/>
      </c>
      <c r="FK110" s="30" t="str">
        <f t="shared" si="1541"/>
        <v/>
      </c>
      <c r="FL110" s="30" t="str">
        <f t="shared" si="1542"/>
        <v/>
      </c>
      <c r="FM110" s="30" t="str">
        <f t="shared" si="1543"/>
        <v/>
      </c>
      <c r="FN110" s="30" t="str">
        <f t="shared" si="1544"/>
        <v/>
      </c>
      <c r="FO110" s="30" t="str">
        <f t="shared" si="1545"/>
        <v/>
      </c>
      <c r="FP110" s="30" t="str">
        <f t="shared" si="1546"/>
        <v/>
      </c>
      <c r="FQ110" s="30" t="str">
        <f t="shared" si="1547"/>
        <v/>
      </c>
      <c r="FR110" s="30" t="str">
        <f t="shared" si="1548"/>
        <v/>
      </c>
      <c r="FS110" s="30" t="str">
        <f t="shared" si="1549"/>
        <v/>
      </c>
    </row>
    <row r="111" spans="1:175" ht="16.5">
      <c r="A111" s="117"/>
      <c r="B111" s="111" t="s">
        <v>893</v>
      </c>
      <c r="C111" s="117" t="s">
        <v>894</v>
      </c>
      <c r="T111" s="117" t="s">
        <v>892</v>
      </c>
      <c r="U111" s="37" t="s">
        <v>822</v>
      </c>
      <c r="CN111" s="7" t="str">
        <f t="shared" ref="CN111" si="1550">"InitUnitState('"&amp;B111&amp;"',"&amp;V111&amp;","&amp;W111&amp;","&amp;X111&amp;","&amp;Y111&amp;","&amp;Z111&amp;","&amp;AA111&amp;","&amp;AB111&amp;","&amp;AC111&amp;","&amp;AD111&amp;","&amp;AE111&amp;")"</f>
        <v>InitUnitState('IH01',,,,,,,,,,)</v>
      </c>
      <c r="CO111" s="7" t="str">
        <f t="shared" ref="CO111" si="1551">"InitUnitNormal('"&amp;B111&amp;"',"&amp;AF111&amp;","&amp;AG111&amp;","&amp;AH111&amp;","&amp;AI111&amp;","&amp;AJ111&amp;","&amp;AK111&amp;","&amp;AL111&amp;","&amp;AM111&amp;","&amp;AN111&amp;","&amp;AO111&amp;")"</f>
        <v>InitUnitNormal('IH01',,,,,,,,,,)</v>
      </c>
      <c r="CP111" s="7" t="str">
        <f t="shared" ref="CP111" si="1552">"InitUnitMagic('"&amp;B111&amp;"',"&amp;AP111&amp;","&amp;AQ111&amp;","&amp;AR111&amp;","&amp;AS111&amp;","&amp;AT111&amp;","&amp;AU111&amp;","&amp;AV111&amp;","&amp;AW111&amp;","&amp;BI111&amp;","&amp;BJ111&amp;")"</f>
        <v>InitUnitMagic('IH01',,,,,,,,,,)</v>
      </c>
      <c r="CQ111" s="7" t="str">
        <f t="shared" ref="CQ111" si="1553">"InitUnitAdd('"&amp;B111&amp;"',"&amp;BK111&amp;","&amp;BL111&amp;","&amp;BM111&amp;","&amp;BN111&amp;","&amp;BO111&amp;","&amp;BP111&amp;","&amp;BQ111&amp;","&amp;BR111&amp;","&amp;BS111&amp;","&amp;BT111&amp;")"</f>
        <v>InitUnitAdd('IH01',,,,,,,,,,)</v>
      </c>
      <c r="CR111" s="7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InitEquipData('IH01',,"",,,,,'','','','','','',"ReplaceableTextures\\CommandButtons\\BTNTome.blp")</v>
      </c>
      <c r="CU111" s="45" t="str">
        <f t="shared" ref="CU111" si="1554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" si="1555">T111</f>
        <v>觉醒兽魂</v>
      </c>
      <c r="CW111" s="24"/>
      <c r="CX111" s="24"/>
      <c r="CY111" s="24"/>
      <c r="CZ111" s="24"/>
      <c r="DA111" s="24"/>
      <c r="DB111" s="30" t="str">
        <f t="shared" ref="DB111" si="1556">IF(V111="","","|n"&amp;DB$2&amp;"+"&amp;V111&amp;DB$1)</f>
        <v/>
      </c>
      <c r="DC111" s="30" t="str">
        <f t="shared" ref="DC111" si="1557">IF(W111="","","|n"&amp;DC$2&amp;"+"&amp;W111&amp;DC$1)</f>
        <v/>
      </c>
      <c r="DD111" s="30" t="str">
        <f t="shared" ref="DD111" si="1558">IF(X111="","","|n"&amp;DD$2&amp;"+"&amp;X111&amp;DD$1)</f>
        <v/>
      </c>
      <c r="DE111" s="30" t="str">
        <f t="shared" ref="DE111" si="1559">IF(Y111="","","|n"&amp;DE$2&amp;"+"&amp;Y111&amp;DE$1)</f>
        <v/>
      </c>
      <c r="DF111" s="30" t="str">
        <f t="shared" ref="DF111" si="1560">IF(Z111="","","|n"&amp;DF$2&amp;"+"&amp;Z111&amp;DF$1)</f>
        <v/>
      </c>
      <c r="DG111" s="30" t="str">
        <f t="shared" ref="DG111" si="1561">IF(AA111="","","|n"&amp;DG$2&amp;"+"&amp;AA111&amp;DG$1)</f>
        <v/>
      </c>
      <c r="DH111" s="30" t="str">
        <f t="shared" ref="DH111" si="1562">IF(AB111="","","|n"&amp;DH$2&amp;"+"&amp;AB111&amp;DH$1)</f>
        <v/>
      </c>
      <c r="DI111" s="30" t="str">
        <f t="shared" ref="DI111" si="1563">IF(AC111="","","|n"&amp;DI$2&amp;"+"&amp;AC111&amp;DI$1)</f>
        <v/>
      </c>
      <c r="DJ111" s="30" t="str">
        <f t="shared" ref="DJ111" si="1564">IF(AD111="","","|n"&amp;DJ$2&amp;"+"&amp;AD111&amp;DJ$1)</f>
        <v/>
      </c>
      <c r="DK111" s="30" t="str">
        <f t="shared" ref="DK111" si="1565">IF(AE111="","","|n"&amp;DK$2&amp;"+"&amp;AE111&amp;DK$1)</f>
        <v/>
      </c>
      <c r="DL111" s="30" t="str">
        <f t="shared" ref="DL111" si="1566">IF(AF111="","","|n"&amp;DL$2&amp;"+"&amp;AF111&amp;DL$1)</f>
        <v/>
      </c>
      <c r="DM111" s="30" t="str">
        <f t="shared" ref="DM111" si="1567">IF(AG111="","","|n"&amp;DM$2&amp;"+"&amp;AG111&amp;DM$1)</f>
        <v/>
      </c>
      <c r="DN111" s="30" t="str">
        <f t="shared" ref="DN111" si="1568">IF(AH111="","","|n"&amp;DN$2&amp;"+"&amp;AH111&amp;DN$1)</f>
        <v/>
      </c>
      <c r="DO111" s="30" t="str">
        <f t="shared" ref="DO111" si="1569">IF(AI111="","","|n"&amp;DO$2&amp;"+"&amp;AI111&amp;DO$1)</f>
        <v/>
      </c>
      <c r="DP111" s="30" t="str">
        <f t="shared" ref="DP111" si="1570">IF(AJ111="","","|n"&amp;DP$2&amp;"+"&amp;AJ111&amp;DP$1)</f>
        <v/>
      </c>
      <c r="DQ111" s="30" t="str">
        <f t="shared" ref="DQ111" si="1571">IF(AK111="","","|n"&amp;DQ$2&amp;"+"&amp;AK111&amp;DQ$1)</f>
        <v/>
      </c>
      <c r="DR111" s="30" t="str">
        <f t="shared" ref="DR111" si="1572">IF(AL111="","","|n"&amp;DR$2&amp;"+"&amp;AL111&amp;DR$1)</f>
        <v/>
      </c>
      <c r="DS111" s="30" t="str">
        <f t="shared" ref="DS111" si="1573">IF(AM111="","","|n"&amp;DS$2&amp;"+"&amp;AM111&amp;DS$1)</f>
        <v/>
      </c>
      <c r="DT111" s="30" t="str">
        <f t="shared" ref="DT111" si="1574">IF(AN111="","","|n"&amp;DT$2&amp;"+"&amp;AN111&amp;DT$1)</f>
        <v/>
      </c>
      <c r="DU111" s="30" t="str">
        <f t="shared" ref="DU111" si="1575">IF(AO111="","","|n"&amp;DU$2&amp;"+"&amp;AO111&amp;DU$1)</f>
        <v/>
      </c>
      <c r="DV111" s="30" t="str">
        <f t="shared" ref="DV111" si="1576">IF(AP111="","","|n"&amp;DV$2&amp;"+"&amp;AP111&amp;DV$1)</f>
        <v/>
      </c>
      <c r="DW111" s="30" t="str">
        <f t="shared" ref="DW111" si="1577">IF(AQ111="","","|n"&amp;DW$2&amp;"+"&amp;AQ111&amp;DW$1)</f>
        <v/>
      </c>
      <c r="DX111" s="30" t="str">
        <f t="shared" ref="DX111" si="1578">IF(AR111="","","|n"&amp;DX$2&amp;"+"&amp;AR111&amp;DX$1)</f>
        <v/>
      </c>
      <c r="DY111" s="30" t="str">
        <f t="shared" ref="DY111" si="1579">IF(AS111="","","|n"&amp;DY$2&amp;"+"&amp;AS111&amp;DY$1)</f>
        <v/>
      </c>
      <c r="DZ111" s="30" t="str">
        <f t="shared" ref="DZ111" si="1580">IF(AT111="","","|n"&amp;DZ$2&amp;"+"&amp;AT111&amp;DZ$1)</f>
        <v/>
      </c>
      <c r="EA111" s="30" t="str">
        <f t="shared" ref="EA111" si="1581">IF(AU111="","","|n"&amp;EA$2&amp;"+"&amp;AU111&amp;EA$1)</f>
        <v/>
      </c>
      <c r="EB111" s="30" t="str">
        <f t="shared" ref="EB111" si="1582">IF(AV111="","","|n"&amp;EB$2&amp;"+"&amp;AV111&amp;EB$1)</f>
        <v/>
      </c>
      <c r="EC111" s="30" t="str">
        <f t="shared" ref="EC111" si="1583">IF(AW111="","","|n"&amp;EC$2&amp;"+"&amp;AW111&amp;EC$1)</f>
        <v/>
      </c>
      <c r="ED111" s="30" t="str">
        <f t="shared" ref="ED111" si="1584">IF(AX111="","","|n"&amp;ED$2&amp;"+"&amp;AX111&amp;ED$1)</f>
        <v/>
      </c>
      <c r="EE111" s="30" t="str">
        <f t="shared" ref="EE111" si="1585">IF(AY111="","","|n"&amp;EE$2&amp;"+"&amp;AY111&amp;EE$1)</f>
        <v/>
      </c>
      <c r="EF111" s="30" t="str">
        <f t="shared" ref="EF111" si="1586">IF(AZ111="","","|n"&amp;EF$2&amp;"+"&amp;AZ111&amp;EF$1)</f>
        <v/>
      </c>
      <c r="EG111" s="30" t="str">
        <f t="shared" ref="EG111" si="1587">IF(BA111="","","|n"&amp;EG$2&amp;"+"&amp;BA111&amp;EG$1)</f>
        <v/>
      </c>
      <c r="EH111" s="30" t="str">
        <f t="shared" ref="EH111" si="1588">IF(BB111="","","|n"&amp;EH$2&amp;"+"&amp;BB111&amp;EH$1)</f>
        <v/>
      </c>
      <c r="EI111" s="30" t="str">
        <f t="shared" ref="EI111" si="1589">IF(BC111="","","|n"&amp;EI$2&amp;"+"&amp;BC111&amp;EI$1)</f>
        <v/>
      </c>
      <c r="EJ111" s="30" t="str">
        <f t="shared" ref="EJ111" si="1590">IF(BD111="","","|n"&amp;EJ$2&amp;"+"&amp;BD111&amp;EJ$1)</f>
        <v/>
      </c>
      <c r="EK111" s="30" t="str">
        <f t="shared" ref="EK111" si="1591">IF(BE111="","","|n"&amp;EK$2&amp;"+"&amp;BE111&amp;EK$1)</f>
        <v/>
      </c>
      <c r="EL111" s="30" t="str">
        <f t="shared" ref="EL111" si="1592">IF(BF111="","","|n"&amp;EL$2&amp;"+"&amp;BF111&amp;EL$1)</f>
        <v/>
      </c>
      <c r="EM111" s="30" t="str">
        <f t="shared" ref="EM111" si="1593">IF(BG111="","","|n"&amp;EM$2&amp;"+"&amp;BG111&amp;EM$1)</f>
        <v/>
      </c>
      <c r="EN111" s="30" t="str">
        <f t="shared" ref="EN111" si="1594">IF(BH111="","","|n"&amp;EN$2&amp;"+"&amp;BH111&amp;EN$1)</f>
        <v/>
      </c>
      <c r="EO111" s="30" t="str">
        <f t="shared" ref="EO111" si="1595">IF(BI111="","","|n"&amp;EO$2&amp;"+"&amp;BI111&amp;EO$1)</f>
        <v/>
      </c>
      <c r="EP111" s="30" t="str">
        <f t="shared" ref="EP111" si="1596">IF(BJ111="","","|n"&amp;EP$2&amp;"+"&amp;BJ111&amp;EP$1)</f>
        <v/>
      </c>
      <c r="EQ111" s="30" t="str">
        <f t="shared" ref="EQ111" si="1597">IF(BK111="","","|n"&amp;EQ$2&amp;"+"&amp;BK111&amp;EQ$1)</f>
        <v/>
      </c>
      <c r="ER111" s="30" t="str">
        <f t="shared" ref="ER111" si="1598">IF(BL111="","","|n"&amp;ER$2&amp;"+"&amp;BL111&amp;ER$1)</f>
        <v/>
      </c>
      <c r="ES111" s="30" t="str">
        <f t="shared" ref="ES111" si="1599">IF(BM111="","","|n"&amp;ES$2&amp;"+"&amp;BM111&amp;ES$1)</f>
        <v/>
      </c>
      <c r="ET111" s="30" t="str">
        <f t="shared" ref="ET111" si="1600">IF(BN111="","","|n"&amp;ET$2&amp;"+"&amp;BN111&amp;ET$1)</f>
        <v/>
      </c>
      <c r="EU111" s="30" t="str">
        <f t="shared" ref="EU111" si="1601">IF(BO111="","","|n"&amp;EU$2&amp;"+"&amp;BO111&amp;EU$1)</f>
        <v/>
      </c>
      <c r="EV111" s="30" t="str">
        <f t="shared" ref="EV111" si="1602">IF(BP111="","","|n"&amp;EV$2&amp;"+"&amp;BP111&amp;EV$1)</f>
        <v/>
      </c>
      <c r="EW111" s="30" t="str">
        <f t="shared" ref="EW111" si="1603">IF(BQ111="","","|n"&amp;EW$2&amp;"+"&amp;BQ111&amp;EW$1)</f>
        <v/>
      </c>
      <c r="EX111" s="30" t="str">
        <f t="shared" ref="EX111" si="1604">IF(BR111="","","|n"&amp;EX$2&amp;"+"&amp;BR111&amp;EX$1)</f>
        <v/>
      </c>
      <c r="EY111" s="30" t="str">
        <f t="shared" ref="EY111" si="1605">IF(BS111="","","|n"&amp;EY$2&amp;"+"&amp;BS111&amp;EY$1)</f>
        <v/>
      </c>
      <c r="EZ111" s="30" t="str">
        <f t="shared" ref="EZ111" si="1606">IF(BT111="","","|n"&amp;EZ$2&amp;"+"&amp;BT111&amp;EZ$1)</f>
        <v/>
      </c>
      <c r="FA111" s="30" t="str">
        <f t="shared" ref="FA111" si="1607">IF(BU111="","","|n"&amp;FA$2&amp;"+"&amp;BU111&amp;FA$1)</f>
        <v/>
      </c>
      <c r="FB111" s="30" t="str">
        <f t="shared" ref="FB111" si="1608">IF(BV111="","","|n"&amp;FB$2&amp;"+"&amp;BV111&amp;FB$1)</f>
        <v/>
      </c>
      <c r="FC111" s="30" t="str">
        <f t="shared" ref="FC111" si="1609">IF(BW111="","","|n"&amp;FC$2&amp;"+"&amp;BW111&amp;FC$1)</f>
        <v/>
      </c>
      <c r="FD111" s="30" t="str">
        <f t="shared" ref="FD111" si="1610">IF(BX111="","","|n"&amp;FD$2&amp;"+"&amp;BX111&amp;FD$1)</f>
        <v/>
      </c>
      <c r="FE111" s="30" t="str">
        <f t="shared" ref="FE111" si="1611">IF(BY111="","","|n"&amp;FE$2&amp;"+"&amp;BY111&amp;FE$1)</f>
        <v/>
      </c>
      <c r="FF111" s="30" t="str">
        <f t="shared" ref="FF111" si="1612">IF(BZ111="","","|n"&amp;FF$2&amp;"+"&amp;BZ111&amp;FF$1)</f>
        <v/>
      </c>
      <c r="FG111" s="30" t="str">
        <f t="shared" ref="FG111" si="1613">IF(CA111="","","|n"&amp;FG$2&amp;"+"&amp;CA111&amp;FG$1)</f>
        <v/>
      </c>
      <c r="FH111" s="30" t="str">
        <f t="shared" ref="FH111" si="1614">IF(CB111="","","|n"&amp;FH$2&amp;"+"&amp;CB111&amp;FH$1)</f>
        <v/>
      </c>
      <c r="FI111" s="30" t="str">
        <f t="shared" ref="FI111" si="1615">IF(CC111="","","|n"&amp;FI$2&amp;"+"&amp;CC111&amp;FI$1)</f>
        <v/>
      </c>
      <c r="FJ111" s="30" t="str">
        <f t="shared" ref="FJ111" si="1616">IF(CD111="","","|n"&amp;FJ$2&amp;"+"&amp;CD111&amp;FJ$1)</f>
        <v/>
      </c>
      <c r="FK111" s="30" t="str">
        <f t="shared" ref="FK111" si="1617">IF(CE111="","","|n"&amp;FK$2&amp;"+"&amp;CE111&amp;FK$1)</f>
        <v/>
      </c>
      <c r="FL111" s="30" t="str">
        <f t="shared" ref="FL111" si="1618">IF(CF111="","","|n"&amp;FL$2&amp;"+"&amp;CF111&amp;FL$1)</f>
        <v/>
      </c>
      <c r="FM111" s="30" t="str">
        <f t="shared" ref="FM111" si="1619">IF(CG111="","","|n"&amp;FM$2&amp;"+"&amp;CG111&amp;FM$1)</f>
        <v/>
      </c>
      <c r="FN111" s="30" t="str">
        <f t="shared" ref="FN111" si="1620">IF(CH111="","","|n"&amp;FN$2&amp;"+"&amp;CH111&amp;FN$1)</f>
        <v/>
      </c>
      <c r="FO111" s="30" t="str">
        <f t="shared" ref="FO111" si="1621">IF(CI111="","","|n"&amp;FO$2&amp;"+"&amp;CI111&amp;FO$1)</f>
        <v/>
      </c>
      <c r="FP111" s="30" t="str">
        <f t="shared" ref="FP111" si="1622">IF(CJ111="","","|n"&amp;FP$2&amp;"+"&amp;CJ111&amp;FP$1)</f>
        <v/>
      </c>
      <c r="FQ111" s="30" t="str">
        <f t="shared" ref="FQ111" si="1623">IF(CK111="","","|n"&amp;FQ$2&amp;"+"&amp;CK111&amp;FQ$1)</f>
        <v/>
      </c>
      <c r="FR111" s="30" t="str">
        <f t="shared" ref="FR111" si="1624">IF(CL111="","","|n"&amp;FR$2&amp;"+"&amp;CL111&amp;FR$1)</f>
        <v/>
      </c>
      <c r="FS111" s="30" t="str">
        <f t="shared" ref="FS111" si="1625">IF(CM111="","","|n"&amp;FS$2&amp;"+"&amp;CM111&amp;FS$1)</f>
        <v/>
      </c>
    </row>
    <row r="112" spans="1:175" ht="16.5">
      <c r="A112" s="117"/>
      <c r="B112" s="111" t="s">
        <v>895</v>
      </c>
      <c r="C112" s="117" t="s">
        <v>896</v>
      </c>
      <c r="T112" s="117" t="s">
        <v>892</v>
      </c>
      <c r="U112" s="37" t="s">
        <v>822</v>
      </c>
      <c r="CN112" s="7" t="str">
        <f t="shared" ref="CN112:CN118" si="1626">"InitUnitState('"&amp;B112&amp;"',"&amp;V112&amp;","&amp;W112&amp;","&amp;X112&amp;","&amp;Y112&amp;","&amp;Z112&amp;","&amp;AA112&amp;","&amp;AB112&amp;","&amp;AC112&amp;","&amp;AD112&amp;","&amp;AE112&amp;")"</f>
        <v>InitUnitState('IH02',,,,,,,,,,)</v>
      </c>
      <c r="CO112" s="7" t="str">
        <f t="shared" ref="CO112:CO118" si="1627">"InitUnitNormal('"&amp;B112&amp;"',"&amp;AF112&amp;","&amp;AG112&amp;","&amp;AH112&amp;","&amp;AI112&amp;","&amp;AJ112&amp;","&amp;AK112&amp;","&amp;AL112&amp;","&amp;AM112&amp;","&amp;AN112&amp;","&amp;AO112&amp;")"</f>
        <v>InitUnitNormal('IH02',,,,,,,,,,)</v>
      </c>
      <c r="CP112" s="7" t="str">
        <f t="shared" ref="CP112:CP118" si="1628">"InitUnitMagic('"&amp;B112&amp;"',"&amp;AP112&amp;","&amp;AQ112&amp;","&amp;AR112&amp;","&amp;AS112&amp;","&amp;AT112&amp;","&amp;AU112&amp;","&amp;AV112&amp;","&amp;AW112&amp;","&amp;BI112&amp;","&amp;BJ112&amp;")"</f>
        <v>InitUnitMagic('IH02',,,,,,,,,,)</v>
      </c>
      <c r="CQ112" s="7" t="str">
        <f t="shared" ref="CQ112:CQ118" si="1629">"InitUnitAdd('"&amp;B112&amp;"',"&amp;BK112&amp;","&amp;BL112&amp;","&amp;BM112&amp;","&amp;BN112&amp;","&amp;BO112&amp;","&amp;BP112&amp;","&amp;BQ112&amp;","&amp;BR112&amp;","&amp;BS112&amp;","&amp;BT112&amp;")"</f>
        <v>InitUnitAdd('IH02',,,,,,,,,,)</v>
      </c>
      <c r="CR112" s="7" t="str">
        <f t="shared" ref="CR112:CR117" si="1630"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113&amp;CR$1&amp;")"</f>
        <v>InitEquipData('IH02',,"",,,,,'','','','','','',"ReplaceableTextures\\CommandButtons\\BTNTome.blp")</v>
      </c>
      <c r="CU112" s="45" t="str">
        <f t="shared" ref="CU112:CU118" si="1631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29" t="str">
        <f t="shared" ref="CV112:CV118" si="1632">T112</f>
        <v>觉醒兽魂</v>
      </c>
      <c r="CW112" s="24"/>
      <c r="CX112" s="24"/>
      <c r="CY112" s="24"/>
      <c r="CZ112" s="24"/>
      <c r="DA112" s="24"/>
      <c r="DB112" s="30" t="str">
        <f t="shared" ref="DB112:DB118" si="1633">IF(V112="","","|n"&amp;DB$2&amp;"+"&amp;V112&amp;DB$1)</f>
        <v/>
      </c>
      <c r="DC112" s="30" t="str">
        <f t="shared" ref="DC112:DC118" si="1634">IF(W112="","","|n"&amp;DC$2&amp;"+"&amp;W112&amp;DC$1)</f>
        <v/>
      </c>
      <c r="DD112" s="30" t="str">
        <f t="shared" ref="DD112:DD118" si="1635">IF(X112="","","|n"&amp;DD$2&amp;"+"&amp;X112&amp;DD$1)</f>
        <v/>
      </c>
      <c r="DE112" s="30" t="str">
        <f t="shared" ref="DE112:DE118" si="1636">IF(Y112="","","|n"&amp;DE$2&amp;"+"&amp;Y112&amp;DE$1)</f>
        <v/>
      </c>
      <c r="DF112" s="30" t="str">
        <f t="shared" ref="DF112:DF118" si="1637">IF(Z112="","","|n"&amp;DF$2&amp;"+"&amp;Z112&amp;DF$1)</f>
        <v/>
      </c>
      <c r="DG112" s="30" t="str">
        <f t="shared" ref="DG112:DG118" si="1638">IF(AA112="","","|n"&amp;DG$2&amp;"+"&amp;AA112&amp;DG$1)</f>
        <v/>
      </c>
      <c r="DH112" s="30" t="str">
        <f t="shared" ref="DH112:DH118" si="1639">IF(AB112="","","|n"&amp;DH$2&amp;"+"&amp;AB112&amp;DH$1)</f>
        <v/>
      </c>
      <c r="DI112" s="30" t="str">
        <f t="shared" ref="DI112:DI118" si="1640">IF(AC112="","","|n"&amp;DI$2&amp;"+"&amp;AC112&amp;DI$1)</f>
        <v/>
      </c>
      <c r="DJ112" s="30" t="str">
        <f t="shared" ref="DJ112:DJ118" si="1641">IF(AD112="","","|n"&amp;DJ$2&amp;"+"&amp;AD112&amp;DJ$1)</f>
        <v/>
      </c>
      <c r="DK112" s="30" t="str">
        <f t="shared" ref="DK112:DK118" si="1642">IF(AE112="","","|n"&amp;DK$2&amp;"+"&amp;AE112&amp;DK$1)</f>
        <v/>
      </c>
      <c r="DL112" s="30" t="str">
        <f t="shared" ref="DL112:DL118" si="1643">IF(AF112="","","|n"&amp;DL$2&amp;"+"&amp;AF112&amp;DL$1)</f>
        <v/>
      </c>
      <c r="DM112" s="30" t="str">
        <f t="shared" ref="DM112:DM118" si="1644">IF(AG112="","","|n"&amp;DM$2&amp;"+"&amp;AG112&amp;DM$1)</f>
        <v/>
      </c>
      <c r="DN112" s="30" t="str">
        <f t="shared" ref="DN112:DN118" si="1645">IF(AH112="","","|n"&amp;DN$2&amp;"+"&amp;AH112&amp;DN$1)</f>
        <v/>
      </c>
      <c r="DO112" s="30" t="str">
        <f t="shared" ref="DO112:DO118" si="1646">IF(AI112="","","|n"&amp;DO$2&amp;"+"&amp;AI112&amp;DO$1)</f>
        <v/>
      </c>
      <c r="DP112" s="30" t="str">
        <f t="shared" ref="DP112:DP118" si="1647">IF(AJ112="","","|n"&amp;DP$2&amp;"+"&amp;AJ112&amp;DP$1)</f>
        <v/>
      </c>
      <c r="DQ112" s="30" t="str">
        <f t="shared" ref="DQ112:DQ118" si="1648">IF(AK112="","","|n"&amp;DQ$2&amp;"+"&amp;AK112&amp;DQ$1)</f>
        <v/>
      </c>
      <c r="DR112" s="30" t="str">
        <f t="shared" ref="DR112:DR118" si="1649">IF(AL112="","","|n"&amp;DR$2&amp;"+"&amp;AL112&amp;DR$1)</f>
        <v/>
      </c>
      <c r="DS112" s="30" t="str">
        <f t="shared" ref="DS112:DS118" si="1650">IF(AM112="","","|n"&amp;DS$2&amp;"+"&amp;AM112&amp;DS$1)</f>
        <v/>
      </c>
      <c r="DT112" s="30" t="str">
        <f t="shared" ref="DT112:DT118" si="1651">IF(AN112="","","|n"&amp;DT$2&amp;"+"&amp;AN112&amp;DT$1)</f>
        <v/>
      </c>
      <c r="DU112" s="30" t="str">
        <f t="shared" ref="DU112:DU118" si="1652">IF(AO112="","","|n"&amp;DU$2&amp;"+"&amp;AO112&amp;DU$1)</f>
        <v/>
      </c>
      <c r="DV112" s="30" t="str">
        <f t="shared" ref="DV112:DV118" si="1653">IF(AP112="","","|n"&amp;DV$2&amp;"+"&amp;AP112&amp;DV$1)</f>
        <v/>
      </c>
      <c r="DW112" s="30" t="str">
        <f t="shared" ref="DW112:DW118" si="1654">IF(AQ112="","","|n"&amp;DW$2&amp;"+"&amp;AQ112&amp;DW$1)</f>
        <v/>
      </c>
      <c r="DX112" s="30" t="str">
        <f t="shared" ref="DX112:DX118" si="1655">IF(AR112="","","|n"&amp;DX$2&amp;"+"&amp;AR112&amp;DX$1)</f>
        <v/>
      </c>
      <c r="DY112" s="30" t="str">
        <f t="shared" ref="DY112:DY118" si="1656">IF(AS112="","","|n"&amp;DY$2&amp;"+"&amp;AS112&amp;DY$1)</f>
        <v/>
      </c>
      <c r="DZ112" s="30" t="str">
        <f t="shared" ref="DZ112:DZ118" si="1657">IF(AT112="","","|n"&amp;DZ$2&amp;"+"&amp;AT112&amp;DZ$1)</f>
        <v/>
      </c>
      <c r="EA112" s="30" t="str">
        <f t="shared" ref="EA112:EA118" si="1658">IF(AU112="","","|n"&amp;EA$2&amp;"+"&amp;AU112&amp;EA$1)</f>
        <v/>
      </c>
      <c r="EB112" s="30" t="str">
        <f t="shared" ref="EB112:EB118" si="1659">IF(AV112="","","|n"&amp;EB$2&amp;"+"&amp;AV112&amp;EB$1)</f>
        <v/>
      </c>
      <c r="EC112" s="30" t="str">
        <f t="shared" ref="EC112:EC118" si="1660">IF(AW112="","","|n"&amp;EC$2&amp;"+"&amp;AW112&amp;EC$1)</f>
        <v/>
      </c>
      <c r="ED112" s="30" t="str">
        <f t="shared" ref="ED112:ED118" si="1661">IF(AX112="","","|n"&amp;ED$2&amp;"+"&amp;AX112&amp;ED$1)</f>
        <v/>
      </c>
      <c r="EE112" s="30" t="str">
        <f t="shared" ref="EE112:EE118" si="1662">IF(AY112="","","|n"&amp;EE$2&amp;"+"&amp;AY112&amp;EE$1)</f>
        <v/>
      </c>
      <c r="EF112" s="30" t="str">
        <f t="shared" ref="EF112:EF118" si="1663">IF(AZ112="","","|n"&amp;EF$2&amp;"+"&amp;AZ112&amp;EF$1)</f>
        <v/>
      </c>
      <c r="EG112" s="30" t="str">
        <f t="shared" ref="EG112:EG118" si="1664">IF(BA112="","","|n"&amp;EG$2&amp;"+"&amp;BA112&amp;EG$1)</f>
        <v/>
      </c>
      <c r="EH112" s="30" t="str">
        <f t="shared" ref="EH112:EH118" si="1665">IF(BB112="","","|n"&amp;EH$2&amp;"+"&amp;BB112&amp;EH$1)</f>
        <v/>
      </c>
      <c r="EI112" s="30" t="str">
        <f t="shared" ref="EI112:EI118" si="1666">IF(BC112="","","|n"&amp;EI$2&amp;"+"&amp;BC112&amp;EI$1)</f>
        <v/>
      </c>
      <c r="EJ112" s="30" t="str">
        <f t="shared" ref="EJ112:EJ118" si="1667">IF(BD112="","","|n"&amp;EJ$2&amp;"+"&amp;BD112&amp;EJ$1)</f>
        <v/>
      </c>
      <c r="EK112" s="30" t="str">
        <f t="shared" ref="EK112:EK118" si="1668">IF(BE112="","","|n"&amp;EK$2&amp;"+"&amp;BE112&amp;EK$1)</f>
        <v/>
      </c>
      <c r="EL112" s="30" t="str">
        <f t="shared" ref="EL112:EL118" si="1669">IF(BF112="","","|n"&amp;EL$2&amp;"+"&amp;BF112&amp;EL$1)</f>
        <v/>
      </c>
      <c r="EM112" s="30" t="str">
        <f t="shared" ref="EM112:EM118" si="1670">IF(BG112="","","|n"&amp;EM$2&amp;"+"&amp;BG112&amp;EM$1)</f>
        <v/>
      </c>
      <c r="EN112" s="30" t="str">
        <f t="shared" ref="EN112:EN118" si="1671">IF(BH112="","","|n"&amp;EN$2&amp;"+"&amp;BH112&amp;EN$1)</f>
        <v/>
      </c>
      <c r="EO112" s="30" t="str">
        <f t="shared" ref="EO112:EO118" si="1672">IF(BI112="","","|n"&amp;EO$2&amp;"+"&amp;BI112&amp;EO$1)</f>
        <v/>
      </c>
      <c r="EP112" s="30" t="str">
        <f t="shared" ref="EP112:EP118" si="1673">IF(BJ112="","","|n"&amp;EP$2&amp;"+"&amp;BJ112&amp;EP$1)</f>
        <v/>
      </c>
      <c r="EQ112" s="30" t="str">
        <f t="shared" ref="EQ112:EQ118" si="1674">IF(BK112="","","|n"&amp;EQ$2&amp;"+"&amp;BK112&amp;EQ$1)</f>
        <v/>
      </c>
      <c r="ER112" s="30" t="str">
        <f t="shared" ref="ER112:ER118" si="1675">IF(BL112="","","|n"&amp;ER$2&amp;"+"&amp;BL112&amp;ER$1)</f>
        <v/>
      </c>
      <c r="ES112" s="30" t="str">
        <f t="shared" ref="ES112:ES118" si="1676">IF(BM112="","","|n"&amp;ES$2&amp;"+"&amp;BM112&amp;ES$1)</f>
        <v/>
      </c>
      <c r="ET112" s="30" t="str">
        <f t="shared" ref="ET112:ET118" si="1677">IF(BN112="","","|n"&amp;ET$2&amp;"+"&amp;BN112&amp;ET$1)</f>
        <v/>
      </c>
      <c r="EU112" s="30" t="str">
        <f t="shared" ref="EU112:EU118" si="1678">IF(BO112="","","|n"&amp;EU$2&amp;"+"&amp;BO112&amp;EU$1)</f>
        <v/>
      </c>
      <c r="EV112" s="30" t="str">
        <f t="shared" ref="EV112:EV118" si="1679">IF(BP112="","","|n"&amp;EV$2&amp;"+"&amp;BP112&amp;EV$1)</f>
        <v/>
      </c>
      <c r="EW112" s="30" t="str">
        <f t="shared" ref="EW112:EW118" si="1680">IF(BQ112="","","|n"&amp;EW$2&amp;"+"&amp;BQ112&amp;EW$1)</f>
        <v/>
      </c>
      <c r="EX112" s="30" t="str">
        <f t="shared" ref="EX112:EX118" si="1681">IF(BR112="","","|n"&amp;EX$2&amp;"+"&amp;BR112&amp;EX$1)</f>
        <v/>
      </c>
      <c r="EY112" s="30" t="str">
        <f t="shared" ref="EY112:EY118" si="1682">IF(BS112="","","|n"&amp;EY$2&amp;"+"&amp;BS112&amp;EY$1)</f>
        <v/>
      </c>
      <c r="EZ112" s="30" t="str">
        <f t="shared" ref="EZ112:EZ118" si="1683">IF(BT112="","","|n"&amp;EZ$2&amp;"+"&amp;BT112&amp;EZ$1)</f>
        <v/>
      </c>
      <c r="FA112" s="30" t="str">
        <f t="shared" ref="FA112:FA118" si="1684">IF(BU112="","","|n"&amp;FA$2&amp;"+"&amp;BU112&amp;FA$1)</f>
        <v/>
      </c>
      <c r="FB112" s="30" t="str">
        <f t="shared" ref="FB112:FB118" si="1685">IF(BV112="","","|n"&amp;FB$2&amp;"+"&amp;BV112&amp;FB$1)</f>
        <v/>
      </c>
      <c r="FC112" s="30" t="str">
        <f t="shared" ref="FC112:FC118" si="1686">IF(BW112="","","|n"&amp;FC$2&amp;"+"&amp;BW112&amp;FC$1)</f>
        <v/>
      </c>
      <c r="FD112" s="30" t="str">
        <f t="shared" ref="FD112:FD118" si="1687">IF(BX112="","","|n"&amp;FD$2&amp;"+"&amp;BX112&amp;FD$1)</f>
        <v/>
      </c>
      <c r="FE112" s="30" t="str">
        <f t="shared" ref="FE112:FE118" si="1688">IF(BY112="","","|n"&amp;FE$2&amp;"+"&amp;BY112&amp;FE$1)</f>
        <v/>
      </c>
      <c r="FF112" s="30" t="str">
        <f t="shared" ref="FF112:FF118" si="1689">IF(BZ112="","","|n"&amp;FF$2&amp;"+"&amp;BZ112&amp;FF$1)</f>
        <v/>
      </c>
      <c r="FG112" s="30" t="str">
        <f t="shared" ref="FG112:FG118" si="1690">IF(CA112="","","|n"&amp;FG$2&amp;"+"&amp;CA112&amp;FG$1)</f>
        <v/>
      </c>
      <c r="FH112" s="30" t="str">
        <f t="shared" ref="FH112:FH118" si="1691">IF(CB112="","","|n"&amp;FH$2&amp;"+"&amp;CB112&amp;FH$1)</f>
        <v/>
      </c>
      <c r="FI112" s="30" t="str">
        <f t="shared" ref="FI112:FI118" si="1692">IF(CC112="","","|n"&amp;FI$2&amp;"+"&amp;CC112&amp;FI$1)</f>
        <v/>
      </c>
      <c r="FJ112" s="30" t="str">
        <f t="shared" ref="FJ112:FJ118" si="1693">IF(CD112="","","|n"&amp;FJ$2&amp;"+"&amp;CD112&amp;FJ$1)</f>
        <v/>
      </c>
      <c r="FK112" s="30" t="str">
        <f t="shared" ref="FK112:FK118" si="1694">IF(CE112="","","|n"&amp;FK$2&amp;"+"&amp;CE112&amp;FK$1)</f>
        <v/>
      </c>
      <c r="FL112" s="30" t="str">
        <f t="shared" ref="FL112:FL118" si="1695">IF(CF112="","","|n"&amp;FL$2&amp;"+"&amp;CF112&amp;FL$1)</f>
        <v/>
      </c>
      <c r="FM112" s="30" t="str">
        <f t="shared" ref="FM112:FM118" si="1696">IF(CG112="","","|n"&amp;FM$2&amp;"+"&amp;CG112&amp;FM$1)</f>
        <v/>
      </c>
      <c r="FN112" s="30" t="str">
        <f t="shared" ref="FN112:FN118" si="1697">IF(CH112="","","|n"&amp;FN$2&amp;"+"&amp;CH112&amp;FN$1)</f>
        <v/>
      </c>
      <c r="FO112" s="30" t="str">
        <f t="shared" ref="FO112:FO118" si="1698">IF(CI112="","","|n"&amp;FO$2&amp;"+"&amp;CI112&amp;FO$1)</f>
        <v/>
      </c>
      <c r="FP112" s="30" t="str">
        <f t="shared" ref="FP112:FP118" si="1699">IF(CJ112="","","|n"&amp;FP$2&amp;"+"&amp;CJ112&amp;FP$1)</f>
        <v/>
      </c>
      <c r="FQ112" s="30" t="str">
        <f t="shared" ref="FQ112:FQ118" si="1700">IF(CK112="","","|n"&amp;FQ$2&amp;"+"&amp;CK112&amp;FQ$1)</f>
        <v/>
      </c>
      <c r="FR112" s="30" t="str">
        <f t="shared" ref="FR112:FR118" si="1701">IF(CL112="","","|n"&amp;FR$2&amp;"+"&amp;CL112&amp;FR$1)</f>
        <v/>
      </c>
      <c r="FS112" s="30" t="str">
        <f t="shared" ref="FS112:FS118" si="1702">IF(CM112="","","|n"&amp;FS$2&amp;"+"&amp;CM112&amp;FS$1)</f>
        <v/>
      </c>
    </row>
    <row r="113" spans="1:175" ht="16.5">
      <c r="A113" s="117"/>
      <c r="B113" s="111" t="s">
        <v>897</v>
      </c>
      <c r="C113" s="117" t="s">
        <v>898</v>
      </c>
      <c r="T113" s="117" t="s">
        <v>892</v>
      </c>
      <c r="U113" s="37" t="s">
        <v>822</v>
      </c>
      <c r="CN113" s="7" t="str">
        <f t="shared" si="1626"/>
        <v>InitUnitState('IH03',,,,,,,,,,)</v>
      </c>
      <c r="CO113" s="7" t="str">
        <f t="shared" si="1627"/>
        <v>InitUnitNormal('IH03',,,,,,,,,,)</v>
      </c>
      <c r="CP113" s="7" t="str">
        <f t="shared" si="1628"/>
        <v>InitUnitMagic('IH03',,,,,,,,,,)</v>
      </c>
      <c r="CQ113" s="7" t="str">
        <f t="shared" si="1629"/>
        <v>InitUnitAdd('IH03',,,,,,,,,,)</v>
      </c>
      <c r="CR113" s="7" t="str">
        <f t="shared" si="1630"/>
        <v>InitEquipData('IH03',,"",,,,,'','','','','','',"ReplaceableTextures\\CommandButtons\\BTNTome.blp")</v>
      </c>
      <c r="CU113" s="45" t="str">
        <f t="shared" si="1631"/>
        <v>|n</v>
      </c>
      <c r="CV113" s="29" t="str">
        <f t="shared" si="1632"/>
        <v>觉醒兽魂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899</v>
      </c>
      <c r="C114" s="117" t="s">
        <v>900</v>
      </c>
      <c r="T114" s="117" t="s">
        <v>892</v>
      </c>
      <c r="U114" s="37" t="s">
        <v>822</v>
      </c>
      <c r="CN114" s="7" t="str">
        <f t="shared" si="1626"/>
        <v>InitUnitState('IH04',,,,,,,,,,)</v>
      </c>
      <c r="CO114" s="7" t="str">
        <f t="shared" si="1627"/>
        <v>InitUnitNormal('IH04',,,,,,,,,,)</v>
      </c>
      <c r="CP114" s="7" t="str">
        <f t="shared" si="1628"/>
        <v>InitUnitMagic('IH04',,,,,,,,,,)</v>
      </c>
      <c r="CQ114" s="7" t="str">
        <f t="shared" si="1629"/>
        <v>InitUnitAdd('IH04',,,,,,,,,,)</v>
      </c>
      <c r="CR114" s="7" t="str">
        <f t="shared" si="1630"/>
        <v>InitEquipData('IH04',,"",,,,,'','','','','','',"ReplaceableTextures\\CommandButtons\\BTNTome.blp")</v>
      </c>
      <c r="CU114" s="45" t="str">
        <f t="shared" si="1631"/>
        <v>|n</v>
      </c>
      <c r="CV114" s="29" t="str">
        <f t="shared" si="1632"/>
        <v>觉醒兽魂</v>
      </c>
      <c r="CW114" s="24"/>
      <c r="CX114" s="24"/>
      <c r="CY114" s="24"/>
      <c r="CZ114" s="24"/>
      <c r="DA114" s="24"/>
      <c r="DB114" s="30" t="str">
        <f t="shared" si="1633"/>
        <v/>
      </c>
      <c r="DC114" s="30" t="str">
        <f t="shared" si="1634"/>
        <v/>
      </c>
      <c r="DD114" s="30" t="str">
        <f t="shared" si="1635"/>
        <v/>
      </c>
      <c r="DE114" s="30" t="str">
        <f t="shared" si="1636"/>
        <v/>
      </c>
      <c r="DF114" s="30" t="str">
        <f t="shared" si="1637"/>
        <v/>
      </c>
      <c r="DG114" s="30" t="str">
        <f t="shared" si="1638"/>
        <v/>
      </c>
      <c r="DH114" s="30" t="str">
        <f t="shared" si="1639"/>
        <v/>
      </c>
      <c r="DI114" s="30" t="str">
        <f t="shared" si="1640"/>
        <v/>
      </c>
      <c r="DJ114" s="30" t="str">
        <f t="shared" si="1641"/>
        <v/>
      </c>
      <c r="DK114" s="30" t="str">
        <f t="shared" si="1642"/>
        <v/>
      </c>
      <c r="DL114" s="30" t="str">
        <f t="shared" si="1643"/>
        <v/>
      </c>
      <c r="DM114" s="30" t="str">
        <f t="shared" si="1644"/>
        <v/>
      </c>
      <c r="DN114" s="30" t="str">
        <f t="shared" si="1645"/>
        <v/>
      </c>
      <c r="DO114" s="30" t="str">
        <f t="shared" si="1646"/>
        <v/>
      </c>
      <c r="DP114" s="30" t="str">
        <f t="shared" si="1647"/>
        <v/>
      </c>
      <c r="DQ114" s="30" t="str">
        <f t="shared" si="1648"/>
        <v/>
      </c>
      <c r="DR114" s="30" t="str">
        <f t="shared" si="1649"/>
        <v/>
      </c>
      <c r="DS114" s="30" t="str">
        <f t="shared" si="1650"/>
        <v/>
      </c>
      <c r="DT114" s="30" t="str">
        <f t="shared" si="1651"/>
        <v/>
      </c>
      <c r="DU114" s="30" t="str">
        <f t="shared" si="1652"/>
        <v/>
      </c>
      <c r="DV114" s="30" t="str">
        <f t="shared" si="1653"/>
        <v/>
      </c>
      <c r="DW114" s="30" t="str">
        <f t="shared" si="1654"/>
        <v/>
      </c>
      <c r="DX114" s="30" t="str">
        <f t="shared" si="1655"/>
        <v/>
      </c>
      <c r="DY114" s="30" t="str">
        <f t="shared" si="1656"/>
        <v/>
      </c>
      <c r="DZ114" s="30" t="str">
        <f t="shared" si="1657"/>
        <v/>
      </c>
      <c r="EA114" s="30" t="str">
        <f t="shared" si="1658"/>
        <v/>
      </c>
      <c r="EB114" s="30" t="str">
        <f t="shared" si="1659"/>
        <v/>
      </c>
      <c r="EC114" s="30" t="str">
        <f t="shared" si="1660"/>
        <v/>
      </c>
      <c r="ED114" s="30" t="str">
        <f t="shared" si="1661"/>
        <v/>
      </c>
      <c r="EE114" s="30" t="str">
        <f t="shared" si="1662"/>
        <v/>
      </c>
      <c r="EF114" s="30" t="str">
        <f t="shared" si="1663"/>
        <v/>
      </c>
      <c r="EG114" s="30" t="str">
        <f t="shared" si="1664"/>
        <v/>
      </c>
      <c r="EH114" s="30" t="str">
        <f t="shared" si="1665"/>
        <v/>
      </c>
      <c r="EI114" s="30" t="str">
        <f t="shared" si="1666"/>
        <v/>
      </c>
      <c r="EJ114" s="30" t="str">
        <f t="shared" si="1667"/>
        <v/>
      </c>
      <c r="EK114" s="30" t="str">
        <f t="shared" si="1668"/>
        <v/>
      </c>
      <c r="EL114" s="30" t="str">
        <f t="shared" si="1669"/>
        <v/>
      </c>
      <c r="EM114" s="30" t="str">
        <f t="shared" si="1670"/>
        <v/>
      </c>
      <c r="EN114" s="30" t="str">
        <f t="shared" si="1671"/>
        <v/>
      </c>
      <c r="EO114" s="30" t="str">
        <f t="shared" si="1672"/>
        <v/>
      </c>
      <c r="EP114" s="30" t="str">
        <f t="shared" si="1673"/>
        <v/>
      </c>
      <c r="EQ114" s="30" t="str">
        <f t="shared" si="1674"/>
        <v/>
      </c>
      <c r="ER114" s="30" t="str">
        <f t="shared" si="1675"/>
        <v/>
      </c>
      <c r="ES114" s="30" t="str">
        <f t="shared" si="1676"/>
        <v/>
      </c>
      <c r="ET114" s="30" t="str">
        <f t="shared" si="1677"/>
        <v/>
      </c>
      <c r="EU114" s="30" t="str">
        <f t="shared" si="1678"/>
        <v/>
      </c>
      <c r="EV114" s="30" t="str">
        <f t="shared" si="1679"/>
        <v/>
      </c>
      <c r="EW114" s="30" t="str">
        <f t="shared" si="1680"/>
        <v/>
      </c>
      <c r="EX114" s="30" t="str">
        <f t="shared" si="1681"/>
        <v/>
      </c>
      <c r="EY114" s="30" t="str">
        <f t="shared" si="1682"/>
        <v/>
      </c>
      <c r="EZ114" s="30" t="str">
        <f t="shared" si="1683"/>
        <v/>
      </c>
      <c r="FA114" s="30" t="str">
        <f t="shared" si="1684"/>
        <v/>
      </c>
      <c r="FB114" s="30" t="str">
        <f t="shared" si="1685"/>
        <v/>
      </c>
      <c r="FC114" s="30" t="str">
        <f t="shared" si="1686"/>
        <v/>
      </c>
      <c r="FD114" s="30" t="str">
        <f t="shared" si="1687"/>
        <v/>
      </c>
      <c r="FE114" s="30" t="str">
        <f t="shared" si="1688"/>
        <v/>
      </c>
      <c r="FF114" s="30" t="str">
        <f t="shared" si="1689"/>
        <v/>
      </c>
      <c r="FG114" s="30" t="str">
        <f t="shared" si="1690"/>
        <v/>
      </c>
      <c r="FH114" s="30" t="str">
        <f t="shared" si="1691"/>
        <v/>
      </c>
      <c r="FI114" s="30" t="str">
        <f t="shared" si="1692"/>
        <v/>
      </c>
      <c r="FJ114" s="30" t="str">
        <f t="shared" si="1693"/>
        <v/>
      </c>
      <c r="FK114" s="30" t="str">
        <f t="shared" si="1694"/>
        <v/>
      </c>
      <c r="FL114" s="30" t="str">
        <f t="shared" si="1695"/>
        <v/>
      </c>
      <c r="FM114" s="30" t="str">
        <f t="shared" si="1696"/>
        <v/>
      </c>
      <c r="FN114" s="30" t="str">
        <f t="shared" si="1697"/>
        <v/>
      </c>
      <c r="FO114" s="30" t="str">
        <f t="shared" si="1698"/>
        <v/>
      </c>
      <c r="FP114" s="30" t="str">
        <f t="shared" si="1699"/>
        <v/>
      </c>
      <c r="FQ114" s="30" t="str">
        <f t="shared" si="1700"/>
        <v/>
      </c>
      <c r="FR114" s="30" t="str">
        <f t="shared" si="1701"/>
        <v/>
      </c>
      <c r="FS114" s="30" t="str">
        <f t="shared" si="1702"/>
        <v/>
      </c>
    </row>
    <row r="115" spans="1:175" ht="16.5">
      <c r="A115" s="117"/>
      <c r="B115" s="111" t="s">
        <v>901</v>
      </c>
      <c r="C115" s="117" t="s">
        <v>902</v>
      </c>
      <c r="T115" s="117" t="s">
        <v>892</v>
      </c>
      <c r="U115" s="37" t="s">
        <v>822</v>
      </c>
      <c r="CN115" s="7" t="str">
        <f t="shared" si="1626"/>
        <v>InitUnitState('IH05',,,,,,,,,,)</v>
      </c>
      <c r="CO115" s="7" t="str">
        <f t="shared" si="1627"/>
        <v>InitUnitNormal('IH05',,,,,,,,,,)</v>
      </c>
      <c r="CP115" s="7" t="str">
        <f t="shared" si="1628"/>
        <v>InitUnitMagic('IH05',,,,,,,,,,)</v>
      </c>
      <c r="CQ115" s="7" t="str">
        <f t="shared" si="1629"/>
        <v>InitUnitAdd('IH05',,,,,,,,,,)</v>
      </c>
      <c r="CR115" s="7" t="str">
        <f t="shared" si="1630"/>
        <v>InitEquipData('IH05',,"",,,,,'','','','','','',"ReplaceableTextures\\CommandButtons\\BTNTome.blp")</v>
      </c>
      <c r="CU115" s="45" t="str">
        <f t="shared" si="1631"/>
        <v>|n</v>
      </c>
      <c r="CV115" s="29" t="str">
        <f t="shared" si="1632"/>
        <v>觉醒兽魂</v>
      </c>
      <c r="CW115" s="24"/>
      <c r="CX115" s="24"/>
      <c r="CY115" s="24"/>
      <c r="CZ115" s="24"/>
      <c r="DA115" s="24"/>
      <c r="DB115" s="30" t="str">
        <f t="shared" si="1633"/>
        <v/>
      </c>
      <c r="DC115" s="30" t="str">
        <f t="shared" si="1634"/>
        <v/>
      </c>
      <c r="DD115" s="30" t="str">
        <f t="shared" si="1635"/>
        <v/>
      </c>
      <c r="DE115" s="30" t="str">
        <f t="shared" si="1636"/>
        <v/>
      </c>
      <c r="DF115" s="30" t="str">
        <f t="shared" si="1637"/>
        <v/>
      </c>
      <c r="DG115" s="30" t="str">
        <f t="shared" si="1638"/>
        <v/>
      </c>
      <c r="DH115" s="30" t="str">
        <f t="shared" si="1639"/>
        <v/>
      </c>
      <c r="DI115" s="30" t="str">
        <f t="shared" si="1640"/>
        <v/>
      </c>
      <c r="DJ115" s="30" t="str">
        <f t="shared" si="1641"/>
        <v/>
      </c>
      <c r="DK115" s="30" t="str">
        <f t="shared" si="1642"/>
        <v/>
      </c>
      <c r="DL115" s="30" t="str">
        <f t="shared" si="1643"/>
        <v/>
      </c>
      <c r="DM115" s="30" t="str">
        <f t="shared" si="1644"/>
        <v/>
      </c>
      <c r="DN115" s="30" t="str">
        <f t="shared" si="1645"/>
        <v/>
      </c>
      <c r="DO115" s="30" t="str">
        <f t="shared" si="1646"/>
        <v/>
      </c>
      <c r="DP115" s="30" t="str">
        <f t="shared" si="1647"/>
        <v/>
      </c>
      <c r="DQ115" s="30" t="str">
        <f t="shared" si="1648"/>
        <v/>
      </c>
      <c r="DR115" s="30" t="str">
        <f t="shared" si="1649"/>
        <v/>
      </c>
      <c r="DS115" s="30" t="str">
        <f t="shared" si="1650"/>
        <v/>
      </c>
      <c r="DT115" s="30" t="str">
        <f t="shared" si="1651"/>
        <v/>
      </c>
      <c r="DU115" s="30" t="str">
        <f t="shared" si="1652"/>
        <v/>
      </c>
      <c r="DV115" s="30" t="str">
        <f t="shared" si="1653"/>
        <v/>
      </c>
      <c r="DW115" s="30" t="str">
        <f t="shared" si="1654"/>
        <v/>
      </c>
      <c r="DX115" s="30" t="str">
        <f t="shared" si="1655"/>
        <v/>
      </c>
      <c r="DY115" s="30" t="str">
        <f t="shared" si="1656"/>
        <v/>
      </c>
      <c r="DZ115" s="30" t="str">
        <f t="shared" si="1657"/>
        <v/>
      </c>
      <c r="EA115" s="30" t="str">
        <f t="shared" si="1658"/>
        <v/>
      </c>
      <c r="EB115" s="30" t="str">
        <f t="shared" si="1659"/>
        <v/>
      </c>
      <c r="EC115" s="30" t="str">
        <f t="shared" si="1660"/>
        <v/>
      </c>
      <c r="ED115" s="30" t="str">
        <f t="shared" si="1661"/>
        <v/>
      </c>
      <c r="EE115" s="30" t="str">
        <f t="shared" si="1662"/>
        <v/>
      </c>
      <c r="EF115" s="30" t="str">
        <f t="shared" si="1663"/>
        <v/>
      </c>
      <c r="EG115" s="30" t="str">
        <f t="shared" si="1664"/>
        <v/>
      </c>
      <c r="EH115" s="30" t="str">
        <f t="shared" si="1665"/>
        <v/>
      </c>
      <c r="EI115" s="30" t="str">
        <f t="shared" si="1666"/>
        <v/>
      </c>
      <c r="EJ115" s="30" t="str">
        <f t="shared" si="1667"/>
        <v/>
      </c>
      <c r="EK115" s="30" t="str">
        <f t="shared" si="1668"/>
        <v/>
      </c>
      <c r="EL115" s="30" t="str">
        <f t="shared" si="1669"/>
        <v/>
      </c>
      <c r="EM115" s="30" t="str">
        <f t="shared" si="1670"/>
        <v/>
      </c>
      <c r="EN115" s="30" t="str">
        <f t="shared" si="1671"/>
        <v/>
      </c>
      <c r="EO115" s="30" t="str">
        <f t="shared" si="1672"/>
        <v/>
      </c>
      <c r="EP115" s="30" t="str">
        <f t="shared" si="1673"/>
        <v/>
      </c>
      <c r="EQ115" s="30" t="str">
        <f t="shared" si="1674"/>
        <v/>
      </c>
      <c r="ER115" s="30" t="str">
        <f t="shared" si="1675"/>
        <v/>
      </c>
      <c r="ES115" s="30" t="str">
        <f t="shared" si="1676"/>
        <v/>
      </c>
      <c r="ET115" s="30" t="str">
        <f t="shared" si="1677"/>
        <v/>
      </c>
      <c r="EU115" s="30" t="str">
        <f t="shared" si="1678"/>
        <v/>
      </c>
      <c r="EV115" s="30" t="str">
        <f t="shared" si="1679"/>
        <v/>
      </c>
      <c r="EW115" s="30" t="str">
        <f t="shared" si="1680"/>
        <v/>
      </c>
      <c r="EX115" s="30" t="str">
        <f t="shared" si="1681"/>
        <v/>
      </c>
      <c r="EY115" s="30" t="str">
        <f t="shared" si="1682"/>
        <v/>
      </c>
      <c r="EZ115" s="30" t="str">
        <f t="shared" si="1683"/>
        <v/>
      </c>
      <c r="FA115" s="30" t="str">
        <f t="shared" si="1684"/>
        <v/>
      </c>
      <c r="FB115" s="30" t="str">
        <f t="shared" si="1685"/>
        <v/>
      </c>
      <c r="FC115" s="30" t="str">
        <f t="shared" si="1686"/>
        <v/>
      </c>
      <c r="FD115" s="30" t="str">
        <f t="shared" si="1687"/>
        <v/>
      </c>
      <c r="FE115" s="30" t="str">
        <f t="shared" si="1688"/>
        <v/>
      </c>
      <c r="FF115" s="30" t="str">
        <f t="shared" si="1689"/>
        <v/>
      </c>
      <c r="FG115" s="30" t="str">
        <f t="shared" si="1690"/>
        <v/>
      </c>
      <c r="FH115" s="30" t="str">
        <f t="shared" si="1691"/>
        <v/>
      </c>
      <c r="FI115" s="30" t="str">
        <f t="shared" si="1692"/>
        <v/>
      </c>
      <c r="FJ115" s="30" t="str">
        <f t="shared" si="1693"/>
        <v/>
      </c>
      <c r="FK115" s="30" t="str">
        <f t="shared" si="1694"/>
        <v/>
      </c>
      <c r="FL115" s="30" t="str">
        <f t="shared" si="1695"/>
        <v/>
      </c>
      <c r="FM115" s="30" t="str">
        <f t="shared" si="1696"/>
        <v/>
      </c>
      <c r="FN115" s="30" t="str">
        <f t="shared" si="1697"/>
        <v/>
      </c>
      <c r="FO115" s="30" t="str">
        <f t="shared" si="1698"/>
        <v/>
      </c>
      <c r="FP115" s="30" t="str">
        <f t="shared" si="1699"/>
        <v/>
      </c>
      <c r="FQ115" s="30" t="str">
        <f t="shared" si="1700"/>
        <v/>
      </c>
      <c r="FR115" s="30" t="str">
        <f t="shared" si="1701"/>
        <v/>
      </c>
      <c r="FS115" s="30" t="str">
        <f t="shared" si="1702"/>
        <v/>
      </c>
    </row>
    <row r="116" spans="1:175" ht="16.5">
      <c r="A116" s="117"/>
      <c r="B116" s="111" t="s">
        <v>903</v>
      </c>
      <c r="C116" s="117" t="s">
        <v>904</v>
      </c>
      <c r="T116" s="117" t="s">
        <v>892</v>
      </c>
      <c r="U116" s="37" t="s">
        <v>822</v>
      </c>
      <c r="CN116" s="7" t="str">
        <f t="shared" si="1626"/>
        <v>InitUnitState('IH06',,,,,,,,,,)</v>
      </c>
      <c r="CO116" s="7" t="str">
        <f t="shared" si="1627"/>
        <v>InitUnitNormal('IH06',,,,,,,,,,)</v>
      </c>
      <c r="CP116" s="7" t="str">
        <f t="shared" si="1628"/>
        <v>InitUnitMagic('IH06',,,,,,,,,,)</v>
      </c>
      <c r="CQ116" s="7" t="str">
        <f t="shared" si="1629"/>
        <v>InitUnitAdd('IH06',,,,,,,,,,)</v>
      </c>
      <c r="CR116" s="7" t="str">
        <f t="shared" si="1630"/>
        <v>InitEquipData('IH06',,"",,,,,'','','','','','',"ReplaceableTextures\\CommandButtons\\BTNTome.blp")</v>
      </c>
      <c r="CU116" s="45" t="str">
        <f t="shared" si="1631"/>
        <v>|n</v>
      </c>
      <c r="CV116" s="29" t="str">
        <f t="shared" si="1632"/>
        <v>觉醒兽魂</v>
      </c>
      <c r="CW116" s="24"/>
      <c r="CX116" s="24"/>
      <c r="CY116" s="24"/>
      <c r="CZ116" s="24"/>
      <c r="DA116" s="24"/>
      <c r="DB116" s="30" t="str">
        <f t="shared" si="1633"/>
        <v/>
      </c>
      <c r="DC116" s="30" t="str">
        <f t="shared" si="1634"/>
        <v/>
      </c>
      <c r="DD116" s="30" t="str">
        <f t="shared" si="1635"/>
        <v/>
      </c>
      <c r="DE116" s="30" t="str">
        <f t="shared" si="1636"/>
        <v/>
      </c>
      <c r="DF116" s="30" t="str">
        <f t="shared" si="1637"/>
        <v/>
      </c>
      <c r="DG116" s="30" t="str">
        <f t="shared" si="1638"/>
        <v/>
      </c>
      <c r="DH116" s="30" t="str">
        <f t="shared" si="1639"/>
        <v/>
      </c>
      <c r="DI116" s="30" t="str">
        <f t="shared" si="1640"/>
        <v/>
      </c>
      <c r="DJ116" s="30" t="str">
        <f t="shared" si="1641"/>
        <v/>
      </c>
      <c r="DK116" s="30" t="str">
        <f t="shared" si="1642"/>
        <v/>
      </c>
      <c r="DL116" s="30" t="str">
        <f t="shared" si="1643"/>
        <v/>
      </c>
      <c r="DM116" s="30" t="str">
        <f t="shared" si="1644"/>
        <v/>
      </c>
      <c r="DN116" s="30" t="str">
        <f t="shared" si="1645"/>
        <v/>
      </c>
      <c r="DO116" s="30" t="str">
        <f t="shared" si="1646"/>
        <v/>
      </c>
      <c r="DP116" s="30" t="str">
        <f t="shared" si="1647"/>
        <v/>
      </c>
      <c r="DQ116" s="30" t="str">
        <f t="shared" si="1648"/>
        <v/>
      </c>
      <c r="DR116" s="30" t="str">
        <f t="shared" si="1649"/>
        <v/>
      </c>
      <c r="DS116" s="30" t="str">
        <f t="shared" si="1650"/>
        <v/>
      </c>
      <c r="DT116" s="30" t="str">
        <f t="shared" si="1651"/>
        <v/>
      </c>
      <c r="DU116" s="30" t="str">
        <f t="shared" si="1652"/>
        <v/>
      </c>
      <c r="DV116" s="30" t="str">
        <f t="shared" si="1653"/>
        <v/>
      </c>
      <c r="DW116" s="30" t="str">
        <f t="shared" si="1654"/>
        <v/>
      </c>
      <c r="DX116" s="30" t="str">
        <f t="shared" si="1655"/>
        <v/>
      </c>
      <c r="DY116" s="30" t="str">
        <f t="shared" si="1656"/>
        <v/>
      </c>
      <c r="DZ116" s="30" t="str">
        <f t="shared" si="1657"/>
        <v/>
      </c>
      <c r="EA116" s="30" t="str">
        <f t="shared" si="1658"/>
        <v/>
      </c>
      <c r="EB116" s="30" t="str">
        <f t="shared" si="1659"/>
        <v/>
      </c>
      <c r="EC116" s="30" t="str">
        <f t="shared" si="1660"/>
        <v/>
      </c>
      <c r="ED116" s="30" t="str">
        <f t="shared" si="1661"/>
        <v/>
      </c>
      <c r="EE116" s="30" t="str">
        <f t="shared" si="1662"/>
        <v/>
      </c>
      <c r="EF116" s="30" t="str">
        <f t="shared" si="1663"/>
        <v/>
      </c>
      <c r="EG116" s="30" t="str">
        <f t="shared" si="1664"/>
        <v/>
      </c>
      <c r="EH116" s="30" t="str">
        <f t="shared" si="1665"/>
        <v/>
      </c>
      <c r="EI116" s="30" t="str">
        <f t="shared" si="1666"/>
        <v/>
      </c>
      <c r="EJ116" s="30" t="str">
        <f t="shared" si="1667"/>
        <v/>
      </c>
      <c r="EK116" s="30" t="str">
        <f t="shared" si="1668"/>
        <v/>
      </c>
      <c r="EL116" s="30" t="str">
        <f t="shared" si="1669"/>
        <v/>
      </c>
      <c r="EM116" s="30" t="str">
        <f t="shared" si="1670"/>
        <v/>
      </c>
      <c r="EN116" s="30" t="str">
        <f t="shared" si="1671"/>
        <v/>
      </c>
      <c r="EO116" s="30" t="str">
        <f t="shared" si="1672"/>
        <v/>
      </c>
      <c r="EP116" s="30" t="str">
        <f t="shared" si="1673"/>
        <v/>
      </c>
      <c r="EQ116" s="30" t="str">
        <f t="shared" si="1674"/>
        <v/>
      </c>
      <c r="ER116" s="30" t="str">
        <f t="shared" si="1675"/>
        <v/>
      </c>
      <c r="ES116" s="30" t="str">
        <f t="shared" si="1676"/>
        <v/>
      </c>
      <c r="ET116" s="30" t="str">
        <f t="shared" si="1677"/>
        <v/>
      </c>
      <c r="EU116" s="30" t="str">
        <f t="shared" si="1678"/>
        <v/>
      </c>
      <c r="EV116" s="30" t="str">
        <f t="shared" si="1679"/>
        <v/>
      </c>
      <c r="EW116" s="30" t="str">
        <f t="shared" si="1680"/>
        <v/>
      </c>
      <c r="EX116" s="30" t="str">
        <f t="shared" si="1681"/>
        <v/>
      </c>
      <c r="EY116" s="30" t="str">
        <f t="shared" si="1682"/>
        <v/>
      </c>
      <c r="EZ116" s="30" t="str">
        <f t="shared" si="1683"/>
        <v/>
      </c>
      <c r="FA116" s="30" t="str">
        <f t="shared" si="1684"/>
        <v/>
      </c>
      <c r="FB116" s="30" t="str">
        <f t="shared" si="1685"/>
        <v/>
      </c>
      <c r="FC116" s="30" t="str">
        <f t="shared" si="1686"/>
        <v/>
      </c>
      <c r="FD116" s="30" t="str">
        <f t="shared" si="1687"/>
        <v/>
      </c>
      <c r="FE116" s="30" t="str">
        <f t="shared" si="1688"/>
        <v/>
      </c>
      <c r="FF116" s="30" t="str">
        <f t="shared" si="1689"/>
        <v/>
      </c>
      <c r="FG116" s="30" t="str">
        <f t="shared" si="1690"/>
        <v/>
      </c>
      <c r="FH116" s="30" t="str">
        <f t="shared" si="1691"/>
        <v/>
      </c>
      <c r="FI116" s="30" t="str">
        <f t="shared" si="1692"/>
        <v/>
      </c>
      <c r="FJ116" s="30" t="str">
        <f t="shared" si="1693"/>
        <v/>
      </c>
      <c r="FK116" s="30" t="str">
        <f t="shared" si="1694"/>
        <v/>
      </c>
      <c r="FL116" s="30" t="str">
        <f t="shared" si="1695"/>
        <v/>
      </c>
      <c r="FM116" s="30" t="str">
        <f t="shared" si="1696"/>
        <v/>
      </c>
      <c r="FN116" s="30" t="str">
        <f t="shared" si="1697"/>
        <v/>
      </c>
      <c r="FO116" s="30" t="str">
        <f t="shared" si="1698"/>
        <v/>
      </c>
      <c r="FP116" s="30" t="str">
        <f t="shared" si="1699"/>
        <v/>
      </c>
      <c r="FQ116" s="30" t="str">
        <f t="shared" si="1700"/>
        <v/>
      </c>
      <c r="FR116" s="30" t="str">
        <f t="shared" si="1701"/>
        <v/>
      </c>
      <c r="FS116" s="30" t="str">
        <f t="shared" si="1702"/>
        <v/>
      </c>
    </row>
    <row r="117" spans="1:175" ht="16.5">
      <c r="A117" s="117"/>
      <c r="B117" s="111" t="s">
        <v>905</v>
      </c>
      <c r="C117" s="117" t="s">
        <v>906</v>
      </c>
      <c r="T117" s="117" t="s">
        <v>892</v>
      </c>
      <c r="U117" s="37" t="s">
        <v>822</v>
      </c>
      <c r="CN117" s="7" t="str">
        <f t="shared" si="1626"/>
        <v>InitUnitState('IH07',,,,,,,,,,)</v>
      </c>
      <c r="CO117" s="7" t="str">
        <f t="shared" si="1627"/>
        <v>InitUnitNormal('IH07',,,,,,,,,,)</v>
      </c>
      <c r="CP117" s="7" t="str">
        <f t="shared" si="1628"/>
        <v>InitUnitMagic('IH07',,,,,,,,,,)</v>
      </c>
      <c r="CQ117" s="7" t="str">
        <f t="shared" si="1629"/>
        <v>InitUnitAdd('IH07',,,,,,,,,,)</v>
      </c>
      <c r="CR117" s="7" t="str">
        <f t="shared" si="1630"/>
        <v>InitEquipData('IH07',,"",,,,,'','','','','','',"ReplaceableTextures\\CommandButtons\\BTNTome.blp")</v>
      </c>
      <c r="CU117" s="45" t="str">
        <f t="shared" si="1631"/>
        <v>|n</v>
      </c>
      <c r="CV117" s="29" t="str">
        <f t="shared" si="1632"/>
        <v>觉醒兽魂</v>
      </c>
      <c r="CW117" s="24"/>
      <c r="CX117" s="24"/>
      <c r="CY117" s="24"/>
      <c r="CZ117" s="24"/>
      <c r="DA117" s="24"/>
      <c r="DB117" s="30" t="str">
        <f t="shared" si="1633"/>
        <v/>
      </c>
      <c r="DC117" s="30" t="str">
        <f t="shared" si="1634"/>
        <v/>
      </c>
      <c r="DD117" s="30" t="str">
        <f t="shared" si="1635"/>
        <v/>
      </c>
      <c r="DE117" s="30" t="str">
        <f t="shared" si="1636"/>
        <v/>
      </c>
      <c r="DF117" s="30" t="str">
        <f t="shared" si="1637"/>
        <v/>
      </c>
      <c r="DG117" s="30" t="str">
        <f t="shared" si="1638"/>
        <v/>
      </c>
      <c r="DH117" s="30" t="str">
        <f t="shared" si="1639"/>
        <v/>
      </c>
      <c r="DI117" s="30" t="str">
        <f t="shared" si="1640"/>
        <v/>
      </c>
      <c r="DJ117" s="30" t="str">
        <f t="shared" si="1641"/>
        <v/>
      </c>
      <c r="DK117" s="30" t="str">
        <f t="shared" si="1642"/>
        <v/>
      </c>
      <c r="DL117" s="30" t="str">
        <f t="shared" si="1643"/>
        <v/>
      </c>
      <c r="DM117" s="30" t="str">
        <f t="shared" si="1644"/>
        <v/>
      </c>
      <c r="DN117" s="30" t="str">
        <f t="shared" si="1645"/>
        <v/>
      </c>
      <c r="DO117" s="30" t="str">
        <f t="shared" si="1646"/>
        <v/>
      </c>
      <c r="DP117" s="30" t="str">
        <f t="shared" si="1647"/>
        <v/>
      </c>
      <c r="DQ117" s="30" t="str">
        <f t="shared" si="1648"/>
        <v/>
      </c>
      <c r="DR117" s="30" t="str">
        <f t="shared" si="1649"/>
        <v/>
      </c>
      <c r="DS117" s="30" t="str">
        <f t="shared" si="1650"/>
        <v/>
      </c>
      <c r="DT117" s="30" t="str">
        <f t="shared" si="1651"/>
        <v/>
      </c>
      <c r="DU117" s="30" t="str">
        <f t="shared" si="1652"/>
        <v/>
      </c>
      <c r="DV117" s="30" t="str">
        <f t="shared" si="1653"/>
        <v/>
      </c>
      <c r="DW117" s="30" t="str">
        <f t="shared" si="1654"/>
        <v/>
      </c>
      <c r="DX117" s="30" t="str">
        <f t="shared" si="1655"/>
        <v/>
      </c>
      <c r="DY117" s="30" t="str">
        <f t="shared" si="1656"/>
        <v/>
      </c>
      <c r="DZ117" s="30" t="str">
        <f t="shared" si="1657"/>
        <v/>
      </c>
      <c r="EA117" s="30" t="str">
        <f t="shared" si="1658"/>
        <v/>
      </c>
      <c r="EB117" s="30" t="str">
        <f t="shared" si="1659"/>
        <v/>
      </c>
      <c r="EC117" s="30" t="str">
        <f t="shared" si="1660"/>
        <v/>
      </c>
      <c r="ED117" s="30" t="str">
        <f t="shared" si="1661"/>
        <v/>
      </c>
      <c r="EE117" s="30" t="str">
        <f t="shared" si="1662"/>
        <v/>
      </c>
      <c r="EF117" s="30" t="str">
        <f t="shared" si="1663"/>
        <v/>
      </c>
      <c r="EG117" s="30" t="str">
        <f t="shared" si="1664"/>
        <v/>
      </c>
      <c r="EH117" s="30" t="str">
        <f t="shared" si="1665"/>
        <v/>
      </c>
      <c r="EI117" s="30" t="str">
        <f t="shared" si="1666"/>
        <v/>
      </c>
      <c r="EJ117" s="30" t="str">
        <f t="shared" si="1667"/>
        <v/>
      </c>
      <c r="EK117" s="30" t="str">
        <f t="shared" si="1668"/>
        <v/>
      </c>
      <c r="EL117" s="30" t="str">
        <f t="shared" si="1669"/>
        <v/>
      </c>
      <c r="EM117" s="30" t="str">
        <f t="shared" si="1670"/>
        <v/>
      </c>
      <c r="EN117" s="30" t="str">
        <f t="shared" si="1671"/>
        <v/>
      </c>
      <c r="EO117" s="30" t="str">
        <f t="shared" si="1672"/>
        <v/>
      </c>
      <c r="EP117" s="30" t="str">
        <f t="shared" si="1673"/>
        <v/>
      </c>
      <c r="EQ117" s="30" t="str">
        <f t="shared" si="1674"/>
        <v/>
      </c>
      <c r="ER117" s="30" t="str">
        <f t="shared" si="1675"/>
        <v/>
      </c>
      <c r="ES117" s="30" t="str">
        <f t="shared" si="1676"/>
        <v/>
      </c>
      <c r="ET117" s="30" t="str">
        <f t="shared" si="1677"/>
        <v/>
      </c>
      <c r="EU117" s="30" t="str">
        <f t="shared" si="1678"/>
        <v/>
      </c>
      <c r="EV117" s="30" t="str">
        <f t="shared" si="1679"/>
        <v/>
      </c>
      <c r="EW117" s="30" t="str">
        <f t="shared" si="1680"/>
        <v/>
      </c>
      <c r="EX117" s="30" t="str">
        <f t="shared" si="1681"/>
        <v/>
      </c>
      <c r="EY117" s="30" t="str">
        <f t="shared" si="1682"/>
        <v/>
      </c>
      <c r="EZ117" s="30" t="str">
        <f t="shared" si="1683"/>
        <v/>
      </c>
      <c r="FA117" s="30" t="str">
        <f t="shared" si="1684"/>
        <v/>
      </c>
      <c r="FB117" s="30" t="str">
        <f t="shared" si="1685"/>
        <v/>
      </c>
      <c r="FC117" s="30" t="str">
        <f t="shared" si="1686"/>
        <v/>
      </c>
      <c r="FD117" s="30" t="str">
        <f t="shared" si="1687"/>
        <v/>
      </c>
      <c r="FE117" s="30" t="str">
        <f t="shared" si="1688"/>
        <v/>
      </c>
      <c r="FF117" s="30" t="str">
        <f t="shared" si="1689"/>
        <v/>
      </c>
      <c r="FG117" s="30" t="str">
        <f t="shared" si="1690"/>
        <v/>
      </c>
      <c r="FH117" s="30" t="str">
        <f t="shared" si="1691"/>
        <v/>
      </c>
      <c r="FI117" s="30" t="str">
        <f t="shared" si="1692"/>
        <v/>
      </c>
      <c r="FJ117" s="30" t="str">
        <f t="shared" si="1693"/>
        <v/>
      </c>
      <c r="FK117" s="30" t="str">
        <f t="shared" si="1694"/>
        <v/>
      </c>
      <c r="FL117" s="30" t="str">
        <f t="shared" si="1695"/>
        <v/>
      </c>
      <c r="FM117" s="30" t="str">
        <f t="shared" si="1696"/>
        <v/>
      </c>
      <c r="FN117" s="30" t="str">
        <f t="shared" si="1697"/>
        <v/>
      </c>
      <c r="FO117" s="30" t="str">
        <f t="shared" si="1698"/>
        <v/>
      </c>
      <c r="FP117" s="30" t="str">
        <f t="shared" si="1699"/>
        <v/>
      </c>
      <c r="FQ117" s="30" t="str">
        <f t="shared" si="1700"/>
        <v/>
      </c>
      <c r="FR117" s="30" t="str">
        <f t="shared" si="1701"/>
        <v/>
      </c>
      <c r="FS117" s="30" t="str">
        <f t="shared" si="1702"/>
        <v/>
      </c>
    </row>
    <row r="118" spans="1:175" ht="16.5">
      <c r="A118" s="117"/>
      <c r="B118" s="111" t="s">
        <v>907</v>
      </c>
      <c r="C118" s="117" t="s">
        <v>908</v>
      </c>
      <c r="T118" s="117" t="s">
        <v>892</v>
      </c>
      <c r="U118" s="37" t="s">
        <v>822</v>
      </c>
      <c r="CN118" s="7" t="str">
        <f t="shared" si="1626"/>
        <v>InitUnitState('IH08',,,,,,,,,,)</v>
      </c>
      <c r="CO118" s="7" t="str">
        <f t="shared" si="1627"/>
        <v>InitUnitNormal('IH08',,,,,,,,,,)</v>
      </c>
      <c r="CP118" s="7" t="str">
        <f t="shared" si="1628"/>
        <v>InitUnitMagic('IH08',,,,,,,,,,)</v>
      </c>
      <c r="CQ118" s="7" t="str">
        <f t="shared" si="1629"/>
        <v>InitUnitAdd('IH08',,,,,,,,,,)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InitEquipData('IH08',,"",,,,,'','','','','','',"")</v>
      </c>
      <c r="CU118" s="45" t="str">
        <f t="shared" si="1631"/>
        <v>|n</v>
      </c>
      <c r="CV118" s="29" t="str">
        <f t="shared" si="1632"/>
        <v>觉醒兽魂</v>
      </c>
      <c r="CW118" s="24"/>
      <c r="CX118" s="24"/>
      <c r="CY118" s="24"/>
      <c r="CZ118" s="24"/>
      <c r="DA118" s="24"/>
      <c r="DB118" s="30" t="str">
        <f t="shared" si="1633"/>
        <v/>
      </c>
      <c r="DC118" s="30" t="str">
        <f t="shared" si="1634"/>
        <v/>
      </c>
      <c r="DD118" s="30" t="str">
        <f t="shared" si="1635"/>
        <v/>
      </c>
      <c r="DE118" s="30" t="str">
        <f t="shared" si="1636"/>
        <v/>
      </c>
      <c r="DF118" s="30" t="str">
        <f t="shared" si="1637"/>
        <v/>
      </c>
      <c r="DG118" s="30" t="str">
        <f t="shared" si="1638"/>
        <v/>
      </c>
      <c r="DH118" s="30" t="str">
        <f t="shared" si="1639"/>
        <v/>
      </c>
      <c r="DI118" s="30" t="str">
        <f t="shared" si="1640"/>
        <v/>
      </c>
      <c r="DJ118" s="30" t="str">
        <f t="shared" si="1641"/>
        <v/>
      </c>
      <c r="DK118" s="30" t="str">
        <f t="shared" si="1642"/>
        <v/>
      </c>
      <c r="DL118" s="30" t="str">
        <f t="shared" si="1643"/>
        <v/>
      </c>
      <c r="DM118" s="30" t="str">
        <f t="shared" si="1644"/>
        <v/>
      </c>
      <c r="DN118" s="30" t="str">
        <f t="shared" si="1645"/>
        <v/>
      </c>
      <c r="DO118" s="30" t="str">
        <f t="shared" si="1646"/>
        <v/>
      </c>
      <c r="DP118" s="30" t="str">
        <f t="shared" si="1647"/>
        <v/>
      </c>
      <c r="DQ118" s="30" t="str">
        <f t="shared" si="1648"/>
        <v/>
      </c>
      <c r="DR118" s="30" t="str">
        <f t="shared" si="1649"/>
        <v/>
      </c>
      <c r="DS118" s="30" t="str">
        <f t="shared" si="1650"/>
        <v/>
      </c>
      <c r="DT118" s="30" t="str">
        <f t="shared" si="1651"/>
        <v/>
      </c>
      <c r="DU118" s="30" t="str">
        <f t="shared" si="1652"/>
        <v/>
      </c>
      <c r="DV118" s="30" t="str">
        <f t="shared" si="1653"/>
        <v/>
      </c>
      <c r="DW118" s="30" t="str">
        <f t="shared" si="1654"/>
        <v/>
      </c>
      <c r="DX118" s="30" t="str">
        <f t="shared" si="1655"/>
        <v/>
      </c>
      <c r="DY118" s="30" t="str">
        <f t="shared" si="1656"/>
        <v/>
      </c>
      <c r="DZ118" s="30" t="str">
        <f t="shared" si="1657"/>
        <v/>
      </c>
      <c r="EA118" s="30" t="str">
        <f t="shared" si="1658"/>
        <v/>
      </c>
      <c r="EB118" s="30" t="str">
        <f t="shared" si="1659"/>
        <v/>
      </c>
      <c r="EC118" s="30" t="str">
        <f t="shared" si="1660"/>
        <v/>
      </c>
      <c r="ED118" s="30" t="str">
        <f t="shared" si="1661"/>
        <v/>
      </c>
      <c r="EE118" s="30" t="str">
        <f t="shared" si="1662"/>
        <v/>
      </c>
      <c r="EF118" s="30" t="str">
        <f t="shared" si="1663"/>
        <v/>
      </c>
      <c r="EG118" s="30" t="str">
        <f t="shared" si="1664"/>
        <v/>
      </c>
      <c r="EH118" s="30" t="str">
        <f t="shared" si="1665"/>
        <v/>
      </c>
      <c r="EI118" s="30" t="str">
        <f t="shared" si="1666"/>
        <v/>
      </c>
      <c r="EJ118" s="30" t="str">
        <f t="shared" si="1667"/>
        <v/>
      </c>
      <c r="EK118" s="30" t="str">
        <f t="shared" si="1668"/>
        <v/>
      </c>
      <c r="EL118" s="30" t="str">
        <f t="shared" si="1669"/>
        <v/>
      </c>
      <c r="EM118" s="30" t="str">
        <f t="shared" si="1670"/>
        <v/>
      </c>
      <c r="EN118" s="30" t="str">
        <f t="shared" si="1671"/>
        <v/>
      </c>
      <c r="EO118" s="30" t="str">
        <f t="shared" si="1672"/>
        <v/>
      </c>
      <c r="EP118" s="30" t="str">
        <f t="shared" si="1673"/>
        <v/>
      </c>
      <c r="EQ118" s="30" t="str">
        <f t="shared" si="1674"/>
        <v/>
      </c>
      <c r="ER118" s="30" t="str">
        <f t="shared" si="1675"/>
        <v/>
      </c>
      <c r="ES118" s="30" t="str">
        <f t="shared" si="1676"/>
        <v/>
      </c>
      <c r="ET118" s="30" t="str">
        <f t="shared" si="1677"/>
        <v/>
      </c>
      <c r="EU118" s="30" t="str">
        <f t="shared" si="1678"/>
        <v/>
      </c>
      <c r="EV118" s="30" t="str">
        <f t="shared" si="1679"/>
        <v/>
      </c>
      <c r="EW118" s="30" t="str">
        <f t="shared" si="1680"/>
        <v/>
      </c>
      <c r="EX118" s="30" t="str">
        <f t="shared" si="1681"/>
        <v/>
      </c>
      <c r="EY118" s="30" t="str">
        <f t="shared" si="1682"/>
        <v/>
      </c>
      <c r="EZ118" s="30" t="str">
        <f t="shared" si="1683"/>
        <v/>
      </c>
      <c r="FA118" s="30" t="str">
        <f t="shared" si="1684"/>
        <v/>
      </c>
      <c r="FB118" s="30" t="str">
        <f t="shared" si="1685"/>
        <v/>
      </c>
      <c r="FC118" s="30" t="str">
        <f t="shared" si="1686"/>
        <v/>
      </c>
      <c r="FD118" s="30" t="str">
        <f t="shared" si="1687"/>
        <v/>
      </c>
      <c r="FE118" s="30" t="str">
        <f t="shared" si="1688"/>
        <v/>
      </c>
      <c r="FF118" s="30" t="str">
        <f t="shared" si="1689"/>
        <v/>
      </c>
      <c r="FG118" s="30" t="str">
        <f t="shared" si="1690"/>
        <v/>
      </c>
      <c r="FH118" s="30" t="str">
        <f t="shared" si="1691"/>
        <v/>
      </c>
      <c r="FI118" s="30" t="str">
        <f t="shared" si="1692"/>
        <v/>
      </c>
      <c r="FJ118" s="30" t="str">
        <f t="shared" si="1693"/>
        <v/>
      </c>
      <c r="FK118" s="30" t="str">
        <f t="shared" si="1694"/>
        <v/>
      </c>
      <c r="FL118" s="30" t="str">
        <f t="shared" si="1695"/>
        <v/>
      </c>
      <c r="FM118" s="30" t="str">
        <f t="shared" si="1696"/>
        <v/>
      </c>
      <c r="FN118" s="30" t="str">
        <f t="shared" si="1697"/>
        <v/>
      </c>
      <c r="FO118" s="30" t="str">
        <f t="shared" si="1698"/>
        <v/>
      </c>
      <c r="FP118" s="30" t="str">
        <f t="shared" si="1699"/>
        <v/>
      </c>
      <c r="FQ118" s="30" t="str">
        <f t="shared" si="1700"/>
        <v/>
      </c>
      <c r="FR118" s="30" t="str">
        <f t="shared" si="1701"/>
        <v/>
      </c>
      <c r="FS118" s="30" t="str">
        <f t="shared" si="1702"/>
        <v/>
      </c>
    </row>
    <row r="119" spans="1:175" ht="16.5">
      <c r="A119" s="117"/>
      <c r="B119" s="66" t="s">
        <v>909</v>
      </c>
      <c r="C119" s="88" t="s">
        <v>910</v>
      </c>
      <c r="T119" s="88" t="s">
        <v>910</v>
      </c>
      <c r="U119" s="37" t="s">
        <v>822</v>
      </c>
      <c r="CN119" s="7" t="str">
        <f t="shared" ref="CN119:CN123" si="1703">"InitUnitState('"&amp;B119&amp;"',"&amp;V119&amp;","&amp;W119&amp;","&amp;X119&amp;","&amp;Y119&amp;","&amp;Z119&amp;","&amp;AA119&amp;","&amp;AB119&amp;","&amp;AC119&amp;","&amp;AD119&amp;","&amp;AE119&amp;")"</f>
        <v>InitUnitState('IB01',,,,,,,,,,)</v>
      </c>
      <c r="CO119" s="7" t="str">
        <f t="shared" ref="CO119:CO123" si="1704">"InitUnitNormal('"&amp;B119&amp;"',"&amp;AF119&amp;","&amp;AG119&amp;","&amp;AH119&amp;","&amp;AI119&amp;","&amp;AJ119&amp;","&amp;AK119&amp;","&amp;AL119&amp;","&amp;AM119&amp;","&amp;AN119&amp;","&amp;AO119&amp;")"</f>
        <v>InitUnitNormal('IB01',,,,,,,,,,)</v>
      </c>
      <c r="CP119" s="7" t="str">
        <f t="shared" ref="CP119:CP123" si="1705">"InitUnitMagic('"&amp;B119&amp;"',"&amp;AP119&amp;","&amp;AQ119&amp;","&amp;AR119&amp;","&amp;AS119&amp;","&amp;AT119&amp;","&amp;AU119&amp;","&amp;AV119&amp;","&amp;AW119&amp;","&amp;BI119&amp;","&amp;BJ119&amp;")"</f>
        <v>InitUnitMagic('IB01',,,,,,,,,,)</v>
      </c>
      <c r="CQ119" s="7" t="str">
        <f t="shared" ref="CQ119:CQ123" si="1706">"InitUnitAdd('"&amp;B119&amp;"',"&amp;BK119&amp;","&amp;BL119&amp;","&amp;BM119&amp;","&amp;BN119&amp;","&amp;BO119&amp;","&amp;BP119&amp;","&amp;BQ119&amp;","&amp;BR119&amp;","&amp;BS119&amp;","&amp;BT119&amp;")"</f>
        <v>InitUnitAdd('IB01',,,,,,,,,,)</v>
      </c>
      <c r="CR119" s="7" t="str">
        <f t="shared" ref="CR119:CR122" si="1707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InitEquipData('IB01',,"",,,,,'','','','','','',"ReplaceableTextures\\CommandButtons\\BTNTome.blp")</v>
      </c>
      <c r="CU119" s="45" t="str">
        <f t="shared" ref="CU119:CU123" si="1708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29" t="str">
        <f t="shared" ref="CV119:CV123" si="1709">T119</f>
        <v>入群礼包</v>
      </c>
      <c r="CW119" s="24"/>
      <c r="CX119" s="24"/>
      <c r="CY119" s="24"/>
      <c r="CZ119" s="24"/>
      <c r="DA119" s="24"/>
      <c r="DB119" s="30" t="str">
        <f t="shared" ref="DB119:DB123" si="1710">IF(V119="","","|n"&amp;DB$2&amp;"+"&amp;V119&amp;DB$1)</f>
        <v/>
      </c>
      <c r="DC119" s="30" t="str">
        <f t="shared" ref="DC119:DC123" si="1711">IF(W119="","","|n"&amp;DC$2&amp;"+"&amp;W119&amp;DC$1)</f>
        <v/>
      </c>
      <c r="DD119" s="30" t="str">
        <f t="shared" ref="DD119:DD123" si="1712">IF(X119="","","|n"&amp;DD$2&amp;"+"&amp;X119&amp;DD$1)</f>
        <v/>
      </c>
      <c r="DE119" s="30" t="str">
        <f t="shared" ref="DE119:DE123" si="1713">IF(Y119="","","|n"&amp;DE$2&amp;"+"&amp;Y119&amp;DE$1)</f>
        <v/>
      </c>
      <c r="DF119" s="30" t="str">
        <f t="shared" ref="DF119:DF123" si="1714">IF(Z119="","","|n"&amp;DF$2&amp;"+"&amp;Z119&amp;DF$1)</f>
        <v/>
      </c>
      <c r="DG119" s="30" t="str">
        <f t="shared" ref="DG119:DG123" si="1715">IF(AA119="","","|n"&amp;DG$2&amp;"+"&amp;AA119&amp;DG$1)</f>
        <v/>
      </c>
      <c r="DH119" s="30" t="str">
        <f t="shared" ref="DH119:DH123" si="1716">IF(AB119="","","|n"&amp;DH$2&amp;"+"&amp;AB119&amp;DH$1)</f>
        <v/>
      </c>
      <c r="DI119" s="30" t="str">
        <f t="shared" ref="DI119:DI123" si="1717">IF(AC119="","","|n"&amp;DI$2&amp;"+"&amp;AC119&amp;DI$1)</f>
        <v/>
      </c>
      <c r="DJ119" s="30" t="str">
        <f t="shared" ref="DJ119:DJ123" si="1718">IF(AD119="","","|n"&amp;DJ$2&amp;"+"&amp;AD119&amp;DJ$1)</f>
        <v/>
      </c>
      <c r="DK119" s="30" t="str">
        <f t="shared" ref="DK119:DK123" si="1719">IF(AE119="","","|n"&amp;DK$2&amp;"+"&amp;AE119&amp;DK$1)</f>
        <v/>
      </c>
      <c r="DL119" s="30" t="str">
        <f t="shared" ref="DL119:DL123" si="1720">IF(AF119="","","|n"&amp;DL$2&amp;"+"&amp;AF119&amp;DL$1)</f>
        <v/>
      </c>
      <c r="DM119" s="30" t="str">
        <f t="shared" ref="DM119:DM123" si="1721">IF(AG119="","","|n"&amp;DM$2&amp;"+"&amp;AG119&amp;DM$1)</f>
        <v/>
      </c>
      <c r="DN119" s="30" t="str">
        <f t="shared" ref="DN119:DN123" si="1722">IF(AH119="","","|n"&amp;DN$2&amp;"+"&amp;AH119&amp;DN$1)</f>
        <v/>
      </c>
      <c r="DO119" s="30" t="str">
        <f t="shared" ref="DO119:DO123" si="1723">IF(AI119="","","|n"&amp;DO$2&amp;"+"&amp;AI119&amp;DO$1)</f>
        <v/>
      </c>
      <c r="DP119" s="30" t="str">
        <f t="shared" ref="DP119:DP123" si="1724">IF(AJ119="","","|n"&amp;DP$2&amp;"+"&amp;AJ119&amp;DP$1)</f>
        <v/>
      </c>
      <c r="DQ119" s="30" t="str">
        <f t="shared" ref="DQ119:DQ123" si="1725">IF(AK119="","","|n"&amp;DQ$2&amp;"+"&amp;AK119&amp;DQ$1)</f>
        <v/>
      </c>
      <c r="DR119" s="30" t="str">
        <f t="shared" ref="DR119:DR123" si="1726">IF(AL119="","","|n"&amp;DR$2&amp;"+"&amp;AL119&amp;DR$1)</f>
        <v/>
      </c>
      <c r="DS119" s="30" t="str">
        <f t="shared" ref="DS119:DS123" si="1727">IF(AM119="","","|n"&amp;DS$2&amp;"+"&amp;AM119&amp;DS$1)</f>
        <v/>
      </c>
      <c r="DT119" s="30" t="str">
        <f t="shared" ref="DT119:DT123" si="1728">IF(AN119="","","|n"&amp;DT$2&amp;"+"&amp;AN119&amp;DT$1)</f>
        <v/>
      </c>
      <c r="DU119" s="30" t="str">
        <f t="shared" ref="DU119:DU123" si="1729">IF(AO119="","","|n"&amp;DU$2&amp;"+"&amp;AO119&amp;DU$1)</f>
        <v/>
      </c>
      <c r="DV119" s="30" t="str">
        <f t="shared" ref="DV119:DV123" si="1730">IF(AP119="","","|n"&amp;DV$2&amp;"+"&amp;AP119&amp;DV$1)</f>
        <v/>
      </c>
      <c r="DW119" s="30" t="str">
        <f t="shared" ref="DW119:DW123" si="1731">IF(AQ119="","","|n"&amp;DW$2&amp;"+"&amp;AQ119&amp;DW$1)</f>
        <v/>
      </c>
      <c r="DX119" s="30" t="str">
        <f t="shared" ref="DX119:DX123" si="1732">IF(AR119="","","|n"&amp;DX$2&amp;"+"&amp;AR119&amp;DX$1)</f>
        <v/>
      </c>
      <c r="DY119" s="30" t="str">
        <f t="shared" ref="DY119:DY123" si="1733">IF(AS119="","","|n"&amp;DY$2&amp;"+"&amp;AS119&amp;DY$1)</f>
        <v/>
      </c>
      <c r="DZ119" s="30" t="str">
        <f t="shared" ref="DZ119:DZ123" si="1734">IF(AT119="","","|n"&amp;DZ$2&amp;"+"&amp;AT119&amp;DZ$1)</f>
        <v/>
      </c>
      <c r="EA119" s="30" t="str">
        <f t="shared" ref="EA119:EA123" si="1735">IF(AU119="","","|n"&amp;EA$2&amp;"+"&amp;AU119&amp;EA$1)</f>
        <v/>
      </c>
      <c r="EB119" s="30" t="str">
        <f t="shared" ref="EB119:EB123" si="1736">IF(AV119="","","|n"&amp;EB$2&amp;"+"&amp;AV119&amp;EB$1)</f>
        <v/>
      </c>
      <c r="EC119" s="30" t="str">
        <f t="shared" ref="EC119:EC123" si="1737">IF(AW119="","","|n"&amp;EC$2&amp;"+"&amp;AW119&amp;EC$1)</f>
        <v/>
      </c>
      <c r="ED119" s="30" t="str">
        <f t="shared" ref="ED119:ED123" si="1738">IF(AX119="","","|n"&amp;ED$2&amp;"+"&amp;AX119&amp;ED$1)</f>
        <v/>
      </c>
      <c r="EE119" s="30" t="str">
        <f t="shared" ref="EE119:EE123" si="1739">IF(AY119="","","|n"&amp;EE$2&amp;"+"&amp;AY119&amp;EE$1)</f>
        <v/>
      </c>
      <c r="EF119" s="30" t="str">
        <f t="shared" ref="EF119:EF123" si="1740">IF(AZ119="","","|n"&amp;EF$2&amp;"+"&amp;AZ119&amp;EF$1)</f>
        <v/>
      </c>
      <c r="EG119" s="30" t="str">
        <f t="shared" ref="EG119:EG123" si="1741">IF(BA119="","","|n"&amp;EG$2&amp;"+"&amp;BA119&amp;EG$1)</f>
        <v/>
      </c>
      <c r="EH119" s="30" t="str">
        <f t="shared" ref="EH119:EH123" si="1742">IF(BB119="","","|n"&amp;EH$2&amp;"+"&amp;BB119&amp;EH$1)</f>
        <v/>
      </c>
      <c r="EI119" s="30" t="str">
        <f t="shared" ref="EI119:EI123" si="1743">IF(BC119="","","|n"&amp;EI$2&amp;"+"&amp;BC119&amp;EI$1)</f>
        <v/>
      </c>
      <c r="EJ119" s="30" t="str">
        <f t="shared" ref="EJ119:EJ123" si="1744">IF(BD119="","","|n"&amp;EJ$2&amp;"+"&amp;BD119&amp;EJ$1)</f>
        <v/>
      </c>
      <c r="EK119" s="30" t="str">
        <f t="shared" ref="EK119:EK123" si="1745">IF(BE119="","","|n"&amp;EK$2&amp;"+"&amp;BE119&amp;EK$1)</f>
        <v/>
      </c>
      <c r="EL119" s="30" t="str">
        <f t="shared" ref="EL119:EL123" si="1746">IF(BF119="","","|n"&amp;EL$2&amp;"+"&amp;BF119&amp;EL$1)</f>
        <v/>
      </c>
      <c r="EM119" s="30" t="str">
        <f t="shared" ref="EM119:EM123" si="1747">IF(BG119="","","|n"&amp;EM$2&amp;"+"&amp;BG119&amp;EM$1)</f>
        <v/>
      </c>
      <c r="EN119" s="30" t="str">
        <f t="shared" ref="EN119:EN123" si="1748">IF(BH119="","","|n"&amp;EN$2&amp;"+"&amp;BH119&amp;EN$1)</f>
        <v/>
      </c>
      <c r="EO119" s="30" t="str">
        <f t="shared" ref="EO119:EO123" si="1749">IF(BI119="","","|n"&amp;EO$2&amp;"+"&amp;BI119&amp;EO$1)</f>
        <v/>
      </c>
      <c r="EP119" s="30" t="str">
        <f t="shared" ref="EP119:EP123" si="1750">IF(BJ119="","","|n"&amp;EP$2&amp;"+"&amp;BJ119&amp;EP$1)</f>
        <v/>
      </c>
      <c r="EQ119" s="30" t="str">
        <f t="shared" ref="EQ119:EQ123" si="1751">IF(BK119="","","|n"&amp;EQ$2&amp;"+"&amp;BK119&amp;EQ$1)</f>
        <v/>
      </c>
      <c r="ER119" s="30" t="str">
        <f t="shared" ref="ER119:ER123" si="1752">IF(BL119="","","|n"&amp;ER$2&amp;"+"&amp;BL119&amp;ER$1)</f>
        <v/>
      </c>
      <c r="ES119" s="30" t="str">
        <f t="shared" ref="ES119:ES123" si="1753">IF(BM119="","","|n"&amp;ES$2&amp;"+"&amp;BM119&amp;ES$1)</f>
        <v/>
      </c>
      <c r="ET119" s="30" t="str">
        <f t="shared" ref="ET119:ET123" si="1754">IF(BN119="","","|n"&amp;ET$2&amp;"+"&amp;BN119&amp;ET$1)</f>
        <v/>
      </c>
      <c r="EU119" s="30" t="str">
        <f t="shared" ref="EU119:EU123" si="1755">IF(BO119="","","|n"&amp;EU$2&amp;"+"&amp;BO119&amp;EU$1)</f>
        <v/>
      </c>
      <c r="EV119" s="30" t="str">
        <f t="shared" ref="EV119:EV123" si="1756">IF(BP119="","","|n"&amp;EV$2&amp;"+"&amp;BP119&amp;EV$1)</f>
        <v/>
      </c>
      <c r="EW119" s="30" t="str">
        <f t="shared" ref="EW119:EW123" si="1757">IF(BQ119="","","|n"&amp;EW$2&amp;"+"&amp;BQ119&amp;EW$1)</f>
        <v/>
      </c>
      <c r="EX119" s="30" t="str">
        <f t="shared" ref="EX119:EX123" si="1758">IF(BR119="","","|n"&amp;EX$2&amp;"+"&amp;BR119&amp;EX$1)</f>
        <v/>
      </c>
      <c r="EY119" s="30" t="str">
        <f t="shared" ref="EY119:EY123" si="1759">IF(BS119="","","|n"&amp;EY$2&amp;"+"&amp;BS119&amp;EY$1)</f>
        <v/>
      </c>
      <c r="EZ119" s="30" t="str">
        <f t="shared" ref="EZ119:EZ123" si="1760">IF(BT119="","","|n"&amp;EZ$2&amp;"+"&amp;BT119&amp;EZ$1)</f>
        <v/>
      </c>
      <c r="FA119" s="30" t="str">
        <f t="shared" ref="FA119:FA123" si="1761">IF(BU119="","","|n"&amp;FA$2&amp;"+"&amp;BU119&amp;FA$1)</f>
        <v/>
      </c>
      <c r="FB119" s="30" t="str">
        <f t="shared" ref="FB119:FB123" si="1762">IF(BV119="","","|n"&amp;FB$2&amp;"+"&amp;BV119&amp;FB$1)</f>
        <v/>
      </c>
      <c r="FC119" s="30" t="str">
        <f t="shared" ref="FC119:FC123" si="1763">IF(BW119="","","|n"&amp;FC$2&amp;"+"&amp;BW119&amp;FC$1)</f>
        <v/>
      </c>
      <c r="FD119" s="30" t="str">
        <f t="shared" ref="FD119:FD123" si="1764">IF(BX119="","","|n"&amp;FD$2&amp;"+"&amp;BX119&amp;FD$1)</f>
        <v/>
      </c>
      <c r="FE119" s="30" t="str">
        <f t="shared" ref="FE119:FE123" si="1765">IF(BY119="","","|n"&amp;FE$2&amp;"+"&amp;BY119&amp;FE$1)</f>
        <v/>
      </c>
      <c r="FF119" s="30" t="str">
        <f t="shared" ref="FF119:FF123" si="1766">IF(BZ119="","","|n"&amp;FF$2&amp;"+"&amp;BZ119&amp;FF$1)</f>
        <v/>
      </c>
      <c r="FG119" s="30" t="str">
        <f t="shared" ref="FG119:FG123" si="1767">IF(CA119="","","|n"&amp;FG$2&amp;"+"&amp;CA119&amp;FG$1)</f>
        <v/>
      </c>
      <c r="FH119" s="30" t="str">
        <f t="shared" ref="FH119:FH123" si="1768">IF(CB119="","","|n"&amp;FH$2&amp;"+"&amp;CB119&amp;FH$1)</f>
        <v/>
      </c>
      <c r="FI119" s="30" t="str">
        <f t="shared" ref="FI119:FI123" si="1769">IF(CC119="","","|n"&amp;FI$2&amp;"+"&amp;CC119&amp;FI$1)</f>
        <v/>
      </c>
      <c r="FJ119" s="30" t="str">
        <f t="shared" ref="FJ119:FJ123" si="1770">IF(CD119="","","|n"&amp;FJ$2&amp;"+"&amp;CD119&amp;FJ$1)</f>
        <v/>
      </c>
      <c r="FK119" s="30" t="str">
        <f t="shared" ref="FK119:FK123" si="1771">IF(CE119="","","|n"&amp;FK$2&amp;"+"&amp;CE119&amp;FK$1)</f>
        <v/>
      </c>
      <c r="FL119" s="30" t="str">
        <f t="shared" ref="FL119:FL123" si="1772">IF(CF119="","","|n"&amp;FL$2&amp;"+"&amp;CF119&amp;FL$1)</f>
        <v/>
      </c>
      <c r="FM119" s="30" t="str">
        <f t="shared" ref="FM119:FM123" si="1773">IF(CG119="","","|n"&amp;FM$2&amp;"+"&amp;CG119&amp;FM$1)</f>
        <v/>
      </c>
      <c r="FN119" s="30" t="str">
        <f t="shared" ref="FN119:FN123" si="1774">IF(CH119="","","|n"&amp;FN$2&amp;"+"&amp;CH119&amp;FN$1)</f>
        <v/>
      </c>
      <c r="FO119" s="30" t="str">
        <f t="shared" ref="FO119:FO123" si="1775">IF(CI119="","","|n"&amp;FO$2&amp;"+"&amp;CI119&amp;FO$1)</f>
        <v/>
      </c>
      <c r="FP119" s="30" t="str">
        <f t="shared" ref="FP119:FP123" si="1776">IF(CJ119="","","|n"&amp;FP$2&amp;"+"&amp;CJ119&amp;FP$1)</f>
        <v/>
      </c>
      <c r="FQ119" s="30" t="str">
        <f t="shared" ref="FQ119:FQ123" si="1777">IF(CK119="","","|n"&amp;FQ$2&amp;"+"&amp;CK119&amp;FQ$1)</f>
        <v/>
      </c>
      <c r="FR119" s="30" t="str">
        <f t="shared" ref="FR119:FR123" si="1778">IF(CL119="","","|n"&amp;FR$2&amp;"+"&amp;CL119&amp;FR$1)</f>
        <v/>
      </c>
      <c r="FS119" s="30" t="str">
        <f t="shared" ref="FS119:FS123" si="1779">IF(CM119="","","|n"&amp;FS$2&amp;"+"&amp;CM119&amp;FS$1)</f>
        <v/>
      </c>
    </row>
    <row r="120" spans="1:175" ht="16.5">
      <c r="A120" s="117"/>
      <c r="B120" s="66" t="s">
        <v>915</v>
      </c>
      <c r="C120" s="88" t="s">
        <v>911</v>
      </c>
      <c r="T120" s="88" t="s">
        <v>911</v>
      </c>
      <c r="U120" s="37" t="s">
        <v>822</v>
      </c>
      <c r="CN120" s="7" t="str">
        <f t="shared" si="1703"/>
        <v>InitUnitState('IB02',,,,,,,,,,)</v>
      </c>
      <c r="CO120" s="7" t="str">
        <f t="shared" si="1704"/>
        <v>InitUnitNormal('IB02',,,,,,,,,,)</v>
      </c>
      <c r="CP120" s="7" t="str">
        <f t="shared" si="1705"/>
        <v>InitUnitMagic('IB02',,,,,,,,,,)</v>
      </c>
      <c r="CQ120" s="7" t="str">
        <f t="shared" si="1706"/>
        <v>InitUnitAdd('IB02',,,,,,,,,,)</v>
      </c>
      <c r="CR120" s="7" t="str">
        <f t="shared" si="1707"/>
        <v>InitEquipData('IB02',,"",,,,,'','','','','','',"ReplaceableTextures\\CommandButtons\\BTNTome.blp")</v>
      </c>
      <c r="CU120" s="45" t="str">
        <f t="shared" si="1708"/>
        <v>|n</v>
      </c>
      <c r="CV120" s="29" t="str">
        <f t="shared" si="1709"/>
        <v>公众号礼包</v>
      </c>
      <c r="CW120" s="24"/>
      <c r="CX120" s="24"/>
      <c r="CY120" s="24"/>
      <c r="CZ120" s="24"/>
      <c r="DA120" s="24"/>
      <c r="DB120" s="30" t="str">
        <f t="shared" si="1710"/>
        <v/>
      </c>
      <c r="DC120" s="30" t="str">
        <f t="shared" si="1711"/>
        <v/>
      </c>
      <c r="DD120" s="30" t="str">
        <f t="shared" si="1712"/>
        <v/>
      </c>
      <c r="DE120" s="30" t="str">
        <f t="shared" si="1713"/>
        <v/>
      </c>
      <c r="DF120" s="30" t="str">
        <f t="shared" si="1714"/>
        <v/>
      </c>
      <c r="DG120" s="30" t="str">
        <f t="shared" si="1715"/>
        <v/>
      </c>
      <c r="DH120" s="30" t="str">
        <f t="shared" si="1716"/>
        <v/>
      </c>
      <c r="DI120" s="30" t="str">
        <f t="shared" si="1717"/>
        <v/>
      </c>
      <c r="DJ120" s="30" t="str">
        <f t="shared" si="1718"/>
        <v/>
      </c>
      <c r="DK120" s="30" t="str">
        <f t="shared" si="1719"/>
        <v/>
      </c>
      <c r="DL120" s="30" t="str">
        <f t="shared" si="1720"/>
        <v/>
      </c>
      <c r="DM120" s="30" t="str">
        <f t="shared" si="1721"/>
        <v/>
      </c>
      <c r="DN120" s="30" t="str">
        <f t="shared" si="1722"/>
        <v/>
      </c>
      <c r="DO120" s="30" t="str">
        <f t="shared" si="1723"/>
        <v/>
      </c>
      <c r="DP120" s="30" t="str">
        <f t="shared" si="1724"/>
        <v/>
      </c>
      <c r="DQ120" s="30" t="str">
        <f t="shared" si="1725"/>
        <v/>
      </c>
      <c r="DR120" s="30" t="str">
        <f t="shared" si="1726"/>
        <v/>
      </c>
      <c r="DS120" s="30" t="str">
        <f t="shared" si="1727"/>
        <v/>
      </c>
      <c r="DT120" s="30" t="str">
        <f t="shared" si="1728"/>
        <v/>
      </c>
      <c r="DU120" s="30" t="str">
        <f t="shared" si="1729"/>
        <v/>
      </c>
      <c r="DV120" s="30" t="str">
        <f t="shared" si="1730"/>
        <v/>
      </c>
      <c r="DW120" s="30" t="str">
        <f t="shared" si="1731"/>
        <v/>
      </c>
      <c r="DX120" s="30" t="str">
        <f t="shared" si="1732"/>
        <v/>
      </c>
      <c r="DY120" s="30" t="str">
        <f t="shared" si="1733"/>
        <v/>
      </c>
      <c r="DZ120" s="30" t="str">
        <f t="shared" si="1734"/>
        <v/>
      </c>
      <c r="EA120" s="30" t="str">
        <f t="shared" si="1735"/>
        <v/>
      </c>
      <c r="EB120" s="30" t="str">
        <f t="shared" si="1736"/>
        <v/>
      </c>
      <c r="EC120" s="30" t="str">
        <f t="shared" si="1737"/>
        <v/>
      </c>
      <c r="ED120" s="30" t="str">
        <f t="shared" si="1738"/>
        <v/>
      </c>
      <c r="EE120" s="30" t="str">
        <f t="shared" si="1739"/>
        <v/>
      </c>
      <c r="EF120" s="30" t="str">
        <f t="shared" si="1740"/>
        <v/>
      </c>
      <c r="EG120" s="30" t="str">
        <f t="shared" si="1741"/>
        <v/>
      </c>
      <c r="EH120" s="30" t="str">
        <f t="shared" si="1742"/>
        <v/>
      </c>
      <c r="EI120" s="30" t="str">
        <f t="shared" si="1743"/>
        <v/>
      </c>
      <c r="EJ120" s="30" t="str">
        <f t="shared" si="1744"/>
        <v/>
      </c>
      <c r="EK120" s="30" t="str">
        <f t="shared" si="1745"/>
        <v/>
      </c>
      <c r="EL120" s="30" t="str">
        <f t="shared" si="1746"/>
        <v/>
      </c>
      <c r="EM120" s="30" t="str">
        <f t="shared" si="1747"/>
        <v/>
      </c>
      <c r="EN120" s="30" t="str">
        <f t="shared" si="1748"/>
        <v/>
      </c>
      <c r="EO120" s="30" t="str">
        <f t="shared" si="1749"/>
        <v/>
      </c>
      <c r="EP120" s="30" t="str">
        <f t="shared" si="1750"/>
        <v/>
      </c>
      <c r="EQ120" s="30" t="str">
        <f t="shared" si="1751"/>
        <v/>
      </c>
      <c r="ER120" s="30" t="str">
        <f t="shared" si="1752"/>
        <v/>
      </c>
      <c r="ES120" s="30" t="str">
        <f t="shared" si="1753"/>
        <v/>
      </c>
      <c r="ET120" s="30" t="str">
        <f t="shared" si="1754"/>
        <v/>
      </c>
      <c r="EU120" s="30" t="str">
        <f t="shared" si="1755"/>
        <v/>
      </c>
      <c r="EV120" s="30" t="str">
        <f t="shared" si="1756"/>
        <v/>
      </c>
      <c r="EW120" s="30" t="str">
        <f t="shared" si="1757"/>
        <v/>
      </c>
      <c r="EX120" s="30" t="str">
        <f t="shared" si="1758"/>
        <v/>
      </c>
      <c r="EY120" s="30" t="str">
        <f t="shared" si="1759"/>
        <v/>
      </c>
      <c r="EZ120" s="30" t="str">
        <f t="shared" si="1760"/>
        <v/>
      </c>
      <c r="FA120" s="30" t="str">
        <f t="shared" si="1761"/>
        <v/>
      </c>
      <c r="FB120" s="30" t="str">
        <f t="shared" si="1762"/>
        <v/>
      </c>
      <c r="FC120" s="30" t="str">
        <f t="shared" si="1763"/>
        <v/>
      </c>
      <c r="FD120" s="30" t="str">
        <f t="shared" si="1764"/>
        <v/>
      </c>
      <c r="FE120" s="30" t="str">
        <f t="shared" si="1765"/>
        <v/>
      </c>
      <c r="FF120" s="30" t="str">
        <f t="shared" si="1766"/>
        <v/>
      </c>
      <c r="FG120" s="30" t="str">
        <f t="shared" si="1767"/>
        <v/>
      </c>
      <c r="FH120" s="30" t="str">
        <f t="shared" si="1768"/>
        <v/>
      </c>
      <c r="FI120" s="30" t="str">
        <f t="shared" si="1769"/>
        <v/>
      </c>
      <c r="FJ120" s="30" t="str">
        <f t="shared" si="1770"/>
        <v/>
      </c>
      <c r="FK120" s="30" t="str">
        <f t="shared" si="1771"/>
        <v/>
      </c>
      <c r="FL120" s="30" t="str">
        <f t="shared" si="1772"/>
        <v/>
      </c>
      <c r="FM120" s="30" t="str">
        <f t="shared" si="1773"/>
        <v/>
      </c>
      <c r="FN120" s="30" t="str">
        <f t="shared" si="1774"/>
        <v/>
      </c>
      <c r="FO120" s="30" t="str">
        <f t="shared" si="1775"/>
        <v/>
      </c>
      <c r="FP120" s="30" t="str">
        <f t="shared" si="1776"/>
        <v/>
      </c>
      <c r="FQ120" s="30" t="str">
        <f t="shared" si="1777"/>
        <v/>
      </c>
      <c r="FR120" s="30" t="str">
        <f t="shared" si="1778"/>
        <v/>
      </c>
      <c r="FS120" s="30" t="str">
        <f t="shared" si="1779"/>
        <v/>
      </c>
    </row>
    <row r="121" spans="1:175" ht="16.5">
      <c r="A121" s="117"/>
      <c r="B121" s="66" t="s">
        <v>916</v>
      </c>
      <c r="C121" s="87" t="s">
        <v>912</v>
      </c>
      <c r="T121" s="87" t="s">
        <v>912</v>
      </c>
      <c r="U121" s="37" t="s">
        <v>822</v>
      </c>
      <c r="CN121" s="7" t="str">
        <f t="shared" si="1703"/>
        <v>InitUnitState('IB03',,,,,,,,,,)</v>
      </c>
      <c r="CO121" s="7" t="str">
        <f t="shared" si="1704"/>
        <v>InitUnitNormal('IB03',,,,,,,,,,)</v>
      </c>
      <c r="CP121" s="7" t="str">
        <f t="shared" si="1705"/>
        <v>InitUnitMagic('IB03',,,,,,,,,,)</v>
      </c>
      <c r="CQ121" s="7" t="str">
        <f t="shared" si="1706"/>
        <v>InitUnitAdd('IB03',,,,,,,,,,)</v>
      </c>
      <c r="CR121" s="7" t="str">
        <f t="shared" si="1707"/>
        <v>InitEquipData('IB03',,"",,,,,'','','','','','',"ReplaceableTextures\\CommandButtons\\BTNTome.blp")</v>
      </c>
      <c r="CU121" s="45" t="str">
        <f t="shared" si="1708"/>
        <v>|n</v>
      </c>
      <c r="CV121" s="29" t="str">
        <f t="shared" si="1709"/>
        <v>好评礼包</v>
      </c>
      <c r="CW121" s="24"/>
      <c r="CX121" s="24"/>
      <c r="CY121" s="24"/>
      <c r="CZ121" s="24"/>
      <c r="DA121" s="24"/>
      <c r="DB121" s="30" t="str">
        <f t="shared" si="1710"/>
        <v/>
      </c>
      <c r="DC121" s="30" t="str">
        <f t="shared" si="1711"/>
        <v/>
      </c>
      <c r="DD121" s="30" t="str">
        <f t="shared" si="1712"/>
        <v/>
      </c>
      <c r="DE121" s="30" t="str">
        <f t="shared" si="1713"/>
        <v/>
      </c>
      <c r="DF121" s="30" t="str">
        <f t="shared" si="1714"/>
        <v/>
      </c>
      <c r="DG121" s="30" t="str">
        <f t="shared" si="1715"/>
        <v/>
      </c>
      <c r="DH121" s="30" t="str">
        <f t="shared" si="1716"/>
        <v/>
      </c>
      <c r="DI121" s="30" t="str">
        <f t="shared" si="1717"/>
        <v/>
      </c>
      <c r="DJ121" s="30" t="str">
        <f t="shared" si="1718"/>
        <v/>
      </c>
      <c r="DK121" s="30" t="str">
        <f t="shared" si="1719"/>
        <v/>
      </c>
      <c r="DL121" s="30" t="str">
        <f t="shared" si="1720"/>
        <v/>
      </c>
      <c r="DM121" s="30" t="str">
        <f t="shared" si="1721"/>
        <v/>
      </c>
      <c r="DN121" s="30" t="str">
        <f t="shared" si="1722"/>
        <v/>
      </c>
      <c r="DO121" s="30" t="str">
        <f t="shared" si="1723"/>
        <v/>
      </c>
      <c r="DP121" s="30" t="str">
        <f t="shared" si="1724"/>
        <v/>
      </c>
      <c r="DQ121" s="30" t="str">
        <f t="shared" si="1725"/>
        <v/>
      </c>
      <c r="DR121" s="30" t="str">
        <f t="shared" si="1726"/>
        <v/>
      </c>
      <c r="DS121" s="30" t="str">
        <f t="shared" si="1727"/>
        <v/>
      </c>
      <c r="DT121" s="30" t="str">
        <f t="shared" si="1728"/>
        <v/>
      </c>
      <c r="DU121" s="30" t="str">
        <f t="shared" si="1729"/>
        <v/>
      </c>
      <c r="DV121" s="30" t="str">
        <f t="shared" si="1730"/>
        <v/>
      </c>
      <c r="DW121" s="30" t="str">
        <f t="shared" si="1731"/>
        <v/>
      </c>
      <c r="DX121" s="30" t="str">
        <f t="shared" si="1732"/>
        <v/>
      </c>
      <c r="DY121" s="30" t="str">
        <f t="shared" si="1733"/>
        <v/>
      </c>
      <c r="DZ121" s="30" t="str">
        <f t="shared" si="1734"/>
        <v/>
      </c>
      <c r="EA121" s="30" t="str">
        <f t="shared" si="1735"/>
        <v/>
      </c>
      <c r="EB121" s="30" t="str">
        <f t="shared" si="1736"/>
        <v/>
      </c>
      <c r="EC121" s="30" t="str">
        <f t="shared" si="1737"/>
        <v/>
      </c>
      <c r="ED121" s="30" t="str">
        <f t="shared" si="1738"/>
        <v/>
      </c>
      <c r="EE121" s="30" t="str">
        <f t="shared" si="1739"/>
        <v/>
      </c>
      <c r="EF121" s="30" t="str">
        <f t="shared" si="1740"/>
        <v/>
      </c>
      <c r="EG121" s="30" t="str">
        <f t="shared" si="1741"/>
        <v/>
      </c>
      <c r="EH121" s="30" t="str">
        <f t="shared" si="1742"/>
        <v/>
      </c>
      <c r="EI121" s="30" t="str">
        <f t="shared" si="1743"/>
        <v/>
      </c>
      <c r="EJ121" s="30" t="str">
        <f t="shared" si="1744"/>
        <v/>
      </c>
      <c r="EK121" s="30" t="str">
        <f t="shared" si="1745"/>
        <v/>
      </c>
      <c r="EL121" s="30" t="str">
        <f t="shared" si="1746"/>
        <v/>
      </c>
      <c r="EM121" s="30" t="str">
        <f t="shared" si="1747"/>
        <v/>
      </c>
      <c r="EN121" s="30" t="str">
        <f t="shared" si="1748"/>
        <v/>
      </c>
      <c r="EO121" s="30" t="str">
        <f t="shared" si="1749"/>
        <v/>
      </c>
      <c r="EP121" s="30" t="str">
        <f t="shared" si="1750"/>
        <v/>
      </c>
      <c r="EQ121" s="30" t="str">
        <f t="shared" si="1751"/>
        <v/>
      </c>
      <c r="ER121" s="30" t="str">
        <f t="shared" si="1752"/>
        <v/>
      </c>
      <c r="ES121" s="30" t="str">
        <f t="shared" si="1753"/>
        <v/>
      </c>
      <c r="ET121" s="30" t="str">
        <f t="shared" si="1754"/>
        <v/>
      </c>
      <c r="EU121" s="30" t="str">
        <f t="shared" si="1755"/>
        <v/>
      </c>
      <c r="EV121" s="30" t="str">
        <f t="shared" si="1756"/>
        <v/>
      </c>
      <c r="EW121" s="30" t="str">
        <f t="shared" si="1757"/>
        <v/>
      </c>
      <c r="EX121" s="30" t="str">
        <f t="shared" si="1758"/>
        <v/>
      </c>
      <c r="EY121" s="30" t="str">
        <f t="shared" si="1759"/>
        <v/>
      </c>
      <c r="EZ121" s="30" t="str">
        <f t="shared" si="1760"/>
        <v/>
      </c>
      <c r="FA121" s="30" t="str">
        <f t="shared" si="1761"/>
        <v/>
      </c>
      <c r="FB121" s="30" t="str">
        <f t="shared" si="1762"/>
        <v/>
      </c>
      <c r="FC121" s="30" t="str">
        <f t="shared" si="1763"/>
        <v/>
      </c>
      <c r="FD121" s="30" t="str">
        <f t="shared" si="1764"/>
        <v/>
      </c>
      <c r="FE121" s="30" t="str">
        <f t="shared" si="1765"/>
        <v/>
      </c>
      <c r="FF121" s="30" t="str">
        <f t="shared" si="1766"/>
        <v/>
      </c>
      <c r="FG121" s="30" t="str">
        <f t="shared" si="1767"/>
        <v/>
      </c>
      <c r="FH121" s="30" t="str">
        <f t="shared" si="1768"/>
        <v/>
      </c>
      <c r="FI121" s="30" t="str">
        <f t="shared" si="1769"/>
        <v/>
      </c>
      <c r="FJ121" s="30" t="str">
        <f t="shared" si="1770"/>
        <v/>
      </c>
      <c r="FK121" s="30" t="str">
        <f t="shared" si="1771"/>
        <v/>
      </c>
      <c r="FL121" s="30" t="str">
        <f t="shared" si="1772"/>
        <v/>
      </c>
      <c r="FM121" s="30" t="str">
        <f t="shared" si="1773"/>
        <v/>
      </c>
      <c r="FN121" s="30" t="str">
        <f t="shared" si="1774"/>
        <v/>
      </c>
      <c r="FO121" s="30" t="str">
        <f t="shared" si="1775"/>
        <v/>
      </c>
      <c r="FP121" s="30" t="str">
        <f t="shared" si="1776"/>
        <v/>
      </c>
      <c r="FQ121" s="30" t="str">
        <f t="shared" si="1777"/>
        <v/>
      </c>
      <c r="FR121" s="30" t="str">
        <f t="shared" si="1778"/>
        <v/>
      </c>
      <c r="FS121" s="30" t="str">
        <f t="shared" si="1779"/>
        <v/>
      </c>
    </row>
    <row r="122" spans="1:175" ht="16.5">
      <c r="A122" s="117"/>
      <c r="B122" s="66" t="s">
        <v>917</v>
      </c>
      <c r="C122" s="87" t="s">
        <v>913</v>
      </c>
      <c r="T122" s="87" t="s">
        <v>913</v>
      </c>
      <c r="U122" s="37" t="s">
        <v>822</v>
      </c>
      <c r="CN122" s="7" t="str">
        <f t="shared" si="1703"/>
        <v>InitUnitState('IB04',,,,,,,,,,)</v>
      </c>
      <c r="CO122" s="7" t="str">
        <f t="shared" si="1704"/>
        <v>InitUnitNormal('IB04',,,,,,,,,,)</v>
      </c>
      <c r="CP122" s="7" t="str">
        <f t="shared" si="1705"/>
        <v>InitUnitMagic('IB04',,,,,,,,,,)</v>
      </c>
      <c r="CQ122" s="7" t="str">
        <f t="shared" si="1706"/>
        <v>InitUnitAdd('IB04',,,,,,,,,,)</v>
      </c>
      <c r="CR122" s="7" t="str">
        <f t="shared" si="1707"/>
        <v>InitEquipData('IB04',,"",,,,,'','','','','','',"ReplaceableTextures\\CommandButtons\\BTNTome.blp")</v>
      </c>
      <c r="CU122" s="45" t="str">
        <f t="shared" si="1708"/>
        <v>|n</v>
      </c>
      <c r="CV122" s="29" t="str">
        <f t="shared" si="1709"/>
        <v>老铁礼包</v>
      </c>
      <c r="CW122" s="24"/>
      <c r="CX122" s="24"/>
      <c r="CY122" s="24"/>
      <c r="CZ122" s="24"/>
      <c r="DA122" s="24"/>
      <c r="DB122" s="30" t="str">
        <f t="shared" si="1710"/>
        <v/>
      </c>
      <c r="DC122" s="30" t="str">
        <f t="shared" si="1711"/>
        <v/>
      </c>
      <c r="DD122" s="30" t="str">
        <f t="shared" si="1712"/>
        <v/>
      </c>
      <c r="DE122" s="30" t="str">
        <f t="shared" si="1713"/>
        <v/>
      </c>
      <c r="DF122" s="30" t="str">
        <f t="shared" si="1714"/>
        <v/>
      </c>
      <c r="DG122" s="30" t="str">
        <f t="shared" si="1715"/>
        <v/>
      </c>
      <c r="DH122" s="30" t="str">
        <f t="shared" si="1716"/>
        <v/>
      </c>
      <c r="DI122" s="30" t="str">
        <f t="shared" si="1717"/>
        <v/>
      </c>
      <c r="DJ122" s="30" t="str">
        <f t="shared" si="1718"/>
        <v/>
      </c>
      <c r="DK122" s="30" t="str">
        <f t="shared" si="1719"/>
        <v/>
      </c>
      <c r="DL122" s="30" t="str">
        <f t="shared" si="1720"/>
        <v/>
      </c>
      <c r="DM122" s="30" t="str">
        <f t="shared" si="1721"/>
        <v/>
      </c>
      <c r="DN122" s="30" t="str">
        <f t="shared" si="1722"/>
        <v/>
      </c>
      <c r="DO122" s="30" t="str">
        <f t="shared" si="1723"/>
        <v/>
      </c>
      <c r="DP122" s="30" t="str">
        <f t="shared" si="1724"/>
        <v/>
      </c>
      <c r="DQ122" s="30" t="str">
        <f t="shared" si="1725"/>
        <v/>
      </c>
      <c r="DR122" s="30" t="str">
        <f t="shared" si="1726"/>
        <v/>
      </c>
      <c r="DS122" s="30" t="str">
        <f t="shared" si="1727"/>
        <v/>
      </c>
      <c r="DT122" s="30" t="str">
        <f t="shared" si="1728"/>
        <v/>
      </c>
      <c r="DU122" s="30" t="str">
        <f t="shared" si="1729"/>
        <v/>
      </c>
      <c r="DV122" s="30" t="str">
        <f t="shared" si="1730"/>
        <v/>
      </c>
      <c r="DW122" s="30" t="str">
        <f t="shared" si="1731"/>
        <v/>
      </c>
      <c r="DX122" s="30" t="str">
        <f t="shared" si="1732"/>
        <v/>
      </c>
      <c r="DY122" s="30" t="str">
        <f t="shared" si="1733"/>
        <v/>
      </c>
      <c r="DZ122" s="30" t="str">
        <f t="shared" si="1734"/>
        <v/>
      </c>
      <c r="EA122" s="30" t="str">
        <f t="shared" si="1735"/>
        <v/>
      </c>
      <c r="EB122" s="30" t="str">
        <f t="shared" si="1736"/>
        <v/>
      </c>
      <c r="EC122" s="30" t="str">
        <f t="shared" si="1737"/>
        <v/>
      </c>
      <c r="ED122" s="30" t="str">
        <f t="shared" si="1738"/>
        <v/>
      </c>
      <c r="EE122" s="30" t="str">
        <f t="shared" si="1739"/>
        <v/>
      </c>
      <c r="EF122" s="30" t="str">
        <f t="shared" si="1740"/>
        <v/>
      </c>
      <c r="EG122" s="30" t="str">
        <f t="shared" si="1741"/>
        <v/>
      </c>
      <c r="EH122" s="30" t="str">
        <f t="shared" si="1742"/>
        <v/>
      </c>
      <c r="EI122" s="30" t="str">
        <f t="shared" si="1743"/>
        <v/>
      </c>
      <c r="EJ122" s="30" t="str">
        <f t="shared" si="1744"/>
        <v/>
      </c>
      <c r="EK122" s="30" t="str">
        <f t="shared" si="1745"/>
        <v/>
      </c>
      <c r="EL122" s="30" t="str">
        <f t="shared" si="1746"/>
        <v/>
      </c>
      <c r="EM122" s="30" t="str">
        <f t="shared" si="1747"/>
        <v/>
      </c>
      <c r="EN122" s="30" t="str">
        <f t="shared" si="1748"/>
        <v/>
      </c>
      <c r="EO122" s="30" t="str">
        <f t="shared" si="1749"/>
        <v/>
      </c>
      <c r="EP122" s="30" t="str">
        <f t="shared" si="1750"/>
        <v/>
      </c>
      <c r="EQ122" s="30" t="str">
        <f t="shared" si="1751"/>
        <v/>
      </c>
      <c r="ER122" s="30" t="str">
        <f t="shared" si="1752"/>
        <v/>
      </c>
      <c r="ES122" s="30" t="str">
        <f t="shared" si="1753"/>
        <v/>
      </c>
      <c r="ET122" s="30" t="str">
        <f t="shared" si="1754"/>
        <v/>
      </c>
      <c r="EU122" s="30" t="str">
        <f t="shared" si="1755"/>
        <v/>
      </c>
      <c r="EV122" s="30" t="str">
        <f t="shared" si="1756"/>
        <v/>
      </c>
      <c r="EW122" s="30" t="str">
        <f t="shared" si="1757"/>
        <v/>
      </c>
      <c r="EX122" s="30" t="str">
        <f t="shared" si="1758"/>
        <v/>
      </c>
      <c r="EY122" s="30" t="str">
        <f t="shared" si="1759"/>
        <v/>
      </c>
      <c r="EZ122" s="30" t="str">
        <f t="shared" si="1760"/>
        <v/>
      </c>
      <c r="FA122" s="30" t="str">
        <f t="shared" si="1761"/>
        <v/>
      </c>
      <c r="FB122" s="30" t="str">
        <f t="shared" si="1762"/>
        <v/>
      </c>
      <c r="FC122" s="30" t="str">
        <f t="shared" si="1763"/>
        <v/>
      </c>
      <c r="FD122" s="30" t="str">
        <f t="shared" si="1764"/>
        <v/>
      </c>
      <c r="FE122" s="30" t="str">
        <f t="shared" si="1765"/>
        <v/>
      </c>
      <c r="FF122" s="30" t="str">
        <f t="shared" si="1766"/>
        <v/>
      </c>
      <c r="FG122" s="30" t="str">
        <f t="shared" si="1767"/>
        <v/>
      </c>
      <c r="FH122" s="30" t="str">
        <f t="shared" si="1768"/>
        <v/>
      </c>
      <c r="FI122" s="30" t="str">
        <f t="shared" si="1769"/>
        <v/>
      </c>
      <c r="FJ122" s="30" t="str">
        <f t="shared" si="1770"/>
        <v/>
      </c>
      <c r="FK122" s="30" t="str">
        <f t="shared" si="1771"/>
        <v/>
      </c>
      <c r="FL122" s="30" t="str">
        <f t="shared" si="1772"/>
        <v/>
      </c>
      <c r="FM122" s="30" t="str">
        <f t="shared" si="1773"/>
        <v/>
      </c>
      <c r="FN122" s="30" t="str">
        <f t="shared" si="1774"/>
        <v/>
      </c>
      <c r="FO122" s="30" t="str">
        <f t="shared" si="1775"/>
        <v/>
      </c>
      <c r="FP122" s="30" t="str">
        <f t="shared" si="1776"/>
        <v/>
      </c>
      <c r="FQ122" s="30" t="str">
        <f t="shared" si="1777"/>
        <v/>
      </c>
      <c r="FR122" s="30" t="str">
        <f t="shared" si="1778"/>
        <v/>
      </c>
      <c r="FS122" s="30" t="str">
        <f t="shared" si="1779"/>
        <v/>
      </c>
    </row>
    <row r="123" spans="1:175" ht="16.5">
      <c r="A123" s="117"/>
      <c r="B123" s="66" t="s">
        <v>918</v>
      </c>
      <c r="C123" s="87" t="s">
        <v>914</v>
      </c>
      <c r="T123" s="87" t="s">
        <v>914</v>
      </c>
      <c r="U123" s="37" t="s">
        <v>822</v>
      </c>
      <c r="CN123" s="7" t="str">
        <f t="shared" si="1703"/>
        <v>InitUnitState('IB05',,,,,,,,,,)</v>
      </c>
      <c r="CO123" s="7" t="str">
        <f t="shared" si="1704"/>
        <v>InitUnitNormal('IB05',,,,,,,,,,)</v>
      </c>
      <c r="CP123" s="7" t="str">
        <f t="shared" si="1705"/>
        <v>InitUnitMagic('IB05',,,,,,,,,,)</v>
      </c>
      <c r="CQ123" s="7" t="str">
        <f t="shared" si="1706"/>
        <v>InitUnitAdd('IB05',,,,,,,,,,)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InitEquipData('IB05',,"",,,,,'','','','','','',"")</v>
      </c>
      <c r="CU123" s="45" t="str">
        <f t="shared" si="1708"/>
        <v>|n</v>
      </c>
      <c r="CV123" s="29" t="str">
        <f t="shared" si="1709"/>
        <v>工会礼包</v>
      </c>
      <c r="CW123" s="24"/>
      <c r="CX123" s="24"/>
      <c r="CY123" s="24"/>
      <c r="CZ123" s="24"/>
      <c r="DA123" s="24"/>
      <c r="DB123" s="30" t="str">
        <f t="shared" si="1710"/>
        <v/>
      </c>
      <c r="DC123" s="30" t="str">
        <f t="shared" si="1711"/>
        <v/>
      </c>
      <c r="DD123" s="30" t="str">
        <f t="shared" si="1712"/>
        <v/>
      </c>
      <c r="DE123" s="30" t="str">
        <f t="shared" si="1713"/>
        <v/>
      </c>
      <c r="DF123" s="30" t="str">
        <f t="shared" si="1714"/>
        <v/>
      </c>
      <c r="DG123" s="30" t="str">
        <f t="shared" si="1715"/>
        <v/>
      </c>
      <c r="DH123" s="30" t="str">
        <f t="shared" si="1716"/>
        <v/>
      </c>
      <c r="DI123" s="30" t="str">
        <f t="shared" si="1717"/>
        <v/>
      </c>
      <c r="DJ123" s="30" t="str">
        <f t="shared" si="1718"/>
        <v/>
      </c>
      <c r="DK123" s="30" t="str">
        <f t="shared" si="1719"/>
        <v/>
      </c>
      <c r="DL123" s="30" t="str">
        <f t="shared" si="1720"/>
        <v/>
      </c>
      <c r="DM123" s="30" t="str">
        <f t="shared" si="1721"/>
        <v/>
      </c>
      <c r="DN123" s="30" t="str">
        <f t="shared" si="1722"/>
        <v/>
      </c>
      <c r="DO123" s="30" t="str">
        <f t="shared" si="1723"/>
        <v/>
      </c>
      <c r="DP123" s="30" t="str">
        <f t="shared" si="1724"/>
        <v/>
      </c>
      <c r="DQ123" s="30" t="str">
        <f t="shared" si="1725"/>
        <v/>
      </c>
      <c r="DR123" s="30" t="str">
        <f t="shared" si="1726"/>
        <v/>
      </c>
      <c r="DS123" s="30" t="str">
        <f t="shared" si="1727"/>
        <v/>
      </c>
      <c r="DT123" s="30" t="str">
        <f t="shared" si="1728"/>
        <v/>
      </c>
      <c r="DU123" s="30" t="str">
        <f t="shared" si="1729"/>
        <v/>
      </c>
      <c r="DV123" s="30" t="str">
        <f t="shared" si="1730"/>
        <v/>
      </c>
      <c r="DW123" s="30" t="str">
        <f t="shared" si="1731"/>
        <v/>
      </c>
      <c r="DX123" s="30" t="str">
        <f t="shared" si="1732"/>
        <v/>
      </c>
      <c r="DY123" s="30" t="str">
        <f t="shared" si="1733"/>
        <v/>
      </c>
      <c r="DZ123" s="30" t="str">
        <f t="shared" si="1734"/>
        <v/>
      </c>
      <c r="EA123" s="30" t="str">
        <f t="shared" si="1735"/>
        <v/>
      </c>
      <c r="EB123" s="30" t="str">
        <f t="shared" si="1736"/>
        <v/>
      </c>
      <c r="EC123" s="30" t="str">
        <f t="shared" si="1737"/>
        <v/>
      </c>
      <c r="ED123" s="30" t="str">
        <f t="shared" si="1738"/>
        <v/>
      </c>
      <c r="EE123" s="30" t="str">
        <f t="shared" si="1739"/>
        <v/>
      </c>
      <c r="EF123" s="30" t="str">
        <f t="shared" si="1740"/>
        <v/>
      </c>
      <c r="EG123" s="30" t="str">
        <f t="shared" si="1741"/>
        <v/>
      </c>
      <c r="EH123" s="30" t="str">
        <f t="shared" si="1742"/>
        <v/>
      </c>
      <c r="EI123" s="30" t="str">
        <f t="shared" si="1743"/>
        <v/>
      </c>
      <c r="EJ123" s="30" t="str">
        <f t="shared" si="1744"/>
        <v/>
      </c>
      <c r="EK123" s="30" t="str">
        <f t="shared" si="1745"/>
        <v/>
      </c>
      <c r="EL123" s="30" t="str">
        <f t="shared" si="1746"/>
        <v/>
      </c>
      <c r="EM123" s="30" t="str">
        <f t="shared" si="1747"/>
        <v/>
      </c>
      <c r="EN123" s="30" t="str">
        <f t="shared" si="1748"/>
        <v/>
      </c>
      <c r="EO123" s="30" t="str">
        <f t="shared" si="1749"/>
        <v/>
      </c>
      <c r="EP123" s="30" t="str">
        <f t="shared" si="1750"/>
        <v/>
      </c>
      <c r="EQ123" s="30" t="str">
        <f t="shared" si="1751"/>
        <v/>
      </c>
      <c r="ER123" s="30" t="str">
        <f t="shared" si="1752"/>
        <v/>
      </c>
      <c r="ES123" s="30" t="str">
        <f t="shared" si="1753"/>
        <v/>
      </c>
      <c r="ET123" s="30" t="str">
        <f t="shared" si="1754"/>
        <v/>
      </c>
      <c r="EU123" s="30" t="str">
        <f t="shared" si="1755"/>
        <v/>
      </c>
      <c r="EV123" s="30" t="str">
        <f t="shared" si="1756"/>
        <v/>
      </c>
      <c r="EW123" s="30" t="str">
        <f t="shared" si="1757"/>
        <v/>
      </c>
      <c r="EX123" s="30" t="str">
        <f t="shared" si="1758"/>
        <v/>
      </c>
      <c r="EY123" s="30" t="str">
        <f t="shared" si="1759"/>
        <v/>
      </c>
      <c r="EZ123" s="30" t="str">
        <f t="shared" si="1760"/>
        <v/>
      </c>
      <c r="FA123" s="30" t="str">
        <f t="shared" si="1761"/>
        <v/>
      </c>
      <c r="FB123" s="30" t="str">
        <f t="shared" si="1762"/>
        <v/>
      </c>
      <c r="FC123" s="30" t="str">
        <f t="shared" si="1763"/>
        <v/>
      </c>
      <c r="FD123" s="30" t="str">
        <f t="shared" si="1764"/>
        <v/>
      </c>
      <c r="FE123" s="30" t="str">
        <f t="shared" si="1765"/>
        <v/>
      </c>
      <c r="FF123" s="30" t="str">
        <f t="shared" si="1766"/>
        <v/>
      </c>
      <c r="FG123" s="30" t="str">
        <f t="shared" si="1767"/>
        <v/>
      </c>
      <c r="FH123" s="30" t="str">
        <f t="shared" si="1768"/>
        <v/>
      </c>
      <c r="FI123" s="30" t="str">
        <f t="shared" si="1769"/>
        <v/>
      </c>
      <c r="FJ123" s="30" t="str">
        <f t="shared" si="1770"/>
        <v/>
      </c>
      <c r="FK123" s="30" t="str">
        <f t="shared" si="1771"/>
        <v/>
      </c>
      <c r="FL123" s="30" t="str">
        <f t="shared" si="1772"/>
        <v/>
      </c>
      <c r="FM123" s="30" t="str">
        <f t="shared" si="1773"/>
        <v/>
      </c>
      <c r="FN123" s="30" t="str">
        <f t="shared" si="1774"/>
        <v/>
      </c>
      <c r="FO123" s="30" t="str">
        <f t="shared" si="1775"/>
        <v/>
      </c>
      <c r="FP123" s="30" t="str">
        <f t="shared" si="1776"/>
        <v/>
      </c>
      <c r="FQ123" s="30" t="str">
        <f t="shared" si="1777"/>
        <v/>
      </c>
      <c r="FR123" s="30" t="str">
        <f t="shared" si="1778"/>
        <v/>
      </c>
      <c r="FS123" s="30" t="str">
        <f t="shared" si="1779"/>
        <v/>
      </c>
    </row>
    <row r="124" spans="1:175" ht="16.5">
      <c r="A124" s="88"/>
      <c r="B124" s="66"/>
      <c r="C124" s="87"/>
      <c r="T124" s="107"/>
      <c r="U124" s="32"/>
      <c r="CN124" s="7" t="str">
        <f t="shared" ref="CN124:CN140" si="1780">"InitUnitState('"&amp;B124&amp;"',"&amp;V124&amp;","&amp;W124&amp;","&amp;X124&amp;","&amp;Y124&amp;","&amp;Z124&amp;","&amp;AA124&amp;","&amp;AB124&amp;","&amp;AC124&amp;","&amp;AD124&amp;","&amp;AE124&amp;")"</f>
        <v>InitUnitState('',,,,,,,,,,)</v>
      </c>
      <c r="CO124" s="7" t="str">
        <f t="shared" ref="CO124:CO140" si="1781">"InitUnitNormal('"&amp;B124&amp;"',"&amp;AF124&amp;","&amp;AG124&amp;","&amp;AH124&amp;","&amp;AI124&amp;","&amp;AJ124&amp;","&amp;AK124&amp;","&amp;AL124&amp;","&amp;AM124&amp;","&amp;AN124&amp;","&amp;AO124&amp;")"</f>
        <v>InitUnitNormal('',,,,,,,,,,)</v>
      </c>
      <c r="CP124" s="7" t="str">
        <f t="shared" ref="CP124:CP140" si="1782">"InitUnitMagic('"&amp;B124&amp;"',"&amp;AP124&amp;","&amp;AQ124&amp;","&amp;AR124&amp;","&amp;AS124&amp;","&amp;AT124&amp;","&amp;AU124&amp;","&amp;AV124&amp;","&amp;AW124&amp;","&amp;BI124&amp;","&amp;BJ124&amp;")"</f>
        <v>InitUnitMagic('',,,,,,,,,,)</v>
      </c>
      <c r="CQ124" s="7" t="str">
        <f t="shared" ref="CQ124:CQ140" si="1783">"InitUnitAdd('"&amp;B124&amp;"',"&amp;BK124&amp;","&amp;BL124&amp;","&amp;BM124&amp;","&amp;BN124&amp;","&amp;BO124&amp;","&amp;BP124&amp;","&amp;BQ124&amp;","&amp;BR124&amp;","&amp;BS124&amp;","&amp;BT124&amp;")"</f>
        <v>InitUnitAdd('',,,,,,,,,,)</v>
      </c>
      <c r="CR124" s="7" t="str">
        <f t="shared" ref="CR124:CR140" si="1784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InitEquipData('',,"",,,,,'','','','','','',"")</v>
      </c>
      <c r="CU124" s="45" t="str">
        <f t="shared" ref="CU124:CU146" si="178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W124" s="24"/>
      <c r="CX124" s="24"/>
      <c r="CY124" s="24"/>
      <c r="CZ124" s="24"/>
      <c r="DA124" s="24"/>
      <c r="DB124" s="30" t="str">
        <f t="shared" ref="DB124:DB146" si="1786">IF(V124="","","|n"&amp;DB$2&amp;"+"&amp;V124&amp;DB$1)</f>
        <v/>
      </c>
      <c r="DC124" s="30" t="str">
        <f t="shared" ref="DC124:DC146" si="1787">IF(W124="","","|n"&amp;DC$2&amp;"+"&amp;W124&amp;DC$1)</f>
        <v/>
      </c>
      <c r="DD124" s="30" t="str">
        <f t="shared" ref="DD124:DD146" si="1788">IF(X124="","","|n"&amp;DD$2&amp;"+"&amp;X124&amp;DD$1)</f>
        <v/>
      </c>
      <c r="DE124" s="30" t="str">
        <f t="shared" ref="DE124:DE146" si="1789">IF(Y124="","","|n"&amp;DE$2&amp;"+"&amp;Y124&amp;DE$1)</f>
        <v/>
      </c>
      <c r="DF124" s="30" t="str">
        <f t="shared" ref="DF124:DF146" si="1790">IF(Z124="","","|n"&amp;DF$2&amp;"+"&amp;Z124&amp;DF$1)</f>
        <v/>
      </c>
      <c r="DG124" s="30" t="str">
        <f t="shared" ref="DG124:DG146" si="1791">IF(AA124="","","|n"&amp;DG$2&amp;"+"&amp;AA124&amp;DG$1)</f>
        <v/>
      </c>
      <c r="DH124" s="30" t="str">
        <f t="shared" ref="DH124:DH146" si="1792">IF(AB124="","","|n"&amp;DH$2&amp;"+"&amp;AB124&amp;DH$1)</f>
        <v/>
      </c>
      <c r="DI124" s="30" t="str">
        <f t="shared" ref="DI124:DI146" si="1793">IF(AC124="","","|n"&amp;DI$2&amp;"+"&amp;AC124&amp;DI$1)</f>
        <v/>
      </c>
      <c r="DJ124" s="30" t="str">
        <f t="shared" ref="DJ124:DJ146" si="1794">IF(AD124="","","|n"&amp;DJ$2&amp;"+"&amp;AD124&amp;DJ$1)</f>
        <v/>
      </c>
      <c r="DK124" s="30" t="str">
        <f t="shared" ref="DK124:DK146" si="1795">IF(AE124="","","|n"&amp;DK$2&amp;"+"&amp;AE124&amp;DK$1)</f>
        <v/>
      </c>
      <c r="DL124" s="30" t="str">
        <f t="shared" ref="DL124:DL146" si="1796">IF(AF124="","","|n"&amp;DL$2&amp;"+"&amp;AF124&amp;DL$1)</f>
        <v/>
      </c>
      <c r="DM124" s="30" t="str">
        <f t="shared" ref="DM124:DM146" si="1797">IF(AG124="","","|n"&amp;DM$2&amp;"+"&amp;AG124&amp;DM$1)</f>
        <v/>
      </c>
      <c r="DN124" s="30" t="str">
        <f t="shared" ref="DN124:DN146" si="1798">IF(AH124="","","|n"&amp;DN$2&amp;"+"&amp;AH124&amp;DN$1)</f>
        <v/>
      </c>
      <c r="DO124" s="30" t="str">
        <f t="shared" ref="DO124:DO146" si="1799">IF(AI124="","","|n"&amp;DO$2&amp;"+"&amp;AI124&amp;DO$1)</f>
        <v/>
      </c>
      <c r="DP124" s="30" t="str">
        <f t="shared" ref="DP124:DP146" si="1800">IF(AJ124="","","|n"&amp;DP$2&amp;"+"&amp;AJ124&amp;DP$1)</f>
        <v/>
      </c>
      <c r="DQ124" s="30" t="str">
        <f t="shared" ref="DQ124:DQ146" si="1801">IF(AK124="","","|n"&amp;DQ$2&amp;"+"&amp;AK124&amp;DQ$1)</f>
        <v/>
      </c>
      <c r="DR124" s="30" t="str">
        <f t="shared" ref="DR124:DR146" si="1802">IF(AL124="","","|n"&amp;DR$2&amp;"+"&amp;AL124&amp;DR$1)</f>
        <v/>
      </c>
      <c r="DS124" s="30" t="str">
        <f t="shared" ref="DS124:DS146" si="1803">IF(AM124="","","|n"&amp;DS$2&amp;"+"&amp;AM124&amp;DS$1)</f>
        <v/>
      </c>
      <c r="DT124" s="30" t="str">
        <f t="shared" ref="DT124:DT146" si="1804">IF(AN124="","","|n"&amp;DT$2&amp;"+"&amp;AN124&amp;DT$1)</f>
        <v/>
      </c>
      <c r="DU124" s="30" t="str">
        <f t="shared" ref="DU124:DU146" si="1805">IF(AO124="","","|n"&amp;DU$2&amp;"+"&amp;AO124&amp;DU$1)</f>
        <v/>
      </c>
      <c r="DV124" s="30" t="str">
        <f t="shared" ref="DV124:DV146" si="1806">IF(AP124="","","|n"&amp;DV$2&amp;"+"&amp;AP124&amp;DV$1)</f>
        <v/>
      </c>
      <c r="DW124" s="30" t="str">
        <f t="shared" ref="DW124:DW146" si="1807">IF(AQ124="","","|n"&amp;DW$2&amp;"+"&amp;AQ124&amp;DW$1)</f>
        <v/>
      </c>
      <c r="DX124" s="30" t="str">
        <f t="shared" ref="DX124:DX146" si="1808">IF(AR124="","","|n"&amp;DX$2&amp;"+"&amp;AR124&amp;DX$1)</f>
        <v/>
      </c>
      <c r="DY124" s="30" t="str">
        <f t="shared" ref="DY124:DY146" si="1809">IF(AS124="","","|n"&amp;DY$2&amp;"+"&amp;AS124&amp;DY$1)</f>
        <v/>
      </c>
      <c r="DZ124" s="30" t="str">
        <f t="shared" ref="DZ124:DZ146" si="1810">IF(AT124="","","|n"&amp;DZ$2&amp;"+"&amp;AT124&amp;DZ$1)</f>
        <v/>
      </c>
      <c r="EA124" s="30" t="str">
        <f t="shared" ref="EA124:EA146" si="1811">IF(AU124="","","|n"&amp;EA$2&amp;"+"&amp;AU124&amp;EA$1)</f>
        <v/>
      </c>
      <c r="EB124" s="30" t="str">
        <f t="shared" ref="EB124:EB146" si="1812">IF(AV124="","","|n"&amp;EB$2&amp;"+"&amp;AV124&amp;EB$1)</f>
        <v/>
      </c>
      <c r="EC124" s="30" t="str">
        <f t="shared" ref="EC124:EC146" si="1813">IF(AW124="","","|n"&amp;EC$2&amp;"+"&amp;AW124&amp;EC$1)</f>
        <v/>
      </c>
      <c r="ED124" s="30" t="str">
        <f t="shared" ref="ED124:ED146" si="1814">IF(AX124="","","|n"&amp;ED$2&amp;"+"&amp;AX124&amp;ED$1)</f>
        <v/>
      </c>
      <c r="EE124" s="30" t="str">
        <f t="shared" ref="EE124:EE146" si="1815">IF(AY124="","","|n"&amp;EE$2&amp;"+"&amp;AY124&amp;EE$1)</f>
        <v/>
      </c>
      <c r="EF124" s="30" t="str">
        <f t="shared" ref="EF124:EF146" si="1816">IF(AZ124="","","|n"&amp;EF$2&amp;"+"&amp;AZ124&amp;EF$1)</f>
        <v/>
      </c>
      <c r="EG124" s="30" t="str">
        <f t="shared" ref="EG124:EG146" si="1817">IF(BA124="","","|n"&amp;EG$2&amp;"+"&amp;BA124&amp;EG$1)</f>
        <v/>
      </c>
      <c r="EH124" s="30" t="str">
        <f t="shared" ref="EH124:EH146" si="1818">IF(BB124="","","|n"&amp;EH$2&amp;"+"&amp;BB124&amp;EH$1)</f>
        <v/>
      </c>
      <c r="EI124" s="30" t="str">
        <f t="shared" ref="EI124:EI146" si="1819">IF(BC124="","","|n"&amp;EI$2&amp;"+"&amp;BC124&amp;EI$1)</f>
        <v/>
      </c>
      <c r="EJ124" s="30" t="str">
        <f t="shared" ref="EJ124:EJ146" si="1820">IF(BD124="","","|n"&amp;EJ$2&amp;"+"&amp;BD124&amp;EJ$1)</f>
        <v/>
      </c>
      <c r="EK124" s="30" t="str">
        <f t="shared" ref="EK124:EK146" si="1821">IF(BE124="","","|n"&amp;EK$2&amp;"+"&amp;BE124&amp;EK$1)</f>
        <v/>
      </c>
      <c r="EL124" s="30" t="str">
        <f t="shared" ref="EL124:EL146" si="1822">IF(BF124="","","|n"&amp;EL$2&amp;"+"&amp;BF124&amp;EL$1)</f>
        <v/>
      </c>
      <c r="EM124" s="30" t="str">
        <f t="shared" ref="EM124:EM146" si="1823">IF(BG124="","","|n"&amp;EM$2&amp;"+"&amp;BG124&amp;EM$1)</f>
        <v/>
      </c>
      <c r="EN124" s="30" t="str">
        <f t="shared" ref="EN124:EN146" si="1824">IF(BH124="","","|n"&amp;EN$2&amp;"+"&amp;BH124&amp;EN$1)</f>
        <v/>
      </c>
      <c r="EO124" s="30" t="str">
        <f t="shared" ref="EO124:EO146" si="1825">IF(BI124="","","|n"&amp;EO$2&amp;"+"&amp;BI124&amp;EO$1)</f>
        <v/>
      </c>
      <c r="EP124" s="30" t="str">
        <f t="shared" ref="EP124:EP146" si="1826">IF(BJ124="","","|n"&amp;EP$2&amp;"+"&amp;BJ124&amp;EP$1)</f>
        <v/>
      </c>
      <c r="EQ124" s="30" t="str">
        <f t="shared" ref="EQ124:EQ146" si="1827">IF(BK124="","","|n"&amp;EQ$2&amp;"+"&amp;BK124&amp;EQ$1)</f>
        <v/>
      </c>
      <c r="ER124" s="30" t="str">
        <f t="shared" ref="ER124:ER146" si="1828">IF(BL124="","","|n"&amp;ER$2&amp;"+"&amp;BL124&amp;ER$1)</f>
        <v/>
      </c>
      <c r="ES124" s="30" t="str">
        <f t="shared" ref="ES124:ES146" si="1829">IF(BM124="","","|n"&amp;ES$2&amp;"+"&amp;BM124&amp;ES$1)</f>
        <v/>
      </c>
      <c r="ET124" s="30" t="str">
        <f t="shared" ref="ET124:ET146" si="1830">IF(BN124="","","|n"&amp;ET$2&amp;"+"&amp;BN124&amp;ET$1)</f>
        <v/>
      </c>
      <c r="EU124" s="30" t="str">
        <f t="shared" ref="EU124:EU146" si="1831">IF(BO124="","","|n"&amp;EU$2&amp;"+"&amp;BO124&amp;EU$1)</f>
        <v/>
      </c>
      <c r="EV124" s="30" t="str">
        <f t="shared" ref="EV124:EV146" si="1832">IF(BP124="","","|n"&amp;EV$2&amp;"+"&amp;BP124&amp;EV$1)</f>
        <v/>
      </c>
      <c r="EW124" s="30" t="str">
        <f t="shared" ref="EW124:EW146" si="1833">IF(BQ124="","","|n"&amp;EW$2&amp;"+"&amp;BQ124&amp;EW$1)</f>
        <v/>
      </c>
      <c r="EX124" s="30" t="str">
        <f t="shared" ref="EX124:EX146" si="1834">IF(BR124="","","|n"&amp;EX$2&amp;"+"&amp;BR124&amp;EX$1)</f>
        <v/>
      </c>
      <c r="EY124" s="30" t="str">
        <f t="shared" ref="EY124:EY146" si="1835">IF(BS124="","","|n"&amp;EY$2&amp;"+"&amp;BS124&amp;EY$1)</f>
        <v/>
      </c>
      <c r="EZ124" s="30" t="str">
        <f t="shared" ref="EZ124:EZ146" si="1836">IF(BT124="","","|n"&amp;EZ$2&amp;"+"&amp;BT124&amp;EZ$1)</f>
        <v/>
      </c>
      <c r="FA124" s="30" t="str">
        <f t="shared" ref="FA124:FA146" si="1837">IF(BU124="","","|n"&amp;FA$2&amp;"+"&amp;BU124&amp;FA$1)</f>
        <v/>
      </c>
      <c r="FB124" s="30" t="str">
        <f t="shared" ref="FB124:FB146" si="1838">IF(BV124="","","|n"&amp;FB$2&amp;"+"&amp;BV124&amp;FB$1)</f>
        <v/>
      </c>
      <c r="FC124" s="30" t="str">
        <f t="shared" ref="FC124:FC146" si="1839">IF(BW124="","","|n"&amp;FC$2&amp;"+"&amp;BW124&amp;FC$1)</f>
        <v/>
      </c>
      <c r="FD124" s="30" t="str">
        <f t="shared" ref="FD124:FD146" si="1840">IF(BX124="","","|n"&amp;FD$2&amp;"+"&amp;BX124&amp;FD$1)</f>
        <v/>
      </c>
      <c r="FE124" s="30" t="str">
        <f t="shared" ref="FE124:FE146" si="1841">IF(BY124="","","|n"&amp;FE$2&amp;"+"&amp;BY124&amp;FE$1)</f>
        <v/>
      </c>
      <c r="FF124" s="30" t="str">
        <f t="shared" ref="FF124:FF146" si="1842">IF(BZ124="","","|n"&amp;FF$2&amp;"+"&amp;BZ124&amp;FF$1)</f>
        <v/>
      </c>
      <c r="FG124" s="30" t="str">
        <f t="shared" ref="FG124:FG146" si="1843">IF(CA124="","","|n"&amp;FG$2&amp;"+"&amp;CA124&amp;FG$1)</f>
        <v/>
      </c>
      <c r="FH124" s="30" t="str">
        <f t="shared" ref="FH124:FH146" si="1844">IF(CB124="","","|n"&amp;FH$2&amp;"+"&amp;CB124&amp;FH$1)</f>
        <v/>
      </c>
      <c r="FI124" s="30" t="str">
        <f t="shared" ref="FI124:FI146" si="1845">IF(CC124="","","|n"&amp;FI$2&amp;"+"&amp;CC124&amp;FI$1)</f>
        <v/>
      </c>
      <c r="FJ124" s="30" t="str">
        <f t="shared" ref="FJ124:FJ146" si="1846">IF(CD124="","","|n"&amp;FJ$2&amp;"+"&amp;CD124&amp;FJ$1)</f>
        <v/>
      </c>
      <c r="FK124" s="30" t="str">
        <f t="shared" ref="FK124:FK146" si="1847">IF(CE124="","","|n"&amp;FK$2&amp;"+"&amp;CE124&amp;FK$1)</f>
        <v/>
      </c>
      <c r="FL124" s="30" t="str">
        <f t="shared" ref="FL124:FL146" si="1848">IF(CF124="","","|n"&amp;FL$2&amp;"+"&amp;CF124&amp;FL$1)</f>
        <v/>
      </c>
      <c r="FM124" s="30" t="str">
        <f t="shared" ref="FM124:FM146" si="1849">IF(CG124="","","|n"&amp;FM$2&amp;"+"&amp;CG124&amp;FM$1)</f>
        <v/>
      </c>
      <c r="FN124" s="30" t="str">
        <f t="shared" ref="FN124:FN146" si="1850">IF(CH124="","","|n"&amp;FN$2&amp;"+"&amp;CH124&amp;FN$1)</f>
        <v/>
      </c>
      <c r="FO124" s="30" t="str">
        <f t="shared" ref="FO124:FO146" si="1851">IF(CI124="","","|n"&amp;FO$2&amp;"+"&amp;CI124&amp;FO$1)</f>
        <v/>
      </c>
      <c r="FP124" s="30" t="str">
        <f t="shared" ref="FP124:FP146" si="1852">IF(CJ124="","","|n"&amp;FP$2&amp;"+"&amp;CJ124&amp;FP$1)</f>
        <v/>
      </c>
      <c r="FQ124" s="30" t="str">
        <f t="shared" ref="FQ124:FQ146" si="1853">IF(CK124="","","|n"&amp;FQ$2&amp;"+"&amp;CK124&amp;FQ$1)</f>
        <v/>
      </c>
      <c r="FR124" s="30" t="str">
        <f t="shared" ref="FR124:FR146" si="1854">IF(CL124="","","|n"&amp;FR$2&amp;"+"&amp;CL124&amp;FR$1)</f>
        <v/>
      </c>
      <c r="FS124" s="30" t="str">
        <f t="shared" ref="FS124:FS146" si="1855">IF(CM124="","","|n"&amp;FS$2&amp;"+"&amp;CM124&amp;FS$1)</f>
        <v/>
      </c>
    </row>
    <row r="125" spans="1:175" ht="16.5">
      <c r="A125" s="88"/>
      <c r="B125" s="66"/>
      <c r="C125" s="87"/>
      <c r="T125" s="107"/>
      <c r="U125" s="32"/>
      <c r="CN125" s="7" t="str">
        <f t="shared" si="1780"/>
        <v>InitUnitState('',,,,,,,,,,)</v>
      </c>
      <c r="CO125" s="7" t="str">
        <f t="shared" si="1781"/>
        <v>InitUnitNormal('',,,,,,,,,,)</v>
      </c>
      <c r="CP125" s="7" t="str">
        <f t="shared" si="1782"/>
        <v>InitUnitMagic('',,,,,,,,,,)</v>
      </c>
      <c r="CQ125" s="7" t="str">
        <f t="shared" si="1783"/>
        <v>InitUnitAdd('',,,,,,,,,,)</v>
      </c>
      <c r="CR125" s="7" t="str">
        <f t="shared" si="1784"/>
        <v>InitEquipData('',,"",,,,,'','','','','','',"")</v>
      </c>
      <c r="CU125" s="45" t="str">
        <f t="shared" si="1785"/>
        <v>|n</v>
      </c>
      <c r="CW125" s="24"/>
      <c r="CX125" s="24"/>
      <c r="CY125" s="24"/>
      <c r="CZ125" s="24"/>
      <c r="DA125" s="24"/>
      <c r="DB125" s="30" t="str">
        <f t="shared" si="1786"/>
        <v/>
      </c>
      <c r="DC125" s="30" t="str">
        <f t="shared" si="1787"/>
        <v/>
      </c>
      <c r="DD125" s="30" t="str">
        <f t="shared" si="1788"/>
        <v/>
      </c>
      <c r="DE125" s="30" t="str">
        <f t="shared" si="1789"/>
        <v/>
      </c>
      <c r="DF125" s="30" t="str">
        <f t="shared" si="1790"/>
        <v/>
      </c>
      <c r="DG125" s="30" t="str">
        <f t="shared" si="1791"/>
        <v/>
      </c>
      <c r="DH125" s="30" t="str">
        <f t="shared" si="1792"/>
        <v/>
      </c>
      <c r="DI125" s="30" t="str">
        <f t="shared" si="1793"/>
        <v/>
      </c>
      <c r="DJ125" s="30" t="str">
        <f t="shared" si="1794"/>
        <v/>
      </c>
      <c r="DK125" s="30" t="str">
        <f t="shared" si="1795"/>
        <v/>
      </c>
      <c r="DL125" s="30" t="str">
        <f t="shared" si="1796"/>
        <v/>
      </c>
      <c r="DM125" s="30" t="str">
        <f t="shared" si="1797"/>
        <v/>
      </c>
      <c r="DN125" s="30" t="str">
        <f t="shared" si="1798"/>
        <v/>
      </c>
      <c r="DO125" s="30" t="str">
        <f t="shared" si="1799"/>
        <v/>
      </c>
      <c r="DP125" s="30" t="str">
        <f t="shared" si="1800"/>
        <v/>
      </c>
      <c r="DQ125" s="30" t="str">
        <f t="shared" si="1801"/>
        <v/>
      </c>
      <c r="DR125" s="30" t="str">
        <f t="shared" si="1802"/>
        <v/>
      </c>
      <c r="DS125" s="30" t="str">
        <f t="shared" si="1803"/>
        <v/>
      </c>
      <c r="DT125" s="30" t="str">
        <f t="shared" si="1804"/>
        <v/>
      </c>
      <c r="DU125" s="30" t="str">
        <f t="shared" si="1805"/>
        <v/>
      </c>
      <c r="DV125" s="30" t="str">
        <f t="shared" si="1806"/>
        <v/>
      </c>
      <c r="DW125" s="30" t="str">
        <f t="shared" si="1807"/>
        <v/>
      </c>
      <c r="DX125" s="30" t="str">
        <f t="shared" si="1808"/>
        <v/>
      </c>
      <c r="DY125" s="30" t="str">
        <f t="shared" si="1809"/>
        <v/>
      </c>
      <c r="DZ125" s="30" t="str">
        <f t="shared" si="1810"/>
        <v/>
      </c>
      <c r="EA125" s="30" t="str">
        <f t="shared" si="1811"/>
        <v/>
      </c>
      <c r="EB125" s="30" t="str">
        <f t="shared" si="1812"/>
        <v/>
      </c>
      <c r="EC125" s="30" t="str">
        <f t="shared" si="1813"/>
        <v/>
      </c>
      <c r="ED125" s="30" t="str">
        <f t="shared" si="1814"/>
        <v/>
      </c>
      <c r="EE125" s="30" t="str">
        <f t="shared" si="1815"/>
        <v/>
      </c>
      <c r="EF125" s="30" t="str">
        <f t="shared" si="1816"/>
        <v/>
      </c>
      <c r="EG125" s="30" t="str">
        <f t="shared" si="1817"/>
        <v/>
      </c>
      <c r="EH125" s="30" t="str">
        <f t="shared" si="1818"/>
        <v/>
      </c>
      <c r="EI125" s="30" t="str">
        <f t="shared" si="1819"/>
        <v/>
      </c>
      <c r="EJ125" s="30" t="str">
        <f t="shared" si="1820"/>
        <v/>
      </c>
      <c r="EK125" s="30" t="str">
        <f t="shared" si="1821"/>
        <v/>
      </c>
      <c r="EL125" s="30" t="str">
        <f t="shared" si="1822"/>
        <v/>
      </c>
      <c r="EM125" s="30" t="str">
        <f t="shared" si="1823"/>
        <v/>
      </c>
      <c r="EN125" s="30" t="str">
        <f t="shared" si="1824"/>
        <v/>
      </c>
      <c r="EO125" s="30" t="str">
        <f t="shared" si="1825"/>
        <v/>
      </c>
      <c r="EP125" s="30" t="str">
        <f t="shared" si="1826"/>
        <v/>
      </c>
      <c r="EQ125" s="30" t="str">
        <f t="shared" si="1827"/>
        <v/>
      </c>
      <c r="ER125" s="30" t="str">
        <f t="shared" si="1828"/>
        <v/>
      </c>
      <c r="ES125" s="30" t="str">
        <f t="shared" si="1829"/>
        <v/>
      </c>
      <c r="ET125" s="30" t="str">
        <f t="shared" si="1830"/>
        <v/>
      </c>
      <c r="EU125" s="30" t="str">
        <f t="shared" si="1831"/>
        <v/>
      </c>
      <c r="EV125" s="30" t="str">
        <f t="shared" si="1832"/>
        <v/>
      </c>
      <c r="EW125" s="30" t="str">
        <f t="shared" si="1833"/>
        <v/>
      </c>
      <c r="EX125" s="30" t="str">
        <f t="shared" si="1834"/>
        <v/>
      </c>
      <c r="EY125" s="30" t="str">
        <f t="shared" si="1835"/>
        <v/>
      </c>
      <c r="EZ125" s="30" t="str">
        <f t="shared" si="1836"/>
        <v/>
      </c>
      <c r="FA125" s="30" t="str">
        <f t="shared" si="1837"/>
        <v/>
      </c>
      <c r="FB125" s="30" t="str">
        <f t="shared" si="1838"/>
        <v/>
      </c>
      <c r="FC125" s="30" t="str">
        <f t="shared" si="1839"/>
        <v/>
      </c>
      <c r="FD125" s="30" t="str">
        <f t="shared" si="1840"/>
        <v/>
      </c>
      <c r="FE125" s="30" t="str">
        <f t="shared" si="1841"/>
        <v/>
      </c>
      <c r="FF125" s="30" t="str">
        <f t="shared" si="1842"/>
        <v/>
      </c>
      <c r="FG125" s="30" t="str">
        <f t="shared" si="1843"/>
        <v/>
      </c>
      <c r="FH125" s="30" t="str">
        <f t="shared" si="1844"/>
        <v/>
      </c>
      <c r="FI125" s="30" t="str">
        <f t="shared" si="1845"/>
        <v/>
      </c>
      <c r="FJ125" s="30" t="str">
        <f t="shared" si="1846"/>
        <v/>
      </c>
      <c r="FK125" s="30" t="str">
        <f t="shared" si="1847"/>
        <v/>
      </c>
      <c r="FL125" s="30" t="str">
        <f t="shared" si="1848"/>
        <v/>
      </c>
      <c r="FM125" s="30" t="str">
        <f t="shared" si="1849"/>
        <v/>
      </c>
      <c r="FN125" s="30" t="str">
        <f t="shared" si="1850"/>
        <v/>
      </c>
      <c r="FO125" s="30" t="str">
        <f t="shared" si="1851"/>
        <v/>
      </c>
      <c r="FP125" s="30" t="str">
        <f t="shared" si="1852"/>
        <v/>
      </c>
      <c r="FQ125" s="30" t="str">
        <f t="shared" si="1853"/>
        <v/>
      </c>
      <c r="FR125" s="30" t="str">
        <f t="shared" si="1854"/>
        <v/>
      </c>
      <c r="FS125" s="30" t="str">
        <f t="shared" si="1855"/>
        <v/>
      </c>
    </row>
    <row r="126" spans="1:175" ht="16.5">
      <c r="A126" s="87"/>
      <c r="B126" s="66"/>
      <c r="C126" s="87"/>
      <c r="T126" s="106"/>
      <c r="U126" s="32"/>
      <c r="CN126" s="7" t="str">
        <f t="shared" si="1780"/>
        <v>InitUnitState('',,,,,,,,,,)</v>
      </c>
      <c r="CO126" s="7" t="str">
        <f t="shared" si="1781"/>
        <v>InitUnitNormal('',,,,,,,,,,)</v>
      </c>
      <c r="CP126" s="7" t="str">
        <f t="shared" si="1782"/>
        <v>InitUnitMagic('',,,,,,,,,,)</v>
      </c>
      <c r="CQ126" s="7" t="str">
        <f t="shared" si="1783"/>
        <v>InitUnitAdd('',,,,,,,,,,)</v>
      </c>
      <c r="CR126" s="7" t="str">
        <f t="shared" si="1784"/>
        <v>InitEquipData('',,"",,,,,'','','','','','',"")</v>
      </c>
      <c r="CU126" s="45" t="str">
        <f t="shared" si="1785"/>
        <v>|n</v>
      </c>
      <c r="CW126" s="24"/>
      <c r="CX126" s="24"/>
      <c r="CY126" s="24"/>
      <c r="CZ126" s="24"/>
      <c r="DA126" s="24"/>
      <c r="DB126" s="30" t="str">
        <f t="shared" si="1786"/>
        <v/>
      </c>
      <c r="DC126" s="30" t="str">
        <f t="shared" si="1787"/>
        <v/>
      </c>
      <c r="DD126" s="30" t="str">
        <f t="shared" si="1788"/>
        <v/>
      </c>
      <c r="DE126" s="30" t="str">
        <f t="shared" si="1789"/>
        <v/>
      </c>
      <c r="DF126" s="30" t="str">
        <f t="shared" si="1790"/>
        <v/>
      </c>
      <c r="DG126" s="30" t="str">
        <f t="shared" si="1791"/>
        <v/>
      </c>
      <c r="DH126" s="30" t="str">
        <f t="shared" si="1792"/>
        <v/>
      </c>
      <c r="DI126" s="30" t="str">
        <f t="shared" si="1793"/>
        <v/>
      </c>
      <c r="DJ126" s="30" t="str">
        <f t="shared" si="1794"/>
        <v/>
      </c>
      <c r="DK126" s="30" t="str">
        <f t="shared" si="1795"/>
        <v/>
      </c>
      <c r="DL126" s="30" t="str">
        <f t="shared" si="1796"/>
        <v/>
      </c>
      <c r="DM126" s="30" t="str">
        <f t="shared" si="1797"/>
        <v/>
      </c>
      <c r="DN126" s="30" t="str">
        <f t="shared" si="1798"/>
        <v/>
      </c>
      <c r="DO126" s="30" t="str">
        <f t="shared" si="1799"/>
        <v/>
      </c>
      <c r="DP126" s="30" t="str">
        <f t="shared" si="1800"/>
        <v/>
      </c>
      <c r="DQ126" s="30" t="str">
        <f t="shared" si="1801"/>
        <v/>
      </c>
      <c r="DR126" s="30" t="str">
        <f t="shared" si="1802"/>
        <v/>
      </c>
      <c r="DS126" s="30" t="str">
        <f t="shared" si="1803"/>
        <v/>
      </c>
      <c r="DT126" s="30" t="str">
        <f t="shared" si="1804"/>
        <v/>
      </c>
      <c r="DU126" s="30" t="str">
        <f t="shared" si="1805"/>
        <v/>
      </c>
      <c r="DV126" s="30" t="str">
        <f t="shared" si="1806"/>
        <v/>
      </c>
      <c r="DW126" s="30" t="str">
        <f t="shared" si="1807"/>
        <v/>
      </c>
      <c r="DX126" s="30" t="str">
        <f t="shared" si="1808"/>
        <v/>
      </c>
      <c r="DY126" s="30" t="str">
        <f t="shared" si="1809"/>
        <v/>
      </c>
      <c r="DZ126" s="30" t="str">
        <f t="shared" si="1810"/>
        <v/>
      </c>
      <c r="EA126" s="30" t="str">
        <f t="shared" si="1811"/>
        <v/>
      </c>
      <c r="EB126" s="30" t="str">
        <f t="shared" si="1812"/>
        <v/>
      </c>
      <c r="EC126" s="30" t="str">
        <f t="shared" si="1813"/>
        <v/>
      </c>
      <c r="ED126" s="30" t="str">
        <f t="shared" si="1814"/>
        <v/>
      </c>
      <c r="EE126" s="30" t="str">
        <f t="shared" si="1815"/>
        <v/>
      </c>
      <c r="EF126" s="30" t="str">
        <f t="shared" si="1816"/>
        <v/>
      </c>
      <c r="EG126" s="30" t="str">
        <f t="shared" si="1817"/>
        <v/>
      </c>
      <c r="EH126" s="30" t="str">
        <f t="shared" si="1818"/>
        <v/>
      </c>
      <c r="EI126" s="30" t="str">
        <f t="shared" si="1819"/>
        <v/>
      </c>
      <c r="EJ126" s="30" t="str">
        <f t="shared" si="1820"/>
        <v/>
      </c>
      <c r="EK126" s="30" t="str">
        <f t="shared" si="1821"/>
        <v/>
      </c>
      <c r="EL126" s="30" t="str">
        <f t="shared" si="1822"/>
        <v/>
      </c>
      <c r="EM126" s="30" t="str">
        <f t="shared" si="1823"/>
        <v/>
      </c>
      <c r="EN126" s="30" t="str">
        <f t="shared" si="1824"/>
        <v/>
      </c>
      <c r="EO126" s="30" t="str">
        <f t="shared" si="1825"/>
        <v/>
      </c>
      <c r="EP126" s="30" t="str">
        <f t="shared" si="1826"/>
        <v/>
      </c>
      <c r="EQ126" s="30" t="str">
        <f t="shared" si="1827"/>
        <v/>
      </c>
      <c r="ER126" s="30" t="str">
        <f t="shared" si="1828"/>
        <v/>
      </c>
      <c r="ES126" s="30" t="str">
        <f t="shared" si="1829"/>
        <v/>
      </c>
      <c r="ET126" s="30" t="str">
        <f t="shared" si="1830"/>
        <v/>
      </c>
      <c r="EU126" s="30" t="str">
        <f t="shared" si="1831"/>
        <v/>
      </c>
      <c r="EV126" s="30" t="str">
        <f t="shared" si="1832"/>
        <v/>
      </c>
      <c r="EW126" s="30" t="str">
        <f t="shared" si="1833"/>
        <v/>
      </c>
      <c r="EX126" s="30" t="str">
        <f t="shared" si="1834"/>
        <v/>
      </c>
      <c r="EY126" s="30" t="str">
        <f t="shared" si="1835"/>
        <v/>
      </c>
      <c r="EZ126" s="30" t="str">
        <f t="shared" si="1836"/>
        <v/>
      </c>
      <c r="FA126" s="30" t="str">
        <f t="shared" si="1837"/>
        <v/>
      </c>
      <c r="FB126" s="30" t="str">
        <f t="shared" si="1838"/>
        <v/>
      </c>
      <c r="FC126" s="30" t="str">
        <f t="shared" si="1839"/>
        <v/>
      </c>
      <c r="FD126" s="30" t="str">
        <f t="shared" si="1840"/>
        <v/>
      </c>
      <c r="FE126" s="30" t="str">
        <f t="shared" si="1841"/>
        <v/>
      </c>
      <c r="FF126" s="30" t="str">
        <f t="shared" si="1842"/>
        <v/>
      </c>
      <c r="FG126" s="30" t="str">
        <f t="shared" si="1843"/>
        <v/>
      </c>
      <c r="FH126" s="30" t="str">
        <f t="shared" si="1844"/>
        <v/>
      </c>
      <c r="FI126" s="30" t="str">
        <f t="shared" si="1845"/>
        <v/>
      </c>
      <c r="FJ126" s="30" t="str">
        <f t="shared" si="1846"/>
        <v/>
      </c>
      <c r="FK126" s="30" t="str">
        <f t="shared" si="1847"/>
        <v/>
      </c>
      <c r="FL126" s="30" t="str">
        <f t="shared" si="1848"/>
        <v/>
      </c>
      <c r="FM126" s="30" t="str">
        <f t="shared" si="1849"/>
        <v/>
      </c>
      <c r="FN126" s="30" t="str">
        <f t="shared" si="1850"/>
        <v/>
      </c>
      <c r="FO126" s="30" t="str">
        <f t="shared" si="1851"/>
        <v/>
      </c>
      <c r="FP126" s="30" t="str">
        <f t="shared" si="1852"/>
        <v/>
      </c>
      <c r="FQ126" s="30" t="str">
        <f t="shared" si="1853"/>
        <v/>
      </c>
      <c r="FR126" s="30" t="str">
        <f t="shared" si="1854"/>
        <v/>
      </c>
      <c r="FS126" s="30" t="str">
        <f t="shared" si="1855"/>
        <v/>
      </c>
    </row>
    <row r="127" spans="1:175" ht="16.5">
      <c r="A127" s="87"/>
      <c r="B127" s="66"/>
      <c r="C127" s="87"/>
      <c r="T127" s="106"/>
      <c r="U127" s="32"/>
      <c r="CN127" s="7" t="str">
        <f t="shared" si="1780"/>
        <v>InitUnitState('',,,,,,,,,,)</v>
      </c>
      <c r="CO127" s="7" t="str">
        <f t="shared" si="1781"/>
        <v>InitUnitNormal('',,,,,,,,,,)</v>
      </c>
      <c r="CP127" s="7" t="str">
        <f t="shared" si="1782"/>
        <v>InitUnitMagic('',,,,,,,,,,)</v>
      </c>
      <c r="CQ127" s="7" t="str">
        <f t="shared" si="1783"/>
        <v>InitUnitAdd('',,,,,,,,,,)</v>
      </c>
      <c r="CR127" s="7" t="str">
        <f t="shared" si="1784"/>
        <v>InitEquipData('',,"",,,,,'','','','','','',"")</v>
      </c>
      <c r="CU127" s="45" t="str">
        <f t="shared" si="1785"/>
        <v>|n</v>
      </c>
      <c r="CW127" s="24"/>
      <c r="CX127" s="24"/>
      <c r="CY127" s="24"/>
      <c r="CZ127" s="24"/>
      <c r="DA127" s="24"/>
      <c r="DB127" s="30" t="str">
        <f t="shared" si="1786"/>
        <v/>
      </c>
      <c r="DC127" s="30" t="str">
        <f t="shared" si="1787"/>
        <v/>
      </c>
      <c r="DD127" s="30" t="str">
        <f t="shared" si="1788"/>
        <v/>
      </c>
      <c r="DE127" s="30" t="str">
        <f t="shared" si="1789"/>
        <v/>
      </c>
      <c r="DF127" s="30" t="str">
        <f t="shared" si="1790"/>
        <v/>
      </c>
      <c r="DG127" s="30" t="str">
        <f t="shared" si="1791"/>
        <v/>
      </c>
      <c r="DH127" s="30" t="str">
        <f t="shared" si="1792"/>
        <v/>
      </c>
      <c r="DI127" s="30" t="str">
        <f t="shared" si="1793"/>
        <v/>
      </c>
      <c r="DJ127" s="30" t="str">
        <f t="shared" si="1794"/>
        <v/>
      </c>
      <c r="DK127" s="30" t="str">
        <f t="shared" si="1795"/>
        <v/>
      </c>
      <c r="DL127" s="30" t="str">
        <f t="shared" si="1796"/>
        <v/>
      </c>
      <c r="DM127" s="30" t="str">
        <f t="shared" si="1797"/>
        <v/>
      </c>
      <c r="DN127" s="30" t="str">
        <f t="shared" si="1798"/>
        <v/>
      </c>
      <c r="DO127" s="30" t="str">
        <f t="shared" si="1799"/>
        <v/>
      </c>
      <c r="DP127" s="30" t="str">
        <f t="shared" si="1800"/>
        <v/>
      </c>
      <c r="DQ127" s="30" t="str">
        <f t="shared" si="1801"/>
        <v/>
      </c>
      <c r="DR127" s="30" t="str">
        <f t="shared" si="1802"/>
        <v/>
      </c>
      <c r="DS127" s="30" t="str">
        <f t="shared" si="1803"/>
        <v/>
      </c>
      <c r="DT127" s="30" t="str">
        <f t="shared" si="1804"/>
        <v/>
      </c>
      <c r="DU127" s="30" t="str">
        <f t="shared" si="1805"/>
        <v/>
      </c>
      <c r="DV127" s="30" t="str">
        <f t="shared" si="1806"/>
        <v/>
      </c>
      <c r="DW127" s="30" t="str">
        <f t="shared" si="1807"/>
        <v/>
      </c>
      <c r="DX127" s="30" t="str">
        <f t="shared" si="1808"/>
        <v/>
      </c>
      <c r="DY127" s="30" t="str">
        <f t="shared" si="1809"/>
        <v/>
      </c>
      <c r="DZ127" s="30" t="str">
        <f t="shared" si="1810"/>
        <v/>
      </c>
      <c r="EA127" s="30" t="str">
        <f t="shared" si="1811"/>
        <v/>
      </c>
      <c r="EB127" s="30" t="str">
        <f t="shared" si="1812"/>
        <v/>
      </c>
      <c r="EC127" s="30" t="str">
        <f t="shared" si="1813"/>
        <v/>
      </c>
      <c r="ED127" s="30" t="str">
        <f t="shared" si="1814"/>
        <v/>
      </c>
      <c r="EE127" s="30" t="str">
        <f t="shared" si="1815"/>
        <v/>
      </c>
      <c r="EF127" s="30" t="str">
        <f t="shared" si="1816"/>
        <v/>
      </c>
      <c r="EG127" s="30" t="str">
        <f t="shared" si="1817"/>
        <v/>
      </c>
      <c r="EH127" s="30" t="str">
        <f t="shared" si="1818"/>
        <v/>
      </c>
      <c r="EI127" s="30" t="str">
        <f t="shared" si="1819"/>
        <v/>
      </c>
      <c r="EJ127" s="30" t="str">
        <f t="shared" si="1820"/>
        <v/>
      </c>
      <c r="EK127" s="30" t="str">
        <f t="shared" si="1821"/>
        <v/>
      </c>
      <c r="EL127" s="30" t="str">
        <f t="shared" si="1822"/>
        <v/>
      </c>
      <c r="EM127" s="30" t="str">
        <f t="shared" si="1823"/>
        <v/>
      </c>
      <c r="EN127" s="30" t="str">
        <f t="shared" si="1824"/>
        <v/>
      </c>
      <c r="EO127" s="30" t="str">
        <f t="shared" si="1825"/>
        <v/>
      </c>
      <c r="EP127" s="30" t="str">
        <f t="shared" si="1826"/>
        <v/>
      </c>
      <c r="EQ127" s="30" t="str">
        <f t="shared" si="1827"/>
        <v/>
      </c>
      <c r="ER127" s="30" t="str">
        <f t="shared" si="1828"/>
        <v/>
      </c>
      <c r="ES127" s="30" t="str">
        <f t="shared" si="1829"/>
        <v/>
      </c>
      <c r="ET127" s="30" t="str">
        <f t="shared" si="1830"/>
        <v/>
      </c>
      <c r="EU127" s="30" t="str">
        <f t="shared" si="1831"/>
        <v/>
      </c>
      <c r="EV127" s="30" t="str">
        <f t="shared" si="1832"/>
        <v/>
      </c>
      <c r="EW127" s="30" t="str">
        <f t="shared" si="1833"/>
        <v/>
      </c>
      <c r="EX127" s="30" t="str">
        <f t="shared" si="1834"/>
        <v/>
      </c>
      <c r="EY127" s="30" t="str">
        <f t="shared" si="1835"/>
        <v/>
      </c>
      <c r="EZ127" s="30" t="str">
        <f t="shared" si="1836"/>
        <v/>
      </c>
      <c r="FA127" s="30" t="str">
        <f t="shared" si="1837"/>
        <v/>
      </c>
      <c r="FB127" s="30" t="str">
        <f t="shared" si="1838"/>
        <v/>
      </c>
      <c r="FC127" s="30" t="str">
        <f t="shared" si="1839"/>
        <v/>
      </c>
      <c r="FD127" s="30" t="str">
        <f t="shared" si="1840"/>
        <v/>
      </c>
      <c r="FE127" s="30" t="str">
        <f t="shared" si="1841"/>
        <v/>
      </c>
      <c r="FF127" s="30" t="str">
        <f t="shared" si="1842"/>
        <v/>
      </c>
      <c r="FG127" s="30" t="str">
        <f t="shared" si="1843"/>
        <v/>
      </c>
      <c r="FH127" s="30" t="str">
        <f t="shared" si="1844"/>
        <v/>
      </c>
      <c r="FI127" s="30" t="str">
        <f t="shared" si="1845"/>
        <v/>
      </c>
      <c r="FJ127" s="30" t="str">
        <f t="shared" si="1846"/>
        <v/>
      </c>
      <c r="FK127" s="30" t="str">
        <f t="shared" si="1847"/>
        <v/>
      </c>
      <c r="FL127" s="30" t="str">
        <f t="shared" si="1848"/>
        <v/>
      </c>
      <c r="FM127" s="30" t="str">
        <f t="shared" si="1849"/>
        <v/>
      </c>
      <c r="FN127" s="30" t="str">
        <f t="shared" si="1850"/>
        <v/>
      </c>
      <c r="FO127" s="30" t="str">
        <f t="shared" si="1851"/>
        <v/>
      </c>
      <c r="FP127" s="30" t="str">
        <f t="shared" si="1852"/>
        <v/>
      </c>
      <c r="FQ127" s="30" t="str">
        <f t="shared" si="1853"/>
        <v/>
      </c>
      <c r="FR127" s="30" t="str">
        <f t="shared" si="1854"/>
        <v/>
      </c>
      <c r="FS127" s="30" t="str">
        <f t="shared" si="1855"/>
        <v/>
      </c>
    </row>
    <row r="128" spans="1:175" ht="16.5">
      <c r="A128" s="87"/>
      <c r="B128" s="66"/>
      <c r="C128" s="87"/>
      <c r="T128" s="106"/>
      <c r="U128" s="32"/>
      <c r="CN128" s="7" t="str">
        <f t="shared" si="1780"/>
        <v>InitUnitState('',,,,,,,,,,)</v>
      </c>
      <c r="CO128" s="7" t="str">
        <f t="shared" si="1781"/>
        <v>InitUnitNormal('',,,,,,,,,,)</v>
      </c>
      <c r="CP128" s="7" t="str">
        <f t="shared" si="1782"/>
        <v>InitUnitMagic('',,,,,,,,,,)</v>
      </c>
      <c r="CQ128" s="7" t="str">
        <f t="shared" si="1783"/>
        <v>InitUnitAdd('',,,,,,,,,,)</v>
      </c>
      <c r="CR128" s="7" t="str">
        <f t="shared" si="1784"/>
        <v>InitEquipData('',,"",,,,,'','','','','','',"")</v>
      </c>
      <c r="CU128" s="45" t="str">
        <f t="shared" si="1785"/>
        <v>|n</v>
      </c>
      <c r="CW128" s="24"/>
      <c r="CX128" s="24"/>
      <c r="CY128" s="24"/>
      <c r="CZ128" s="24"/>
      <c r="DA128" s="24"/>
      <c r="DB128" s="30" t="str">
        <f t="shared" si="1786"/>
        <v/>
      </c>
      <c r="DC128" s="30" t="str">
        <f t="shared" si="1787"/>
        <v/>
      </c>
      <c r="DD128" s="30" t="str">
        <f t="shared" si="1788"/>
        <v/>
      </c>
      <c r="DE128" s="30" t="str">
        <f t="shared" si="1789"/>
        <v/>
      </c>
      <c r="DF128" s="30" t="str">
        <f t="shared" si="1790"/>
        <v/>
      </c>
      <c r="DG128" s="30" t="str">
        <f t="shared" si="1791"/>
        <v/>
      </c>
      <c r="DH128" s="30" t="str">
        <f t="shared" si="1792"/>
        <v/>
      </c>
      <c r="DI128" s="30" t="str">
        <f t="shared" si="1793"/>
        <v/>
      </c>
      <c r="DJ128" s="30" t="str">
        <f t="shared" si="1794"/>
        <v/>
      </c>
      <c r="DK128" s="30" t="str">
        <f t="shared" si="1795"/>
        <v/>
      </c>
      <c r="DL128" s="30" t="str">
        <f t="shared" si="1796"/>
        <v/>
      </c>
      <c r="DM128" s="30" t="str">
        <f t="shared" si="1797"/>
        <v/>
      </c>
      <c r="DN128" s="30" t="str">
        <f t="shared" si="1798"/>
        <v/>
      </c>
      <c r="DO128" s="30" t="str">
        <f t="shared" si="1799"/>
        <v/>
      </c>
      <c r="DP128" s="30" t="str">
        <f t="shared" si="1800"/>
        <v/>
      </c>
      <c r="DQ128" s="30" t="str">
        <f t="shared" si="1801"/>
        <v/>
      </c>
      <c r="DR128" s="30" t="str">
        <f t="shared" si="1802"/>
        <v/>
      </c>
      <c r="DS128" s="30" t="str">
        <f t="shared" si="1803"/>
        <v/>
      </c>
      <c r="DT128" s="30" t="str">
        <f t="shared" si="1804"/>
        <v/>
      </c>
      <c r="DU128" s="30" t="str">
        <f t="shared" si="1805"/>
        <v/>
      </c>
      <c r="DV128" s="30" t="str">
        <f t="shared" si="1806"/>
        <v/>
      </c>
      <c r="DW128" s="30" t="str">
        <f t="shared" si="1807"/>
        <v/>
      </c>
      <c r="DX128" s="30" t="str">
        <f t="shared" si="1808"/>
        <v/>
      </c>
      <c r="DY128" s="30" t="str">
        <f t="shared" si="1809"/>
        <v/>
      </c>
      <c r="DZ128" s="30" t="str">
        <f t="shared" si="1810"/>
        <v/>
      </c>
      <c r="EA128" s="30" t="str">
        <f t="shared" si="1811"/>
        <v/>
      </c>
      <c r="EB128" s="30" t="str">
        <f t="shared" si="1812"/>
        <v/>
      </c>
      <c r="EC128" s="30" t="str">
        <f t="shared" si="1813"/>
        <v/>
      </c>
      <c r="ED128" s="30" t="str">
        <f t="shared" si="1814"/>
        <v/>
      </c>
      <c r="EE128" s="30" t="str">
        <f t="shared" si="1815"/>
        <v/>
      </c>
      <c r="EF128" s="30" t="str">
        <f t="shared" si="1816"/>
        <v/>
      </c>
      <c r="EG128" s="30" t="str">
        <f t="shared" si="1817"/>
        <v/>
      </c>
      <c r="EH128" s="30" t="str">
        <f t="shared" si="1818"/>
        <v/>
      </c>
      <c r="EI128" s="30" t="str">
        <f t="shared" si="1819"/>
        <v/>
      </c>
      <c r="EJ128" s="30" t="str">
        <f t="shared" si="1820"/>
        <v/>
      </c>
      <c r="EK128" s="30" t="str">
        <f t="shared" si="1821"/>
        <v/>
      </c>
      <c r="EL128" s="30" t="str">
        <f t="shared" si="1822"/>
        <v/>
      </c>
      <c r="EM128" s="30" t="str">
        <f t="shared" si="1823"/>
        <v/>
      </c>
      <c r="EN128" s="30" t="str">
        <f t="shared" si="1824"/>
        <v/>
      </c>
      <c r="EO128" s="30" t="str">
        <f t="shared" si="1825"/>
        <v/>
      </c>
      <c r="EP128" s="30" t="str">
        <f t="shared" si="1826"/>
        <v/>
      </c>
      <c r="EQ128" s="30" t="str">
        <f t="shared" si="1827"/>
        <v/>
      </c>
      <c r="ER128" s="30" t="str">
        <f t="shared" si="1828"/>
        <v/>
      </c>
      <c r="ES128" s="30" t="str">
        <f t="shared" si="1829"/>
        <v/>
      </c>
      <c r="ET128" s="30" t="str">
        <f t="shared" si="1830"/>
        <v/>
      </c>
      <c r="EU128" s="30" t="str">
        <f t="shared" si="1831"/>
        <v/>
      </c>
      <c r="EV128" s="30" t="str">
        <f t="shared" si="1832"/>
        <v/>
      </c>
      <c r="EW128" s="30" t="str">
        <f t="shared" si="1833"/>
        <v/>
      </c>
      <c r="EX128" s="30" t="str">
        <f t="shared" si="1834"/>
        <v/>
      </c>
      <c r="EY128" s="30" t="str">
        <f t="shared" si="1835"/>
        <v/>
      </c>
      <c r="EZ128" s="30" t="str">
        <f t="shared" si="1836"/>
        <v/>
      </c>
      <c r="FA128" s="30" t="str">
        <f t="shared" si="1837"/>
        <v/>
      </c>
      <c r="FB128" s="30" t="str">
        <f t="shared" si="1838"/>
        <v/>
      </c>
      <c r="FC128" s="30" t="str">
        <f t="shared" si="1839"/>
        <v/>
      </c>
      <c r="FD128" s="30" t="str">
        <f t="shared" si="1840"/>
        <v/>
      </c>
      <c r="FE128" s="30" t="str">
        <f t="shared" si="1841"/>
        <v/>
      </c>
      <c r="FF128" s="30" t="str">
        <f t="shared" si="1842"/>
        <v/>
      </c>
      <c r="FG128" s="30" t="str">
        <f t="shared" si="1843"/>
        <v/>
      </c>
      <c r="FH128" s="30" t="str">
        <f t="shared" si="1844"/>
        <v/>
      </c>
      <c r="FI128" s="30" t="str">
        <f t="shared" si="1845"/>
        <v/>
      </c>
      <c r="FJ128" s="30" t="str">
        <f t="shared" si="1846"/>
        <v/>
      </c>
      <c r="FK128" s="30" t="str">
        <f t="shared" si="1847"/>
        <v/>
      </c>
      <c r="FL128" s="30" t="str">
        <f t="shared" si="1848"/>
        <v/>
      </c>
      <c r="FM128" s="30" t="str">
        <f t="shared" si="1849"/>
        <v/>
      </c>
      <c r="FN128" s="30" t="str">
        <f t="shared" si="1850"/>
        <v/>
      </c>
      <c r="FO128" s="30" t="str">
        <f t="shared" si="1851"/>
        <v/>
      </c>
      <c r="FP128" s="30" t="str">
        <f t="shared" si="1852"/>
        <v/>
      </c>
      <c r="FQ128" s="30" t="str">
        <f t="shared" si="1853"/>
        <v/>
      </c>
      <c r="FR128" s="30" t="str">
        <f t="shared" si="1854"/>
        <v/>
      </c>
      <c r="FS128" s="30" t="str">
        <f t="shared" si="1855"/>
        <v/>
      </c>
    </row>
    <row r="129" spans="1:175" ht="16.5">
      <c r="A129" s="87"/>
      <c r="B129" s="66"/>
      <c r="C129" s="87"/>
      <c r="T129" s="106"/>
      <c r="U129" s="32"/>
      <c r="CN129" s="7" t="str">
        <f t="shared" si="1780"/>
        <v>InitUnitState('',,,,,,,,,,)</v>
      </c>
      <c r="CO129" s="7" t="str">
        <f t="shared" si="1781"/>
        <v>InitUnitNormal('',,,,,,,,,,)</v>
      </c>
      <c r="CP129" s="7" t="str">
        <f t="shared" si="1782"/>
        <v>InitUnitMagic('',,,,,,,,,,)</v>
      </c>
      <c r="CQ129" s="7" t="str">
        <f t="shared" si="1783"/>
        <v>InitUnitAdd('',,,,,,,,,,)</v>
      </c>
      <c r="CR129" s="7" t="str">
        <f t="shared" si="1784"/>
        <v>InitEquipData('',,"",,,,,'','','','','','',"")</v>
      </c>
      <c r="CU129" s="45" t="str">
        <f t="shared" si="1785"/>
        <v>|n</v>
      </c>
      <c r="CW129" s="24"/>
      <c r="CX129" s="24"/>
      <c r="CY129" s="24"/>
      <c r="CZ129" s="24"/>
      <c r="DA129" s="24"/>
      <c r="DB129" s="30" t="str">
        <f t="shared" si="1786"/>
        <v/>
      </c>
      <c r="DC129" s="30" t="str">
        <f t="shared" si="1787"/>
        <v/>
      </c>
      <c r="DD129" s="30" t="str">
        <f t="shared" si="1788"/>
        <v/>
      </c>
      <c r="DE129" s="30" t="str">
        <f t="shared" si="1789"/>
        <v/>
      </c>
      <c r="DF129" s="30" t="str">
        <f t="shared" si="1790"/>
        <v/>
      </c>
      <c r="DG129" s="30" t="str">
        <f t="shared" si="1791"/>
        <v/>
      </c>
      <c r="DH129" s="30" t="str">
        <f t="shared" si="1792"/>
        <v/>
      </c>
      <c r="DI129" s="30" t="str">
        <f t="shared" si="1793"/>
        <v/>
      </c>
      <c r="DJ129" s="30" t="str">
        <f t="shared" si="1794"/>
        <v/>
      </c>
      <c r="DK129" s="30" t="str">
        <f t="shared" si="1795"/>
        <v/>
      </c>
      <c r="DL129" s="30" t="str">
        <f t="shared" si="1796"/>
        <v/>
      </c>
      <c r="DM129" s="30" t="str">
        <f t="shared" si="1797"/>
        <v/>
      </c>
      <c r="DN129" s="30" t="str">
        <f t="shared" si="1798"/>
        <v/>
      </c>
      <c r="DO129" s="30" t="str">
        <f t="shared" si="1799"/>
        <v/>
      </c>
      <c r="DP129" s="30" t="str">
        <f t="shared" si="1800"/>
        <v/>
      </c>
      <c r="DQ129" s="30" t="str">
        <f t="shared" si="1801"/>
        <v/>
      </c>
      <c r="DR129" s="30" t="str">
        <f t="shared" si="1802"/>
        <v/>
      </c>
      <c r="DS129" s="30" t="str">
        <f t="shared" si="1803"/>
        <v/>
      </c>
      <c r="DT129" s="30" t="str">
        <f t="shared" si="1804"/>
        <v/>
      </c>
      <c r="DU129" s="30" t="str">
        <f t="shared" si="1805"/>
        <v/>
      </c>
      <c r="DV129" s="30" t="str">
        <f t="shared" si="1806"/>
        <v/>
      </c>
      <c r="DW129" s="30" t="str">
        <f t="shared" si="1807"/>
        <v/>
      </c>
      <c r="DX129" s="30" t="str">
        <f t="shared" si="1808"/>
        <v/>
      </c>
      <c r="DY129" s="30" t="str">
        <f t="shared" si="1809"/>
        <v/>
      </c>
      <c r="DZ129" s="30" t="str">
        <f t="shared" si="1810"/>
        <v/>
      </c>
      <c r="EA129" s="30" t="str">
        <f t="shared" si="1811"/>
        <v/>
      </c>
      <c r="EB129" s="30" t="str">
        <f t="shared" si="1812"/>
        <v/>
      </c>
      <c r="EC129" s="30" t="str">
        <f t="shared" si="1813"/>
        <v/>
      </c>
      <c r="ED129" s="30" t="str">
        <f t="shared" si="1814"/>
        <v/>
      </c>
      <c r="EE129" s="30" t="str">
        <f t="shared" si="1815"/>
        <v/>
      </c>
      <c r="EF129" s="30" t="str">
        <f t="shared" si="1816"/>
        <v/>
      </c>
      <c r="EG129" s="30" t="str">
        <f t="shared" si="1817"/>
        <v/>
      </c>
      <c r="EH129" s="30" t="str">
        <f t="shared" si="1818"/>
        <v/>
      </c>
      <c r="EI129" s="30" t="str">
        <f t="shared" si="1819"/>
        <v/>
      </c>
      <c r="EJ129" s="30" t="str">
        <f t="shared" si="1820"/>
        <v/>
      </c>
      <c r="EK129" s="30" t="str">
        <f t="shared" si="1821"/>
        <v/>
      </c>
      <c r="EL129" s="30" t="str">
        <f t="shared" si="1822"/>
        <v/>
      </c>
      <c r="EM129" s="30" t="str">
        <f t="shared" si="1823"/>
        <v/>
      </c>
      <c r="EN129" s="30" t="str">
        <f t="shared" si="1824"/>
        <v/>
      </c>
      <c r="EO129" s="30" t="str">
        <f t="shared" si="1825"/>
        <v/>
      </c>
      <c r="EP129" s="30" t="str">
        <f t="shared" si="1826"/>
        <v/>
      </c>
      <c r="EQ129" s="30" t="str">
        <f t="shared" si="1827"/>
        <v/>
      </c>
      <c r="ER129" s="30" t="str">
        <f t="shared" si="1828"/>
        <v/>
      </c>
      <c r="ES129" s="30" t="str">
        <f t="shared" si="1829"/>
        <v/>
      </c>
      <c r="ET129" s="30" t="str">
        <f t="shared" si="1830"/>
        <v/>
      </c>
      <c r="EU129" s="30" t="str">
        <f t="shared" si="1831"/>
        <v/>
      </c>
      <c r="EV129" s="30" t="str">
        <f t="shared" si="1832"/>
        <v/>
      </c>
      <c r="EW129" s="30" t="str">
        <f t="shared" si="1833"/>
        <v/>
      </c>
      <c r="EX129" s="30" t="str">
        <f t="shared" si="1834"/>
        <v/>
      </c>
      <c r="EY129" s="30" t="str">
        <f t="shared" si="1835"/>
        <v/>
      </c>
      <c r="EZ129" s="30" t="str">
        <f t="shared" si="1836"/>
        <v/>
      </c>
      <c r="FA129" s="30" t="str">
        <f t="shared" si="1837"/>
        <v/>
      </c>
      <c r="FB129" s="30" t="str">
        <f t="shared" si="1838"/>
        <v/>
      </c>
      <c r="FC129" s="30" t="str">
        <f t="shared" si="1839"/>
        <v/>
      </c>
      <c r="FD129" s="30" t="str">
        <f t="shared" si="1840"/>
        <v/>
      </c>
      <c r="FE129" s="30" t="str">
        <f t="shared" si="1841"/>
        <v/>
      </c>
      <c r="FF129" s="30" t="str">
        <f t="shared" si="1842"/>
        <v/>
      </c>
      <c r="FG129" s="30" t="str">
        <f t="shared" si="1843"/>
        <v/>
      </c>
      <c r="FH129" s="30" t="str">
        <f t="shared" si="1844"/>
        <v/>
      </c>
      <c r="FI129" s="30" t="str">
        <f t="shared" si="1845"/>
        <v/>
      </c>
      <c r="FJ129" s="30" t="str">
        <f t="shared" si="1846"/>
        <v/>
      </c>
      <c r="FK129" s="30" t="str">
        <f t="shared" si="1847"/>
        <v/>
      </c>
      <c r="FL129" s="30" t="str">
        <f t="shared" si="1848"/>
        <v/>
      </c>
      <c r="FM129" s="30" t="str">
        <f t="shared" si="1849"/>
        <v/>
      </c>
      <c r="FN129" s="30" t="str">
        <f t="shared" si="1850"/>
        <v/>
      </c>
      <c r="FO129" s="30" t="str">
        <f t="shared" si="1851"/>
        <v/>
      </c>
      <c r="FP129" s="30" t="str">
        <f t="shared" si="1852"/>
        <v/>
      </c>
      <c r="FQ129" s="30" t="str">
        <f t="shared" si="1853"/>
        <v/>
      </c>
      <c r="FR129" s="30" t="str">
        <f t="shared" si="1854"/>
        <v/>
      </c>
      <c r="FS129" s="30" t="str">
        <f t="shared" si="1855"/>
        <v/>
      </c>
    </row>
    <row r="130" spans="1:175" ht="16.5">
      <c r="A130" s="87"/>
      <c r="B130" s="66"/>
      <c r="C130" s="87"/>
      <c r="T130" s="106"/>
      <c r="U130" s="32"/>
      <c r="CN130" s="7" t="str">
        <f t="shared" si="1780"/>
        <v>InitUnitState('',,,,,,,,,,)</v>
      </c>
      <c r="CO130" s="7" t="str">
        <f t="shared" si="1781"/>
        <v>InitUnitNormal('',,,,,,,,,,)</v>
      </c>
      <c r="CP130" s="7" t="str">
        <f t="shared" si="1782"/>
        <v>InitUnitMagic('',,,,,,,,,,)</v>
      </c>
      <c r="CQ130" s="7" t="str">
        <f t="shared" si="1783"/>
        <v>InitUnitAdd('',,,,,,,,,,)</v>
      </c>
      <c r="CR130" s="7" t="str">
        <f t="shared" si="1784"/>
        <v>InitEquipData('',,"",,,,,'','','','','','',"")</v>
      </c>
      <c r="CU130" s="45" t="str">
        <f t="shared" si="1785"/>
        <v>|n</v>
      </c>
      <c r="CW130" s="24"/>
      <c r="CX130" s="24"/>
      <c r="CY130" s="24"/>
      <c r="CZ130" s="24"/>
      <c r="DA130" s="24"/>
      <c r="DB130" s="30" t="str">
        <f t="shared" si="1786"/>
        <v/>
      </c>
      <c r="DC130" s="30" t="str">
        <f t="shared" si="1787"/>
        <v/>
      </c>
      <c r="DD130" s="30" t="str">
        <f t="shared" si="1788"/>
        <v/>
      </c>
      <c r="DE130" s="30" t="str">
        <f t="shared" si="1789"/>
        <v/>
      </c>
      <c r="DF130" s="30" t="str">
        <f t="shared" si="1790"/>
        <v/>
      </c>
      <c r="DG130" s="30" t="str">
        <f t="shared" si="1791"/>
        <v/>
      </c>
      <c r="DH130" s="30" t="str">
        <f t="shared" si="1792"/>
        <v/>
      </c>
      <c r="DI130" s="30" t="str">
        <f t="shared" si="1793"/>
        <v/>
      </c>
      <c r="DJ130" s="30" t="str">
        <f t="shared" si="1794"/>
        <v/>
      </c>
      <c r="DK130" s="30" t="str">
        <f t="shared" si="1795"/>
        <v/>
      </c>
      <c r="DL130" s="30" t="str">
        <f t="shared" si="1796"/>
        <v/>
      </c>
      <c r="DM130" s="30" t="str">
        <f t="shared" si="1797"/>
        <v/>
      </c>
      <c r="DN130" s="30" t="str">
        <f t="shared" si="1798"/>
        <v/>
      </c>
      <c r="DO130" s="30" t="str">
        <f t="shared" si="1799"/>
        <v/>
      </c>
      <c r="DP130" s="30" t="str">
        <f t="shared" si="1800"/>
        <v/>
      </c>
      <c r="DQ130" s="30" t="str">
        <f t="shared" si="1801"/>
        <v/>
      </c>
      <c r="DR130" s="30" t="str">
        <f t="shared" si="1802"/>
        <v/>
      </c>
      <c r="DS130" s="30" t="str">
        <f t="shared" si="1803"/>
        <v/>
      </c>
      <c r="DT130" s="30" t="str">
        <f t="shared" si="1804"/>
        <v/>
      </c>
      <c r="DU130" s="30" t="str">
        <f t="shared" si="1805"/>
        <v/>
      </c>
      <c r="DV130" s="30" t="str">
        <f t="shared" si="1806"/>
        <v/>
      </c>
      <c r="DW130" s="30" t="str">
        <f t="shared" si="1807"/>
        <v/>
      </c>
      <c r="DX130" s="30" t="str">
        <f t="shared" si="1808"/>
        <v/>
      </c>
      <c r="DY130" s="30" t="str">
        <f t="shared" si="1809"/>
        <v/>
      </c>
      <c r="DZ130" s="30" t="str">
        <f t="shared" si="1810"/>
        <v/>
      </c>
      <c r="EA130" s="30" t="str">
        <f t="shared" si="1811"/>
        <v/>
      </c>
      <c r="EB130" s="30" t="str">
        <f t="shared" si="1812"/>
        <v/>
      </c>
      <c r="EC130" s="30" t="str">
        <f t="shared" si="1813"/>
        <v/>
      </c>
      <c r="ED130" s="30" t="str">
        <f t="shared" si="1814"/>
        <v/>
      </c>
      <c r="EE130" s="30" t="str">
        <f t="shared" si="1815"/>
        <v/>
      </c>
      <c r="EF130" s="30" t="str">
        <f t="shared" si="1816"/>
        <v/>
      </c>
      <c r="EG130" s="30" t="str">
        <f t="shared" si="1817"/>
        <v/>
      </c>
      <c r="EH130" s="30" t="str">
        <f t="shared" si="1818"/>
        <v/>
      </c>
      <c r="EI130" s="30" t="str">
        <f t="shared" si="1819"/>
        <v/>
      </c>
      <c r="EJ130" s="30" t="str">
        <f t="shared" si="1820"/>
        <v/>
      </c>
      <c r="EK130" s="30" t="str">
        <f t="shared" si="1821"/>
        <v/>
      </c>
      <c r="EL130" s="30" t="str">
        <f t="shared" si="1822"/>
        <v/>
      </c>
      <c r="EM130" s="30" t="str">
        <f t="shared" si="1823"/>
        <v/>
      </c>
      <c r="EN130" s="30" t="str">
        <f t="shared" si="1824"/>
        <v/>
      </c>
      <c r="EO130" s="30" t="str">
        <f t="shared" si="1825"/>
        <v/>
      </c>
      <c r="EP130" s="30" t="str">
        <f t="shared" si="1826"/>
        <v/>
      </c>
      <c r="EQ130" s="30" t="str">
        <f t="shared" si="1827"/>
        <v/>
      </c>
      <c r="ER130" s="30" t="str">
        <f t="shared" si="1828"/>
        <v/>
      </c>
      <c r="ES130" s="30" t="str">
        <f t="shared" si="1829"/>
        <v/>
      </c>
      <c r="ET130" s="30" t="str">
        <f t="shared" si="1830"/>
        <v/>
      </c>
      <c r="EU130" s="30" t="str">
        <f t="shared" si="1831"/>
        <v/>
      </c>
      <c r="EV130" s="30" t="str">
        <f t="shared" si="1832"/>
        <v/>
      </c>
      <c r="EW130" s="30" t="str">
        <f t="shared" si="1833"/>
        <v/>
      </c>
      <c r="EX130" s="30" t="str">
        <f t="shared" si="1834"/>
        <v/>
      </c>
      <c r="EY130" s="30" t="str">
        <f t="shared" si="1835"/>
        <v/>
      </c>
      <c r="EZ130" s="30" t="str">
        <f t="shared" si="1836"/>
        <v/>
      </c>
      <c r="FA130" s="30" t="str">
        <f t="shared" si="1837"/>
        <v/>
      </c>
      <c r="FB130" s="30" t="str">
        <f t="shared" si="1838"/>
        <v/>
      </c>
      <c r="FC130" s="30" t="str">
        <f t="shared" si="1839"/>
        <v/>
      </c>
      <c r="FD130" s="30" t="str">
        <f t="shared" si="1840"/>
        <v/>
      </c>
      <c r="FE130" s="30" t="str">
        <f t="shared" si="1841"/>
        <v/>
      </c>
      <c r="FF130" s="30" t="str">
        <f t="shared" si="1842"/>
        <v/>
      </c>
      <c r="FG130" s="30" t="str">
        <f t="shared" si="1843"/>
        <v/>
      </c>
      <c r="FH130" s="30" t="str">
        <f t="shared" si="1844"/>
        <v/>
      </c>
      <c r="FI130" s="30" t="str">
        <f t="shared" si="1845"/>
        <v/>
      </c>
      <c r="FJ130" s="30" t="str">
        <f t="shared" si="1846"/>
        <v/>
      </c>
      <c r="FK130" s="30" t="str">
        <f t="shared" si="1847"/>
        <v/>
      </c>
      <c r="FL130" s="30" t="str">
        <f t="shared" si="1848"/>
        <v/>
      </c>
      <c r="FM130" s="30" t="str">
        <f t="shared" si="1849"/>
        <v/>
      </c>
      <c r="FN130" s="30" t="str">
        <f t="shared" si="1850"/>
        <v/>
      </c>
      <c r="FO130" s="30" t="str">
        <f t="shared" si="1851"/>
        <v/>
      </c>
      <c r="FP130" s="30" t="str">
        <f t="shared" si="1852"/>
        <v/>
      </c>
      <c r="FQ130" s="30" t="str">
        <f t="shared" si="1853"/>
        <v/>
      </c>
      <c r="FR130" s="30" t="str">
        <f t="shared" si="1854"/>
        <v/>
      </c>
      <c r="FS130" s="30" t="str">
        <f t="shared" si="1855"/>
        <v/>
      </c>
    </row>
    <row r="131" spans="1:175" ht="16.5">
      <c r="A131" s="87"/>
      <c r="B131" s="66"/>
      <c r="C131" s="87"/>
      <c r="T131" s="106"/>
      <c r="U131" s="32"/>
      <c r="CN131" s="7" t="str">
        <f t="shared" si="1780"/>
        <v>InitUnitState('',,,,,,,,,,)</v>
      </c>
      <c r="CO131" s="7" t="str">
        <f t="shared" si="1781"/>
        <v>InitUnitNormal('',,,,,,,,,,)</v>
      </c>
      <c r="CP131" s="7" t="str">
        <f t="shared" si="1782"/>
        <v>InitUnitMagic('',,,,,,,,,,)</v>
      </c>
      <c r="CQ131" s="7" t="str">
        <f t="shared" si="1783"/>
        <v>InitUnitAdd('',,,,,,,,,,)</v>
      </c>
      <c r="CR131" s="7" t="str">
        <f t="shared" si="1784"/>
        <v>InitEquipData('',,"",,,,,'','','','','','',"")</v>
      </c>
      <c r="CU131" s="45" t="str">
        <f t="shared" si="1785"/>
        <v>|n</v>
      </c>
      <c r="CW131" s="24"/>
      <c r="CX131" s="24"/>
      <c r="CY131" s="24"/>
      <c r="CZ131" s="24"/>
      <c r="DA131" s="24"/>
      <c r="DB131" s="30" t="str">
        <f t="shared" si="1786"/>
        <v/>
      </c>
      <c r="DC131" s="30" t="str">
        <f t="shared" si="1787"/>
        <v/>
      </c>
      <c r="DD131" s="30" t="str">
        <f t="shared" si="1788"/>
        <v/>
      </c>
      <c r="DE131" s="30" t="str">
        <f t="shared" si="1789"/>
        <v/>
      </c>
      <c r="DF131" s="30" t="str">
        <f t="shared" si="1790"/>
        <v/>
      </c>
      <c r="DG131" s="30" t="str">
        <f t="shared" si="1791"/>
        <v/>
      </c>
      <c r="DH131" s="30" t="str">
        <f t="shared" si="1792"/>
        <v/>
      </c>
      <c r="DI131" s="30" t="str">
        <f t="shared" si="1793"/>
        <v/>
      </c>
      <c r="DJ131" s="30" t="str">
        <f t="shared" si="1794"/>
        <v/>
      </c>
      <c r="DK131" s="30" t="str">
        <f t="shared" si="1795"/>
        <v/>
      </c>
      <c r="DL131" s="30" t="str">
        <f t="shared" si="1796"/>
        <v/>
      </c>
      <c r="DM131" s="30" t="str">
        <f t="shared" si="1797"/>
        <v/>
      </c>
      <c r="DN131" s="30" t="str">
        <f t="shared" si="1798"/>
        <v/>
      </c>
      <c r="DO131" s="30" t="str">
        <f t="shared" si="1799"/>
        <v/>
      </c>
      <c r="DP131" s="30" t="str">
        <f t="shared" si="1800"/>
        <v/>
      </c>
      <c r="DQ131" s="30" t="str">
        <f t="shared" si="1801"/>
        <v/>
      </c>
      <c r="DR131" s="30" t="str">
        <f t="shared" si="1802"/>
        <v/>
      </c>
      <c r="DS131" s="30" t="str">
        <f t="shared" si="1803"/>
        <v/>
      </c>
      <c r="DT131" s="30" t="str">
        <f t="shared" si="1804"/>
        <v/>
      </c>
      <c r="DU131" s="30" t="str">
        <f t="shared" si="1805"/>
        <v/>
      </c>
      <c r="DV131" s="30" t="str">
        <f t="shared" si="1806"/>
        <v/>
      </c>
      <c r="DW131" s="30" t="str">
        <f t="shared" si="1807"/>
        <v/>
      </c>
      <c r="DX131" s="30" t="str">
        <f t="shared" si="1808"/>
        <v/>
      </c>
      <c r="DY131" s="30" t="str">
        <f t="shared" si="1809"/>
        <v/>
      </c>
      <c r="DZ131" s="30" t="str">
        <f t="shared" si="1810"/>
        <v/>
      </c>
      <c r="EA131" s="30" t="str">
        <f t="shared" si="1811"/>
        <v/>
      </c>
      <c r="EB131" s="30" t="str">
        <f t="shared" si="1812"/>
        <v/>
      </c>
      <c r="EC131" s="30" t="str">
        <f t="shared" si="1813"/>
        <v/>
      </c>
      <c r="ED131" s="30" t="str">
        <f t="shared" si="1814"/>
        <v/>
      </c>
      <c r="EE131" s="30" t="str">
        <f t="shared" si="1815"/>
        <v/>
      </c>
      <c r="EF131" s="30" t="str">
        <f t="shared" si="1816"/>
        <v/>
      </c>
      <c r="EG131" s="30" t="str">
        <f t="shared" si="1817"/>
        <v/>
      </c>
      <c r="EH131" s="30" t="str">
        <f t="shared" si="1818"/>
        <v/>
      </c>
      <c r="EI131" s="30" t="str">
        <f t="shared" si="1819"/>
        <v/>
      </c>
      <c r="EJ131" s="30" t="str">
        <f t="shared" si="1820"/>
        <v/>
      </c>
      <c r="EK131" s="30" t="str">
        <f t="shared" si="1821"/>
        <v/>
      </c>
      <c r="EL131" s="30" t="str">
        <f t="shared" si="1822"/>
        <v/>
      </c>
      <c r="EM131" s="30" t="str">
        <f t="shared" si="1823"/>
        <v/>
      </c>
      <c r="EN131" s="30" t="str">
        <f t="shared" si="1824"/>
        <v/>
      </c>
      <c r="EO131" s="30" t="str">
        <f t="shared" si="1825"/>
        <v/>
      </c>
      <c r="EP131" s="30" t="str">
        <f t="shared" si="1826"/>
        <v/>
      </c>
      <c r="EQ131" s="30" t="str">
        <f t="shared" si="1827"/>
        <v/>
      </c>
      <c r="ER131" s="30" t="str">
        <f t="shared" si="1828"/>
        <v/>
      </c>
      <c r="ES131" s="30" t="str">
        <f t="shared" si="1829"/>
        <v/>
      </c>
      <c r="ET131" s="30" t="str">
        <f t="shared" si="1830"/>
        <v/>
      </c>
      <c r="EU131" s="30" t="str">
        <f t="shared" si="1831"/>
        <v/>
      </c>
      <c r="EV131" s="30" t="str">
        <f t="shared" si="1832"/>
        <v/>
      </c>
      <c r="EW131" s="30" t="str">
        <f t="shared" si="1833"/>
        <v/>
      </c>
      <c r="EX131" s="30" t="str">
        <f t="shared" si="1834"/>
        <v/>
      </c>
      <c r="EY131" s="30" t="str">
        <f t="shared" si="1835"/>
        <v/>
      </c>
      <c r="EZ131" s="30" t="str">
        <f t="shared" si="1836"/>
        <v/>
      </c>
      <c r="FA131" s="30" t="str">
        <f t="shared" si="1837"/>
        <v/>
      </c>
      <c r="FB131" s="30" t="str">
        <f t="shared" si="1838"/>
        <v/>
      </c>
      <c r="FC131" s="30" t="str">
        <f t="shared" si="1839"/>
        <v/>
      </c>
      <c r="FD131" s="30" t="str">
        <f t="shared" si="1840"/>
        <v/>
      </c>
      <c r="FE131" s="30" t="str">
        <f t="shared" si="1841"/>
        <v/>
      </c>
      <c r="FF131" s="30" t="str">
        <f t="shared" si="1842"/>
        <v/>
      </c>
      <c r="FG131" s="30" t="str">
        <f t="shared" si="1843"/>
        <v/>
      </c>
      <c r="FH131" s="30" t="str">
        <f t="shared" si="1844"/>
        <v/>
      </c>
      <c r="FI131" s="30" t="str">
        <f t="shared" si="1845"/>
        <v/>
      </c>
      <c r="FJ131" s="30" t="str">
        <f t="shared" si="1846"/>
        <v/>
      </c>
      <c r="FK131" s="30" t="str">
        <f t="shared" si="1847"/>
        <v/>
      </c>
      <c r="FL131" s="30" t="str">
        <f t="shared" si="1848"/>
        <v/>
      </c>
      <c r="FM131" s="30" t="str">
        <f t="shared" si="1849"/>
        <v/>
      </c>
      <c r="FN131" s="30" t="str">
        <f t="shared" si="1850"/>
        <v/>
      </c>
      <c r="FO131" s="30" t="str">
        <f t="shared" si="1851"/>
        <v/>
      </c>
      <c r="FP131" s="30" t="str">
        <f t="shared" si="1852"/>
        <v/>
      </c>
      <c r="FQ131" s="30" t="str">
        <f t="shared" si="1853"/>
        <v/>
      </c>
      <c r="FR131" s="30" t="str">
        <f t="shared" si="1854"/>
        <v/>
      </c>
      <c r="FS131" s="30" t="str">
        <f t="shared" si="1855"/>
        <v/>
      </c>
    </row>
    <row r="132" spans="1:175" ht="16.5">
      <c r="A132" s="87"/>
      <c r="B132" s="66"/>
      <c r="C132" s="87"/>
      <c r="T132" s="106"/>
      <c r="U132" s="32"/>
      <c r="CN132" s="7" t="str">
        <f t="shared" si="1780"/>
        <v>InitUnitState('',,,,,,,,,,)</v>
      </c>
      <c r="CO132" s="7" t="str">
        <f t="shared" si="1781"/>
        <v>InitUnitNormal('',,,,,,,,,,)</v>
      </c>
      <c r="CP132" s="7" t="str">
        <f t="shared" si="1782"/>
        <v>InitUnitMagic('',,,,,,,,,,)</v>
      </c>
      <c r="CQ132" s="7" t="str">
        <f t="shared" si="1783"/>
        <v>InitUnitAdd('',,,,,,,,,,)</v>
      </c>
      <c r="CR132" s="7" t="str">
        <f t="shared" si="1784"/>
        <v>InitEquipData('',,"",,,,,'','','','','','',"")</v>
      </c>
      <c r="CU132" s="45" t="str">
        <f t="shared" si="1785"/>
        <v>|n</v>
      </c>
      <c r="CW132" s="24"/>
      <c r="CX132" s="24"/>
      <c r="CY132" s="24"/>
      <c r="CZ132" s="24"/>
      <c r="DA132" s="24"/>
      <c r="DB132" s="30" t="str">
        <f t="shared" si="1786"/>
        <v/>
      </c>
      <c r="DC132" s="30" t="str">
        <f t="shared" si="1787"/>
        <v/>
      </c>
      <c r="DD132" s="30" t="str">
        <f t="shared" si="1788"/>
        <v/>
      </c>
      <c r="DE132" s="30" t="str">
        <f t="shared" si="1789"/>
        <v/>
      </c>
      <c r="DF132" s="30" t="str">
        <f t="shared" si="1790"/>
        <v/>
      </c>
      <c r="DG132" s="30" t="str">
        <f t="shared" si="1791"/>
        <v/>
      </c>
      <c r="DH132" s="30" t="str">
        <f t="shared" si="1792"/>
        <v/>
      </c>
      <c r="DI132" s="30" t="str">
        <f t="shared" si="1793"/>
        <v/>
      </c>
      <c r="DJ132" s="30" t="str">
        <f t="shared" si="1794"/>
        <v/>
      </c>
      <c r="DK132" s="30" t="str">
        <f t="shared" si="1795"/>
        <v/>
      </c>
      <c r="DL132" s="30" t="str">
        <f t="shared" si="1796"/>
        <v/>
      </c>
      <c r="DM132" s="30" t="str">
        <f t="shared" si="1797"/>
        <v/>
      </c>
      <c r="DN132" s="30" t="str">
        <f t="shared" si="1798"/>
        <v/>
      </c>
      <c r="DO132" s="30" t="str">
        <f t="shared" si="1799"/>
        <v/>
      </c>
      <c r="DP132" s="30" t="str">
        <f t="shared" si="1800"/>
        <v/>
      </c>
      <c r="DQ132" s="30" t="str">
        <f t="shared" si="1801"/>
        <v/>
      </c>
      <c r="DR132" s="30" t="str">
        <f t="shared" si="1802"/>
        <v/>
      </c>
      <c r="DS132" s="30" t="str">
        <f t="shared" si="1803"/>
        <v/>
      </c>
      <c r="DT132" s="30" t="str">
        <f t="shared" si="1804"/>
        <v/>
      </c>
      <c r="DU132" s="30" t="str">
        <f t="shared" si="1805"/>
        <v/>
      </c>
      <c r="DV132" s="30" t="str">
        <f t="shared" si="1806"/>
        <v/>
      </c>
      <c r="DW132" s="30" t="str">
        <f t="shared" si="1807"/>
        <v/>
      </c>
      <c r="DX132" s="30" t="str">
        <f t="shared" si="1808"/>
        <v/>
      </c>
      <c r="DY132" s="30" t="str">
        <f t="shared" si="1809"/>
        <v/>
      </c>
      <c r="DZ132" s="30" t="str">
        <f t="shared" si="1810"/>
        <v/>
      </c>
      <c r="EA132" s="30" t="str">
        <f t="shared" si="1811"/>
        <v/>
      </c>
      <c r="EB132" s="30" t="str">
        <f t="shared" si="1812"/>
        <v/>
      </c>
      <c r="EC132" s="30" t="str">
        <f t="shared" si="1813"/>
        <v/>
      </c>
      <c r="ED132" s="30" t="str">
        <f t="shared" si="1814"/>
        <v/>
      </c>
      <c r="EE132" s="30" t="str">
        <f t="shared" si="1815"/>
        <v/>
      </c>
      <c r="EF132" s="30" t="str">
        <f t="shared" si="1816"/>
        <v/>
      </c>
      <c r="EG132" s="30" t="str">
        <f t="shared" si="1817"/>
        <v/>
      </c>
      <c r="EH132" s="30" t="str">
        <f t="shared" si="1818"/>
        <v/>
      </c>
      <c r="EI132" s="30" t="str">
        <f t="shared" si="1819"/>
        <v/>
      </c>
      <c r="EJ132" s="30" t="str">
        <f t="shared" si="1820"/>
        <v/>
      </c>
      <c r="EK132" s="30" t="str">
        <f t="shared" si="1821"/>
        <v/>
      </c>
      <c r="EL132" s="30" t="str">
        <f t="shared" si="1822"/>
        <v/>
      </c>
      <c r="EM132" s="30" t="str">
        <f t="shared" si="1823"/>
        <v/>
      </c>
      <c r="EN132" s="30" t="str">
        <f t="shared" si="1824"/>
        <v/>
      </c>
      <c r="EO132" s="30" t="str">
        <f t="shared" si="1825"/>
        <v/>
      </c>
      <c r="EP132" s="30" t="str">
        <f t="shared" si="1826"/>
        <v/>
      </c>
      <c r="EQ132" s="30" t="str">
        <f t="shared" si="1827"/>
        <v/>
      </c>
      <c r="ER132" s="30" t="str">
        <f t="shared" si="1828"/>
        <v/>
      </c>
      <c r="ES132" s="30" t="str">
        <f t="shared" si="1829"/>
        <v/>
      </c>
      <c r="ET132" s="30" t="str">
        <f t="shared" si="1830"/>
        <v/>
      </c>
      <c r="EU132" s="30" t="str">
        <f t="shared" si="1831"/>
        <v/>
      </c>
      <c r="EV132" s="30" t="str">
        <f t="shared" si="1832"/>
        <v/>
      </c>
      <c r="EW132" s="30" t="str">
        <f t="shared" si="1833"/>
        <v/>
      </c>
      <c r="EX132" s="30" t="str">
        <f t="shared" si="1834"/>
        <v/>
      </c>
      <c r="EY132" s="30" t="str">
        <f t="shared" si="1835"/>
        <v/>
      </c>
      <c r="EZ132" s="30" t="str">
        <f t="shared" si="1836"/>
        <v/>
      </c>
      <c r="FA132" s="30" t="str">
        <f t="shared" si="1837"/>
        <v/>
      </c>
      <c r="FB132" s="30" t="str">
        <f t="shared" si="1838"/>
        <v/>
      </c>
      <c r="FC132" s="30" t="str">
        <f t="shared" si="1839"/>
        <v/>
      </c>
      <c r="FD132" s="30" t="str">
        <f t="shared" si="1840"/>
        <v/>
      </c>
      <c r="FE132" s="30" t="str">
        <f t="shared" si="1841"/>
        <v/>
      </c>
      <c r="FF132" s="30" t="str">
        <f t="shared" si="1842"/>
        <v/>
      </c>
      <c r="FG132" s="30" t="str">
        <f t="shared" si="1843"/>
        <v/>
      </c>
      <c r="FH132" s="30" t="str">
        <f t="shared" si="1844"/>
        <v/>
      </c>
      <c r="FI132" s="30" t="str">
        <f t="shared" si="1845"/>
        <v/>
      </c>
      <c r="FJ132" s="30" t="str">
        <f t="shared" si="1846"/>
        <v/>
      </c>
      <c r="FK132" s="30" t="str">
        <f t="shared" si="1847"/>
        <v/>
      </c>
      <c r="FL132" s="30" t="str">
        <f t="shared" si="1848"/>
        <v/>
      </c>
      <c r="FM132" s="30" t="str">
        <f t="shared" si="1849"/>
        <v/>
      </c>
      <c r="FN132" s="30" t="str">
        <f t="shared" si="1850"/>
        <v/>
      </c>
      <c r="FO132" s="30" t="str">
        <f t="shared" si="1851"/>
        <v/>
      </c>
      <c r="FP132" s="30" t="str">
        <f t="shared" si="1852"/>
        <v/>
      </c>
      <c r="FQ132" s="30" t="str">
        <f t="shared" si="1853"/>
        <v/>
      </c>
      <c r="FR132" s="30" t="str">
        <f t="shared" si="1854"/>
        <v/>
      </c>
      <c r="FS132" s="30" t="str">
        <f t="shared" si="1855"/>
        <v/>
      </c>
    </row>
    <row r="133" spans="1:175" ht="16.5">
      <c r="A133" s="87"/>
      <c r="B133" s="66"/>
      <c r="C133" s="87"/>
      <c r="T133" s="106"/>
      <c r="U133" s="32"/>
      <c r="CN133" s="7" t="str">
        <f t="shared" si="1780"/>
        <v>InitUnitState('',,,,,,,,,,)</v>
      </c>
      <c r="CO133" s="7" t="str">
        <f t="shared" si="1781"/>
        <v>InitUnitNormal('',,,,,,,,,,)</v>
      </c>
      <c r="CP133" s="7" t="str">
        <f t="shared" si="1782"/>
        <v>InitUnitMagic('',,,,,,,,,,)</v>
      </c>
      <c r="CQ133" s="7" t="str">
        <f t="shared" si="1783"/>
        <v>InitUnitAdd('',,,,,,,,,,)</v>
      </c>
      <c r="CR133" s="7" t="str">
        <f t="shared" si="1784"/>
        <v>InitEquipData('',,"",,,,,'','','','','','',"")</v>
      </c>
      <c r="CU133" s="45" t="str">
        <f t="shared" si="1785"/>
        <v>|n</v>
      </c>
      <c r="CW133" s="24"/>
      <c r="CX133" s="24"/>
      <c r="CY133" s="24"/>
      <c r="CZ133" s="24"/>
      <c r="DA133" s="24"/>
      <c r="DB133" s="30" t="str">
        <f t="shared" si="1786"/>
        <v/>
      </c>
      <c r="DC133" s="30" t="str">
        <f t="shared" si="1787"/>
        <v/>
      </c>
      <c r="DD133" s="30" t="str">
        <f t="shared" si="1788"/>
        <v/>
      </c>
      <c r="DE133" s="30" t="str">
        <f t="shared" si="1789"/>
        <v/>
      </c>
      <c r="DF133" s="30" t="str">
        <f t="shared" si="1790"/>
        <v/>
      </c>
      <c r="DG133" s="30" t="str">
        <f t="shared" si="1791"/>
        <v/>
      </c>
      <c r="DH133" s="30" t="str">
        <f t="shared" si="1792"/>
        <v/>
      </c>
      <c r="DI133" s="30" t="str">
        <f t="shared" si="1793"/>
        <v/>
      </c>
      <c r="DJ133" s="30" t="str">
        <f t="shared" si="1794"/>
        <v/>
      </c>
      <c r="DK133" s="30" t="str">
        <f t="shared" si="1795"/>
        <v/>
      </c>
      <c r="DL133" s="30" t="str">
        <f t="shared" si="1796"/>
        <v/>
      </c>
      <c r="DM133" s="30" t="str">
        <f t="shared" si="1797"/>
        <v/>
      </c>
      <c r="DN133" s="30" t="str">
        <f t="shared" si="1798"/>
        <v/>
      </c>
      <c r="DO133" s="30" t="str">
        <f t="shared" si="1799"/>
        <v/>
      </c>
      <c r="DP133" s="30" t="str">
        <f t="shared" si="1800"/>
        <v/>
      </c>
      <c r="DQ133" s="30" t="str">
        <f t="shared" si="1801"/>
        <v/>
      </c>
      <c r="DR133" s="30" t="str">
        <f t="shared" si="1802"/>
        <v/>
      </c>
      <c r="DS133" s="30" t="str">
        <f t="shared" si="1803"/>
        <v/>
      </c>
      <c r="DT133" s="30" t="str">
        <f t="shared" si="1804"/>
        <v/>
      </c>
      <c r="DU133" s="30" t="str">
        <f t="shared" si="1805"/>
        <v/>
      </c>
      <c r="DV133" s="30" t="str">
        <f t="shared" si="1806"/>
        <v/>
      </c>
      <c r="DW133" s="30" t="str">
        <f t="shared" si="1807"/>
        <v/>
      </c>
      <c r="DX133" s="30" t="str">
        <f t="shared" si="1808"/>
        <v/>
      </c>
      <c r="DY133" s="30" t="str">
        <f t="shared" si="1809"/>
        <v/>
      </c>
      <c r="DZ133" s="30" t="str">
        <f t="shared" si="1810"/>
        <v/>
      </c>
      <c r="EA133" s="30" t="str">
        <f t="shared" si="1811"/>
        <v/>
      </c>
      <c r="EB133" s="30" t="str">
        <f t="shared" si="1812"/>
        <v/>
      </c>
      <c r="EC133" s="30" t="str">
        <f t="shared" si="1813"/>
        <v/>
      </c>
      <c r="ED133" s="30" t="str">
        <f t="shared" si="1814"/>
        <v/>
      </c>
      <c r="EE133" s="30" t="str">
        <f t="shared" si="1815"/>
        <v/>
      </c>
      <c r="EF133" s="30" t="str">
        <f t="shared" si="1816"/>
        <v/>
      </c>
      <c r="EG133" s="30" t="str">
        <f t="shared" si="1817"/>
        <v/>
      </c>
      <c r="EH133" s="30" t="str">
        <f t="shared" si="1818"/>
        <v/>
      </c>
      <c r="EI133" s="30" t="str">
        <f t="shared" si="1819"/>
        <v/>
      </c>
      <c r="EJ133" s="30" t="str">
        <f t="shared" si="1820"/>
        <v/>
      </c>
      <c r="EK133" s="30" t="str">
        <f t="shared" si="1821"/>
        <v/>
      </c>
      <c r="EL133" s="30" t="str">
        <f t="shared" si="1822"/>
        <v/>
      </c>
      <c r="EM133" s="30" t="str">
        <f t="shared" si="1823"/>
        <v/>
      </c>
      <c r="EN133" s="30" t="str">
        <f t="shared" si="1824"/>
        <v/>
      </c>
      <c r="EO133" s="30" t="str">
        <f t="shared" si="1825"/>
        <v/>
      </c>
      <c r="EP133" s="30" t="str">
        <f t="shared" si="1826"/>
        <v/>
      </c>
      <c r="EQ133" s="30" t="str">
        <f t="shared" si="1827"/>
        <v/>
      </c>
      <c r="ER133" s="30" t="str">
        <f t="shared" si="1828"/>
        <v/>
      </c>
      <c r="ES133" s="30" t="str">
        <f t="shared" si="1829"/>
        <v/>
      </c>
      <c r="ET133" s="30" t="str">
        <f t="shared" si="1830"/>
        <v/>
      </c>
      <c r="EU133" s="30" t="str">
        <f t="shared" si="1831"/>
        <v/>
      </c>
      <c r="EV133" s="30" t="str">
        <f t="shared" si="1832"/>
        <v/>
      </c>
      <c r="EW133" s="30" t="str">
        <f t="shared" si="1833"/>
        <v/>
      </c>
      <c r="EX133" s="30" t="str">
        <f t="shared" si="1834"/>
        <v/>
      </c>
      <c r="EY133" s="30" t="str">
        <f t="shared" si="1835"/>
        <v/>
      </c>
      <c r="EZ133" s="30" t="str">
        <f t="shared" si="1836"/>
        <v/>
      </c>
      <c r="FA133" s="30" t="str">
        <f t="shared" si="1837"/>
        <v/>
      </c>
      <c r="FB133" s="30" t="str">
        <f t="shared" si="1838"/>
        <v/>
      </c>
      <c r="FC133" s="30" t="str">
        <f t="shared" si="1839"/>
        <v/>
      </c>
      <c r="FD133" s="30" t="str">
        <f t="shared" si="1840"/>
        <v/>
      </c>
      <c r="FE133" s="30" t="str">
        <f t="shared" si="1841"/>
        <v/>
      </c>
      <c r="FF133" s="30" t="str">
        <f t="shared" si="1842"/>
        <v/>
      </c>
      <c r="FG133" s="30" t="str">
        <f t="shared" si="1843"/>
        <v/>
      </c>
      <c r="FH133" s="30" t="str">
        <f t="shared" si="1844"/>
        <v/>
      </c>
      <c r="FI133" s="30" t="str">
        <f t="shared" si="1845"/>
        <v/>
      </c>
      <c r="FJ133" s="30" t="str">
        <f t="shared" si="1846"/>
        <v/>
      </c>
      <c r="FK133" s="30" t="str">
        <f t="shared" si="1847"/>
        <v/>
      </c>
      <c r="FL133" s="30" t="str">
        <f t="shared" si="1848"/>
        <v/>
      </c>
      <c r="FM133" s="30" t="str">
        <f t="shared" si="1849"/>
        <v/>
      </c>
      <c r="FN133" s="30" t="str">
        <f t="shared" si="1850"/>
        <v/>
      </c>
      <c r="FO133" s="30" t="str">
        <f t="shared" si="1851"/>
        <v/>
      </c>
      <c r="FP133" s="30" t="str">
        <f t="shared" si="1852"/>
        <v/>
      </c>
      <c r="FQ133" s="30" t="str">
        <f t="shared" si="1853"/>
        <v/>
      </c>
      <c r="FR133" s="30" t="str">
        <f t="shared" si="1854"/>
        <v/>
      </c>
      <c r="FS133" s="30" t="str">
        <f t="shared" si="1855"/>
        <v/>
      </c>
    </row>
    <row r="134" spans="1:175" ht="16.5">
      <c r="A134" s="87"/>
      <c r="B134" s="66"/>
      <c r="C134" s="87"/>
      <c r="T134" s="106"/>
      <c r="U134" s="32"/>
      <c r="CN134" s="7" t="str">
        <f t="shared" si="1780"/>
        <v>InitUnitState('',,,,,,,,,,)</v>
      </c>
      <c r="CO134" s="7" t="str">
        <f t="shared" si="1781"/>
        <v>InitUnitNormal('',,,,,,,,,,)</v>
      </c>
      <c r="CP134" s="7" t="str">
        <f t="shared" si="1782"/>
        <v>InitUnitMagic('',,,,,,,,,,)</v>
      </c>
      <c r="CQ134" s="7" t="str">
        <f t="shared" si="1783"/>
        <v>InitUnitAdd('',,,,,,,,,,)</v>
      </c>
      <c r="CR134" s="7" t="str">
        <f t="shared" si="1784"/>
        <v>InitEquipData('',,"",,,,,'','','','','','',"")</v>
      </c>
      <c r="CU134" s="45" t="str">
        <f t="shared" si="1785"/>
        <v>|n</v>
      </c>
      <c r="CW134" s="24"/>
      <c r="CX134" s="24"/>
      <c r="CY134" s="24"/>
      <c r="CZ134" s="24"/>
      <c r="DA134" s="24"/>
      <c r="DB134" s="30" t="str">
        <f t="shared" si="1786"/>
        <v/>
      </c>
      <c r="DC134" s="30" t="str">
        <f t="shared" si="1787"/>
        <v/>
      </c>
      <c r="DD134" s="30" t="str">
        <f t="shared" si="1788"/>
        <v/>
      </c>
      <c r="DE134" s="30" t="str">
        <f t="shared" si="1789"/>
        <v/>
      </c>
      <c r="DF134" s="30" t="str">
        <f t="shared" si="1790"/>
        <v/>
      </c>
      <c r="DG134" s="30" t="str">
        <f t="shared" si="1791"/>
        <v/>
      </c>
      <c r="DH134" s="30" t="str">
        <f t="shared" si="1792"/>
        <v/>
      </c>
      <c r="DI134" s="30" t="str">
        <f t="shared" si="1793"/>
        <v/>
      </c>
      <c r="DJ134" s="30" t="str">
        <f t="shared" si="1794"/>
        <v/>
      </c>
      <c r="DK134" s="30" t="str">
        <f t="shared" si="1795"/>
        <v/>
      </c>
      <c r="DL134" s="30" t="str">
        <f t="shared" si="1796"/>
        <v/>
      </c>
      <c r="DM134" s="30" t="str">
        <f t="shared" si="1797"/>
        <v/>
      </c>
      <c r="DN134" s="30" t="str">
        <f t="shared" si="1798"/>
        <v/>
      </c>
      <c r="DO134" s="30" t="str">
        <f t="shared" si="1799"/>
        <v/>
      </c>
      <c r="DP134" s="30" t="str">
        <f t="shared" si="1800"/>
        <v/>
      </c>
      <c r="DQ134" s="30" t="str">
        <f t="shared" si="1801"/>
        <v/>
      </c>
      <c r="DR134" s="30" t="str">
        <f t="shared" si="1802"/>
        <v/>
      </c>
      <c r="DS134" s="30" t="str">
        <f t="shared" si="1803"/>
        <v/>
      </c>
      <c r="DT134" s="30" t="str">
        <f t="shared" si="1804"/>
        <v/>
      </c>
      <c r="DU134" s="30" t="str">
        <f t="shared" si="1805"/>
        <v/>
      </c>
      <c r="DV134" s="30" t="str">
        <f t="shared" si="1806"/>
        <v/>
      </c>
      <c r="DW134" s="30" t="str">
        <f t="shared" si="1807"/>
        <v/>
      </c>
      <c r="DX134" s="30" t="str">
        <f t="shared" si="1808"/>
        <v/>
      </c>
      <c r="DY134" s="30" t="str">
        <f t="shared" si="1809"/>
        <v/>
      </c>
      <c r="DZ134" s="30" t="str">
        <f t="shared" si="1810"/>
        <v/>
      </c>
      <c r="EA134" s="30" t="str">
        <f t="shared" si="1811"/>
        <v/>
      </c>
      <c r="EB134" s="30" t="str">
        <f t="shared" si="1812"/>
        <v/>
      </c>
      <c r="EC134" s="30" t="str">
        <f t="shared" si="1813"/>
        <v/>
      </c>
      <c r="ED134" s="30" t="str">
        <f t="shared" si="1814"/>
        <v/>
      </c>
      <c r="EE134" s="30" t="str">
        <f t="shared" si="1815"/>
        <v/>
      </c>
      <c r="EF134" s="30" t="str">
        <f t="shared" si="1816"/>
        <v/>
      </c>
      <c r="EG134" s="30" t="str">
        <f t="shared" si="1817"/>
        <v/>
      </c>
      <c r="EH134" s="30" t="str">
        <f t="shared" si="1818"/>
        <v/>
      </c>
      <c r="EI134" s="30" t="str">
        <f t="shared" si="1819"/>
        <v/>
      </c>
      <c r="EJ134" s="30" t="str">
        <f t="shared" si="1820"/>
        <v/>
      </c>
      <c r="EK134" s="30" t="str">
        <f t="shared" si="1821"/>
        <v/>
      </c>
      <c r="EL134" s="30" t="str">
        <f t="shared" si="1822"/>
        <v/>
      </c>
      <c r="EM134" s="30" t="str">
        <f t="shared" si="1823"/>
        <v/>
      </c>
      <c r="EN134" s="30" t="str">
        <f t="shared" si="1824"/>
        <v/>
      </c>
      <c r="EO134" s="30" t="str">
        <f t="shared" si="1825"/>
        <v/>
      </c>
      <c r="EP134" s="30" t="str">
        <f t="shared" si="1826"/>
        <v/>
      </c>
      <c r="EQ134" s="30" t="str">
        <f t="shared" si="1827"/>
        <v/>
      </c>
      <c r="ER134" s="30" t="str">
        <f t="shared" si="1828"/>
        <v/>
      </c>
      <c r="ES134" s="30" t="str">
        <f t="shared" si="1829"/>
        <v/>
      </c>
      <c r="ET134" s="30" t="str">
        <f t="shared" si="1830"/>
        <v/>
      </c>
      <c r="EU134" s="30" t="str">
        <f t="shared" si="1831"/>
        <v/>
      </c>
      <c r="EV134" s="30" t="str">
        <f t="shared" si="1832"/>
        <v/>
      </c>
      <c r="EW134" s="30" t="str">
        <f t="shared" si="1833"/>
        <v/>
      </c>
      <c r="EX134" s="30" t="str">
        <f t="shared" si="1834"/>
        <v/>
      </c>
      <c r="EY134" s="30" t="str">
        <f t="shared" si="1835"/>
        <v/>
      </c>
      <c r="EZ134" s="30" t="str">
        <f t="shared" si="1836"/>
        <v/>
      </c>
      <c r="FA134" s="30" t="str">
        <f t="shared" si="1837"/>
        <v/>
      </c>
      <c r="FB134" s="30" t="str">
        <f t="shared" si="1838"/>
        <v/>
      </c>
      <c r="FC134" s="30" t="str">
        <f t="shared" si="1839"/>
        <v/>
      </c>
      <c r="FD134" s="30" t="str">
        <f t="shared" si="1840"/>
        <v/>
      </c>
      <c r="FE134" s="30" t="str">
        <f t="shared" si="1841"/>
        <v/>
      </c>
      <c r="FF134" s="30" t="str">
        <f t="shared" si="1842"/>
        <v/>
      </c>
      <c r="FG134" s="30" t="str">
        <f t="shared" si="1843"/>
        <v/>
      </c>
      <c r="FH134" s="30" t="str">
        <f t="shared" si="1844"/>
        <v/>
      </c>
      <c r="FI134" s="30" t="str">
        <f t="shared" si="1845"/>
        <v/>
      </c>
      <c r="FJ134" s="30" t="str">
        <f t="shared" si="1846"/>
        <v/>
      </c>
      <c r="FK134" s="30" t="str">
        <f t="shared" si="1847"/>
        <v/>
      </c>
      <c r="FL134" s="30" t="str">
        <f t="shared" si="1848"/>
        <v/>
      </c>
      <c r="FM134" s="30" t="str">
        <f t="shared" si="1849"/>
        <v/>
      </c>
      <c r="FN134" s="30" t="str">
        <f t="shared" si="1850"/>
        <v/>
      </c>
      <c r="FO134" s="30" t="str">
        <f t="shared" si="1851"/>
        <v/>
      </c>
      <c r="FP134" s="30" t="str">
        <f t="shared" si="1852"/>
        <v/>
      </c>
      <c r="FQ134" s="30" t="str">
        <f t="shared" si="1853"/>
        <v/>
      </c>
      <c r="FR134" s="30" t="str">
        <f t="shared" si="1854"/>
        <v/>
      </c>
      <c r="FS134" s="30" t="str">
        <f t="shared" si="1855"/>
        <v/>
      </c>
    </row>
    <row r="135" spans="1:175" ht="16.5">
      <c r="A135" s="88"/>
      <c r="B135" s="66"/>
      <c r="C135" s="88"/>
      <c r="T135" s="108"/>
      <c r="U135" s="32"/>
      <c r="CN135" s="7" t="str">
        <f t="shared" si="1780"/>
        <v>InitUnitState('',,,,,,,,,,)</v>
      </c>
      <c r="CO135" s="7" t="str">
        <f t="shared" si="1781"/>
        <v>InitUnitNormal('',,,,,,,,,,)</v>
      </c>
      <c r="CP135" s="7" t="str">
        <f t="shared" si="1782"/>
        <v>InitUnitMagic('',,,,,,,,,,)</v>
      </c>
      <c r="CQ135" s="7" t="str">
        <f t="shared" si="1783"/>
        <v>InitUnitAdd('',,,,,,,,,,)</v>
      </c>
      <c r="CR135" s="7" t="str">
        <f t="shared" si="1784"/>
        <v>InitEquipData('',,"",,,,,'','','','','','',"")</v>
      </c>
      <c r="CU135" s="45" t="str">
        <f t="shared" si="1785"/>
        <v>|n</v>
      </c>
      <c r="CW135" s="24"/>
      <c r="CX135" s="24"/>
      <c r="CY135" s="24"/>
      <c r="CZ135" s="24"/>
      <c r="DA135" s="24"/>
      <c r="DB135" s="30" t="str">
        <f t="shared" si="1786"/>
        <v/>
      </c>
      <c r="DC135" s="30" t="str">
        <f t="shared" si="1787"/>
        <v/>
      </c>
      <c r="DD135" s="30" t="str">
        <f t="shared" si="1788"/>
        <v/>
      </c>
      <c r="DE135" s="30" t="str">
        <f t="shared" si="1789"/>
        <v/>
      </c>
      <c r="DF135" s="30" t="str">
        <f t="shared" si="1790"/>
        <v/>
      </c>
      <c r="DG135" s="30" t="str">
        <f t="shared" si="1791"/>
        <v/>
      </c>
      <c r="DH135" s="30" t="str">
        <f t="shared" si="1792"/>
        <v/>
      </c>
      <c r="DI135" s="30" t="str">
        <f t="shared" si="1793"/>
        <v/>
      </c>
      <c r="DJ135" s="30" t="str">
        <f t="shared" si="1794"/>
        <v/>
      </c>
      <c r="DK135" s="30" t="str">
        <f t="shared" si="1795"/>
        <v/>
      </c>
      <c r="DL135" s="30" t="str">
        <f t="shared" si="1796"/>
        <v/>
      </c>
      <c r="DM135" s="30" t="str">
        <f t="shared" si="1797"/>
        <v/>
      </c>
      <c r="DN135" s="30" t="str">
        <f t="shared" si="1798"/>
        <v/>
      </c>
      <c r="DO135" s="30" t="str">
        <f t="shared" si="1799"/>
        <v/>
      </c>
      <c r="DP135" s="30" t="str">
        <f t="shared" si="1800"/>
        <v/>
      </c>
      <c r="DQ135" s="30" t="str">
        <f t="shared" si="1801"/>
        <v/>
      </c>
      <c r="DR135" s="30" t="str">
        <f t="shared" si="1802"/>
        <v/>
      </c>
      <c r="DS135" s="30" t="str">
        <f t="shared" si="1803"/>
        <v/>
      </c>
      <c r="DT135" s="30" t="str">
        <f t="shared" si="1804"/>
        <v/>
      </c>
      <c r="DU135" s="30" t="str">
        <f t="shared" si="1805"/>
        <v/>
      </c>
      <c r="DV135" s="30" t="str">
        <f t="shared" si="1806"/>
        <v/>
      </c>
      <c r="DW135" s="30" t="str">
        <f t="shared" si="1807"/>
        <v/>
      </c>
      <c r="DX135" s="30" t="str">
        <f t="shared" si="1808"/>
        <v/>
      </c>
      <c r="DY135" s="30" t="str">
        <f t="shared" si="1809"/>
        <v/>
      </c>
      <c r="DZ135" s="30" t="str">
        <f t="shared" si="1810"/>
        <v/>
      </c>
      <c r="EA135" s="30" t="str">
        <f t="shared" si="1811"/>
        <v/>
      </c>
      <c r="EB135" s="30" t="str">
        <f t="shared" si="1812"/>
        <v/>
      </c>
      <c r="EC135" s="30" t="str">
        <f t="shared" si="1813"/>
        <v/>
      </c>
      <c r="ED135" s="30" t="str">
        <f t="shared" si="1814"/>
        <v/>
      </c>
      <c r="EE135" s="30" t="str">
        <f t="shared" si="1815"/>
        <v/>
      </c>
      <c r="EF135" s="30" t="str">
        <f t="shared" si="1816"/>
        <v/>
      </c>
      <c r="EG135" s="30" t="str">
        <f t="shared" si="1817"/>
        <v/>
      </c>
      <c r="EH135" s="30" t="str">
        <f t="shared" si="1818"/>
        <v/>
      </c>
      <c r="EI135" s="30" t="str">
        <f t="shared" si="1819"/>
        <v/>
      </c>
      <c r="EJ135" s="30" t="str">
        <f t="shared" si="1820"/>
        <v/>
      </c>
      <c r="EK135" s="30" t="str">
        <f t="shared" si="1821"/>
        <v/>
      </c>
      <c r="EL135" s="30" t="str">
        <f t="shared" si="1822"/>
        <v/>
      </c>
      <c r="EM135" s="30" t="str">
        <f t="shared" si="1823"/>
        <v/>
      </c>
      <c r="EN135" s="30" t="str">
        <f t="shared" si="1824"/>
        <v/>
      </c>
      <c r="EO135" s="30" t="str">
        <f t="shared" si="1825"/>
        <v/>
      </c>
      <c r="EP135" s="30" t="str">
        <f t="shared" si="1826"/>
        <v/>
      </c>
      <c r="EQ135" s="30" t="str">
        <f t="shared" si="1827"/>
        <v/>
      </c>
      <c r="ER135" s="30" t="str">
        <f t="shared" si="1828"/>
        <v/>
      </c>
      <c r="ES135" s="30" t="str">
        <f t="shared" si="1829"/>
        <v/>
      </c>
      <c r="ET135" s="30" t="str">
        <f t="shared" si="1830"/>
        <v/>
      </c>
      <c r="EU135" s="30" t="str">
        <f t="shared" si="1831"/>
        <v/>
      </c>
      <c r="EV135" s="30" t="str">
        <f t="shared" si="1832"/>
        <v/>
      </c>
      <c r="EW135" s="30" t="str">
        <f t="shared" si="1833"/>
        <v/>
      </c>
      <c r="EX135" s="30" t="str">
        <f t="shared" si="1834"/>
        <v/>
      </c>
      <c r="EY135" s="30" t="str">
        <f t="shared" si="1835"/>
        <v/>
      </c>
      <c r="EZ135" s="30" t="str">
        <f t="shared" si="1836"/>
        <v/>
      </c>
      <c r="FA135" s="30" t="str">
        <f t="shared" si="1837"/>
        <v/>
      </c>
      <c r="FB135" s="30" t="str">
        <f t="shared" si="1838"/>
        <v/>
      </c>
      <c r="FC135" s="30" t="str">
        <f t="shared" si="1839"/>
        <v/>
      </c>
      <c r="FD135" s="30" t="str">
        <f t="shared" si="1840"/>
        <v/>
      </c>
      <c r="FE135" s="30" t="str">
        <f t="shared" si="1841"/>
        <v/>
      </c>
      <c r="FF135" s="30" t="str">
        <f t="shared" si="1842"/>
        <v/>
      </c>
      <c r="FG135" s="30" t="str">
        <f t="shared" si="1843"/>
        <v/>
      </c>
      <c r="FH135" s="30" t="str">
        <f t="shared" si="1844"/>
        <v/>
      </c>
      <c r="FI135" s="30" t="str">
        <f t="shared" si="1845"/>
        <v/>
      </c>
      <c r="FJ135" s="30" t="str">
        <f t="shared" si="1846"/>
        <v/>
      </c>
      <c r="FK135" s="30" t="str">
        <f t="shared" si="1847"/>
        <v/>
      </c>
      <c r="FL135" s="30" t="str">
        <f t="shared" si="1848"/>
        <v/>
      </c>
      <c r="FM135" s="30" t="str">
        <f t="shared" si="1849"/>
        <v/>
      </c>
      <c r="FN135" s="30" t="str">
        <f t="shared" si="1850"/>
        <v/>
      </c>
      <c r="FO135" s="30" t="str">
        <f t="shared" si="1851"/>
        <v/>
      </c>
      <c r="FP135" s="30" t="str">
        <f t="shared" si="1852"/>
        <v/>
      </c>
      <c r="FQ135" s="30" t="str">
        <f t="shared" si="1853"/>
        <v/>
      </c>
      <c r="FR135" s="30" t="str">
        <f t="shared" si="1854"/>
        <v/>
      </c>
      <c r="FS135" s="30" t="str">
        <f t="shared" si="1855"/>
        <v/>
      </c>
    </row>
    <row r="136" spans="1:175" ht="16.5">
      <c r="A136" s="88"/>
      <c r="B136" s="66"/>
      <c r="C136" s="88"/>
      <c r="T136" s="108"/>
      <c r="U136" s="32"/>
      <c r="CN136" s="7" t="str">
        <f t="shared" si="1780"/>
        <v>InitUnitState('',,,,,,,,,,)</v>
      </c>
      <c r="CO136" s="7" t="str">
        <f t="shared" si="1781"/>
        <v>InitUnitNormal('',,,,,,,,,,)</v>
      </c>
      <c r="CP136" s="7" t="str">
        <f t="shared" si="1782"/>
        <v>InitUnitMagic('',,,,,,,,,,)</v>
      </c>
      <c r="CQ136" s="7" t="str">
        <f t="shared" si="1783"/>
        <v>InitUnitAdd('',,,,,,,,,,)</v>
      </c>
      <c r="CR136" s="7" t="str">
        <f t="shared" si="1784"/>
        <v>InitEquipData('',,"",,,,,'','','','','','',"")</v>
      </c>
      <c r="CU136" s="45" t="str">
        <f t="shared" si="1785"/>
        <v>|n</v>
      </c>
      <c r="CW136" s="24"/>
      <c r="CX136" s="24"/>
      <c r="CY136" s="24"/>
      <c r="CZ136" s="24"/>
      <c r="DA136" s="24"/>
      <c r="DB136" s="30" t="str">
        <f t="shared" si="1786"/>
        <v/>
      </c>
      <c r="DC136" s="30" t="str">
        <f t="shared" si="1787"/>
        <v/>
      </c>
      <c r="DD136" s="30" t="str">
        <f t="shared" si="1788"/>
        <v/>
      </c>
      <c r="DE136" s="30" t="str">
        <f t="shared" si="1789"/>
        <v/>
      </c>
      <c r="DF136" s="30" t="str">
        <f t="shared" si="1790"/>
        <v/>
      </c>
      <c r="DG136" s="30" t="str">
        <f t="shared" si="1791"/>
        <v/>
      </c>
      <c r="DH136" s="30" t="str">
        <f t="shared" si="1792"/>
        <v/>
      </c>
      <c r="DI136" s="30" t="str">
        <f t="shared" si="1793"/>
        <v/>
      </c>
      <c r="DJ136" s="30" t="str">
        <f t="shared" si="1794"/>
        <v/>
      </c>
      <c r="DK136" s="30" t="str">
        <f t="shared" si="1795"/>
        <v/>
      </c>
      <c r="DL136" s="30" t="str">
        <f t="shared" si="1796"/>
        <v/>
      </c>
      <c r="DM136" s="30" t="str">
        <f t="shared" si="1797"/>
        <v/>
      </c>
      <c r="DN136" s="30" t="str">
        <f t="shared" si="1798"/>
        <v/>
      </c>
      <c r="DO136" s="30" t="str">
        <f t="shared" si="1799"/>
        <v/>
      </c>
      <c r="DP136" s="30" t="str">
        <f t="shared" si="1800"/>
        <v/>
      </c>
      <c r="DQ136" s="30" t="str">
        <f t="shared" si="1801"/>
        <v/>
      </c>
      <c r="DR136" s="30" t="str">
        <f t="shared" si="1802"/>
        <v/>
      </c>
      <c r="DS136" s="30" t="str">
        <f t="shared" si="1803"/>
        <v/>
      </c>
      <c r="DT136" s="30" t="str">
        <f t="shared" si="1804"/>
        <v/>
      </c>
      <c r="DU136" s="30" t="str">
        <f t="shared" si="1805"/>
        <v/>
      </c>
      <c r="DV136" s="30" t="str">
        <f t="shared" si="1806"/>
        <v/>
      </c>
      <c r="DW136" s="30" t="str">
        <f t="shared" si="1807"/>
        <v/>
      </c>
      <c r="DX136" s="30" t="str">
        <f t="shared" si="1808"/>
        <v/>
      </c>
      <c r="DY136" s="30" t="str">
        <f t="shared" si="1809"/>
        <v/>
      </c>
      <c r="DZ136" s="30" t="str">
        <f t="shared" si="1810"/>
        <v/>
      </c>
      <c r="EA136" s="30" t="str">
        <f t="shared" si="1811"/>
        <v/>
      </c>
      <c r="EB136" s="30" t="str">
        <f t="shared" si="1812"/>
        <v/>
      </c>
      <c r="EC136" s="30" t="str">
        <f t="shared" si="1813"/>
        <v/>
      </c>
      <c r="ED136" s="30" t="str">
        <f t="shared" si="1814"/>
        <v/>
      </c>
      <c r="EE136" s="30" t="str">
        <f t="shared" si="1815"/>
        <v/>
      </c>
      <c r="EF136" s="30" t="str">
        <f t="shared" si="1816"/>
        <v/>
      </c>
      <c r="EG136" s="30" t="str">
        <f t="shared" si="1817"/>
        <v/>
      </c>
      <c r="EH136" s="30" t="str">
        <f t="shared" si="1818"/>
        <v/>
      </c>
      <c r="EI136" s="30" t="str">
        <f t="shared" si="1819"/>
        <v/>
      </c>
      <c r="EJ136" s="30" t="str">
        <f t="shared" si="1820"/>
        <v/>
      </c>
      <c r="EK136" s="30" t="str">
        <f t="shared" si="1821"/>
        <v/>
      </c>
      <c r="EL136" s="30" t="str">
        <f t="shared" si="1822"/>
        <v/>
      </c>
      <c r="EM136" s="30" t="str">
        <f t="shared" si="1823"/>
        <v/>
      </c>
      <c r="EN136" s="30" t="str">
        <f t="shared" si="1824"/>
        <v/>
      </c>
      <c r="EO136" s="30" t="str">
        <f t="shared" si="1825"/>
        <v/>
      </c>
      <c r="EP136" s="30" t="str">
        <f t="shared" si="1826"/>
        <v/>
      </c>
      <c r="EQ136" s="30" t="str">
        <f t="shared" si="1827"/>
        <v/>
      </c>
      <c r="ER136" s="30" t="str">
        <f t="shared" si="1828"/>
        <v/>
      </c>
      <c r="ES136" s="30" t="str">
        <f t="shared" si="1829"/>
        <v/>
      </c>
      <c r="ET136" s="30" t="str">
        <f t="shared" si="1830"/>
        <v/>
      </c>
      <c r="EU136" s="30" t="str">
        <f t="shared" si="1831"/>
        <v/>
      </c>
      <c r="EV136" s="30" t="str">
        <f t="shared" si="1832"/>
        <v/>
      </c>
      <c r="EW136" s="30" t="str">
        <f t="shared" si="1833"/>
        <v/>
      </c>
      <c r="EX136" s="30" t="str">
        <f t="shared" si="1834"/>
        <v/>
      </c>
      <c r="EY136" s="30" t="str">
        <f t="shared" si="1835"/>
        <v/>
      </c>
      <c r="EZ136" s="30" t="str">
        <f t="shared" si="1836"/>
        <v/>
      </c>
      <c r="FA136" s="30" t="str">
        <f t="shared" si="1837"/>
        <v/>
      </c>
      <c r="FB136" s="30" t="str">
        <f t="shared" si="1838"/>
        <v/>
      </c>
      <c r="FC136" s="30" t="str">
        <f t="shared" si="1839"/>
        <v/>
      </c>
      <c r="FD136" s="30" t="str">
        <f t="shared" si="1840"/>
        <v/>
      </c>
      <c r="FE136" s="30" t="str">
        <f t="shared" si="1841"/>
        <v/>
      </c>
      <c r="FF136" s="30" t="str">
        <f t="shared" si="1842"/>
        <v/>
      </c>
      <c r="FG136" s="30" t="str">
        <f t="shared" si="1843"/>
        <v/>
      </c>
      <c r="FH136" s="30" t="str">
        <f t="shared" si="1844"/>
        <v/>
      </c>
      <c r="FI136" s="30" t="str">
        <f t="shared" si="1845"/>
        <v/>
      </c>
      <c r="FJ136" s="30" t="str">
        <f t="shared" si="1846"/>
        <v/>
      </c>
      <c r="FK136" s="30" t="str">
        <f t="shared" si="1847"/>
        <v/>
      </c>
      <c r="FL136" s="30" t="str">
        <f t="shared" si="1848"/>
        <v/>
      </c>
      <c r="FM136" s="30" t="str">
        <f t="shared" si="1849"/>
        <v/>
      </c>
      <c r="FN136" s="30" t="str">
        <f t="shared" si="1850"/>
        <v/>
      </c>
      <c r="FO136" s="30" t="str">
        <f t="shared" si="1851"/>
        <v/>
      </c>
      <c r="FP136" s="30" t="str">
        <f t="shared" si="1852"/>
        <v/>
      </c>
      <c r="FQ136" s="30" t="str">
        <f t="shared" si="1853"/>
        <v/>
      </c>
      <c r="FR136" s="30" t="str">
        <f t="shared" si="1854"/>
        <v/>
      </c>
      <c r="FS136" s="30" t="str">
        <f t="shared" si="1855"/>
        <v/>
      </c>
    </row>
    <row r="137" spans="1:175" ht="16.5">
      <c r="A137" s="88"/>
      <c r="B137" s="66"/>
      <c r="C137" s="88"/>
      <c r="T137" s="108"/>
      <c r="U137" s="32"/>
      <c r="CN137" s="7" t="str">
        <f t="shared" si="1780"/>
        <v>InitUnitState('',,,,,,,,,,)</v>
      </c>
      <c r="CO137" s="7" t="str">
        <f t="shared" si="1781"/>
        <v>InitUnitNormal('',,,,,,,,,,)</v>
      </c>
      <c r="CP137" s="7" t="str">
        <f t="shared" si="1782"/>
        <v>InitUnitMagic('',,,,,,,,,,)</v>
      </c>
      <c r="CQ137" s="7" t="str">
        <f t="shared" si="1783"/>
        <v>InitUnitAdd('',,,,,,,,,,)</v>
      </c>
      <c r="CR137" s="7" t="str">
        <f t="shared" si="1784"/>
        <v>InitEquipData('',,"",,,,,'','','','','','',"")</v>
      </c>
      <c r="CU137" s="45" t="str">
        <f t="shared" si="1785"/>
        <v>|n</v>
      </c>
      <c r="CW137" s="24"/>
      <c r="CX137" s="24"/>
      <c r="CY137" s="24"/>
      <c r="CZ137" s="24"/>
      <c r="DA137" s="24"/>
      <c r="DB137" s="30" t="str">
        <f t="shared" si="1786"/>
        <v/>
      </c>
      <c r="DC137" s="30" t="str">
        <f t="shared" si="1787"/>
        <v/>
      </c>
      <c r="DD137" s="30" t="str">
        <f t="shared" si="1788"/>
        <v/>
      </c>
      <c r="DE137" s="30" t="str">
        <f t="shared" si="1789"/>
        <v/>
      </c>
      <c r="DF137" s="30" t="str">
        <f t="shared" si="1790"/>
        <v/>
      </c>
      <c r="DG137" s="30" t="str">
        <f t="shared" si="1791"/>
        <v/>
      </c>
      <c r="DH137" s="30" t="str">
        <f t="shared" si="1792"/>
        <v/>
      </c>
      <c r="DI137" s="30" t="str">
        <f t="shared" si="1793"/>
        <v/>
      </c>
      <c r="DJ137" s="30" t="str">
        <f t="shared" si="1794"/>
        <v/>
      </c>
      <c r="DK137" s="30" t="str">
        <f t="shared" si="1795"/>
        <v/>
      </c>
      <c r="DL137" s="30" t="str">
        <f t="shared" si="1796"/>
        <v/>
      </c>
      <c r="DM137" s="30" t="str">
        <f t="shared" si="1797"/>
        <v/>
      </c>
      <c r="DN137" s="30" t="str">
        <f t="shared" si="1798"/>
        <v/>
      </c>
      <c r="DO137" s="30" t="str">
        <f t="shared" si="1799"/>
        <v/>
      </c>
      <c r="DP137" s="30" t="str">
        <f t="shared" si="1800"/>
        <v/>
      </c>
      <c r="DQ137" s="30" t="str">
        <f t="shared" si="1801"/>
        <v/>
      </c>
      <c r="DR137" s="30" t="str">
        <f t="shared" si="1802"/>
        <v/>
      </c>
      <c r="DS137" s="30" t="str">
        <f t="shared" si="1803"/>
        <v/>
      </c>
      <c r="DT137" s="30" t="str">
        <f t="shared" si="1804"/>
        <v/>
      </c>
      <c r="DU137" s="30" t="str">
        <f t="shared" si="1805"/>
        <v/>
      </c>
      <c r="DV137" s="30" t="str">
        <f t="shared" si="1806"/>
        <v/>
      </c>
      <c r="DW137" s="30" t="str">
        <f t="shared" si="1807"/>
        <v/>
      </c>
      <c r="DX137" s="30" t="str">
        <f t="shared" si="1808"/>
        <v/>
      </c>
      <c r="DY137" s="30" t="str">
        <f t="shared" si="1809"/>
        <v/>
      </c>
      <c r="DZ137" s="30" t="str">
        <f t="shared" si="1810"/>
        <v/>
      </c>
      <c r="EA137" s="30" t="str">
        <f t="shared" si="1811"/>
        <v/>
      </c>
      <c r="EB137" s="30" t="str">
        <f t="shared" si="1812"/>
        <v/>
      </c>
      <c r="EC137" s="30" t="str">
        <f t="shared" si="1813"/>
        <v/>
      </c>
      <c r="ED137" s="30" t="str">
        <f t="shared" si="1814"/>
        <v/>
      </c>
      <c r="EE137" s="30" t="str">
        <f t="shared" si="1815"/>
        <v/>
      </c>
      <c r="EF137" s="30" t="str">
        <f t="shared" si="1816"/>
        <v/>
      </c>
      <c r="EG137" s="30" t="str">
        <f t="shared" si="1817"/>
        <v/>
      </c>
      <c r="EH137" s="30" t="str">
        <f t="shared" si="1818"/>
        <v/>
      </c>
      <c r="EI137" s="30" t="str">
        <f t="shared" si="1819"/>
        <v/>
      </c>
      <c r="EJ137" s="30" t="str">
        <f t="shared" si="1820"/>
        <v/>
      </c>
      <c r="EK137" s="30" t="str">
        <f t="shared" si="1821"/>
        <v/>
      </c>
      <c r="EL137" s="30" t="str">
        <f t="shared" si="1822"/>
        <v/>
      </c>
      <c r="EM137" s="30" t="str">
        <f t="shared" si="1823"/>
        <v/>
      </c>
      <c r="EN137" s="30" t="str">
        <f t="shared" si="1824"/>
        <v/>
      </c>
      <c r="EO137" s="30" t="str">
        <f t="shared" si="1825"/>
        <v/>
      </c>
      <c r="EP137" s="30" t="str">
        <f t="shared" si="1826"/>
        <v/>
      </c>
      <c r="EQ137" s="30" t="str">
        <f t="shared" si="1827"/>
        <v/>
      </c>
      <c r="ER137" s="30" t="str">
        <f t="shared" si="1828"/>
        <v/>
      </c>
      <c r="ES137" s="30" t="str">
        <f t="shared" si="1829"/>
        <v/>
      </c>
      <c r="ET137" s="30" t="str">
        <f t="shared" si="1830"/>
        <v/>
      </c>
      <c r="EU137" s="30" t="str">
        <f t="shared" si="1831"/>
        <v/>
      </c>
      <c r="EV137" s="30" t="str">
        <f t="shared" si="1832"/>
        <v/>
      </c>
      <c r="EW137" s="30" t="str">
        <f t="shared" si="1833"/>
        <v/>
      </c>
      <c r="EX137" s="30" t="str">
        <f t="shared" si="1834"/>
        <v/>
      </c>
      <c r="EY137" s="30" t="str">
        <f t="shared" si="1835"/>
        <v/>
      </c>
      <c r="EZ137" s="30" t="str">
        <f t="shared" si="1836"/>
        <v/>
      </c>
      <c r="FA137" s="30" t="str">
        <f t="shared" si="1837"/>
        <v/>
      </c>
      <c r="FB137" s="30" t="str">
        <f t="shared" si="1838"/>
        <v/>
      </c>
      <c r="FC137" s="30" t="str">
        <f t="shared" si="1839"/>
        <v/>
      </c>
      <c r="FD137" s="30" t="str">
        <f t="shared" si="1840"/>
        <v/>
      </c>
      <c r="FE137" s="30" t="str">
        <f t="shared" si="1841"/>
        <v/>
      </c>
      <c r="FF137" s="30" t="str">
        <f t="shared" si="1842"/>
        <v/>
      </c>
      <c r="FG137" s="30" t="str">
        <f t="shared" si="1843"/>
        <v/>
      </c>
      <c r="FH137" s="30" t="str">
        <f t="shared" si="1844"/>
        <v/>
      </c>
      <c r="FI137" s="30" t="str">
        <f t="shared" si="1845"/>
        <v/>
      </c>
      <c r="FJ137" s="30" t="str">
        <f t="shared" si="1846"/>
        <v/>
      </c>
      <c r="FK137" s="30" t="str">
        <f t="shared" si="1847"/>
        <v/>
      </c>
      <c r="FL137" s="30" t="str">
        <f t="shared" si="1848"/>
        <v/>
      </c>
      <c r="FM137" s="30" t="str">
        <f t="shared" si="1849"/>
        <v/>
      </c>
      <c r="FN137" s="30" t="str">
        <f t="shared" si="1850"/>
        <v/>
      </c>
      <c r="FO137" s="30" t="str">
        <f t="shared" si="1851"/>
        <v/>
      </c>
      <c r="FP137" s="30" t="str">
        <f t="shared" si="1852"/>
        <v/>
      </c>
      <c r="FQ137" s="30" t="str">
        <f t="shared" si="1853"/>
        <v/>
      </c>
      <c r="FR137" s="30" t="str">
        <f t="shared" si="1854"/>
        <v/>
      </c>
      <c r="FS137" s="30" t="str">
        <f t="shared" si="1855"/>
        <v/>
      </c>
    </row>
    <row r="138" spans="1:175" ht="16.5">
      <c r="A138" s="88"/>
      <c r="B138" s="66"/>
      <c r="C138" s="88"/>
      <c r="T138" s="108"/>
      <c r="U138" s="32"/>
      <c r="CN138" s="7" t="str">
        <f t="shared" si="1780"/>
        <v>InitUnitState('',,,,,,,,,,)</v>
      </c>
      <c r="CO138" s="7" t="str">
        <f t="shared" si="1781"/>
        <v>InitUnitNormal('',,,,,,,,,,)</v>
      </c>
      <c r="CP138" s="7" t="str">
        <f t="shared" si="1782"/>
        <v>InitUnitMagic('',,,,,,,,,,)</v>
      </c>
      <c r="CQ138" s="7" t="str">
        <f t="shared" si="1783"/>
        <v>InitUnitAdd('',,,,,,,,,,)</v>
      </c>
      <c r="CR138" s="7" t="str">
        <f t="shared" si="1784"/>
        <v>InitEquipData('',,"",,,,,'','','','','','',"")</v>
      </c>
      <c r="CU138" s="45" t="str">
        <f t="shared" si="1785"/>
        <v>|n</v>
      </c>
      <c r="CW138" s="24"/>
      <c r="CX138" s="24"/>
      <c r="CY138" s="24"/>
      <c r="CZ138" s="24"/>
      <c r="DA138" s="24"/>
      <c r="DB138" s="30" t="str">
        <f t="shared" si="1786"/>
        <v/>
      </c>
      <c r="DC138" s="30" t="str">
        <f t="shared" si="1787"/>
        <v/>
      </c>
      <c r="DD138" s="30" t="str">
        <f t="shared" si="1788"/>
        <v/>
      </c>
      <c r="DE138" s="30" t="str">
        <f t="shared" si="1789"/>
        <v/>
      </c>
      <c r="DF138" s="30" t="str">
        <f t="shared" si="1790"/>
        <v/>
      </c>
      <c r="DG138" s="30" t="str">
        <f t="shared" si="1791"/>
        <v/>
      </c>
      <c r="DH138" s="30" t="str">
        <f t="shared" si="1792"/>
        <v/>
      </c>
      <c r="DI138" s="30" t="str">
        <f t="shared" si="1793"/>
        <v/>
      </c>
      <c r="DJ138" s="30" t="str">
        <f t="shared" si="1794"/>
        <v/>
      </c>
      <c r="DK138" s="30" t="str">
        <f t="shared" si="1795"/>
        <v/>
      </c>
      <c r="DL138" s="30" t="str">
        <f t="shared" si="1796"/>
        <v/>
      </c>
      <c r="DM138" s="30" t="str">
        <f t="shared" si="1797"/>
        <v/>
      </c>
      <c r="DN138" s="30" t="str">
        <f t="shared" si="1798"/>
        <v/>
      </c>
      <c r="DO138" s="30" t="str">
        <f t="shared" si="1799"/>
        <v/>
      </c>
      <c r="DP138" s="30" t="str">
        <f t="shared" si="1800"/>
        <v/>
      </c>
      <c r="DQ138" s="30" t="str">
        <f t="shared" si="1801"/>
        <v/>
      </c>
      <c r="DR138" s="30" t="str">
        <f t="shared" si="1802"/>
        <v/>
      </c>
      <c r="DS138" s="30" t="str">
        <f t="shared" si="1803"/>
        <v/>
      </c>
      <c r="DT138" s="30" t="str">
        <f t="shared" si="1804"/>
        <v/>
      </c>
      <c r="DU138" s="30" t="str">
        <f t="shared" si="1805"/>
        <v/>
      </c>
      <c r="DV138" s="30" t="str">
        <f t="shared" si="1806"/>
        <v/>
      </c>
      <c r="DW138" s="30" t="str">
        <f t="shared" si="1807"/>
        <v/>
      </c>
      <c r="DX138" s="30" t="str">
        <f t="shared" si="1808"/>
        <v/>
      </c>
      <c r="DY138" s="30" t="str">
        <f t="shared" si="1809"/>
        <v/>
      </c>
      <c r="DZ138" s="30" t="str">
        <f t="shared" si="1810"/>
        <v/>
      </c>
      <c r="EA138" s="30" t="str">
        <f t="shared" si="1811"/>
        <v/>
      </c>
      <c r="EB138" s="30" t="str">
        <f t="shared" si="1812"/>
        <v/>
      </c>
      <c r="EC138" s="30" t="str">
        <f t="shared" si="1813"/>
        <v/>
      </c>
      <c r="ED138" s="30" t="str">
        <f t="shared" si="1814"/>
        <v/>
      </c>
      <c r="EE138" s="30" t="str">
        <f t="shared" si="1815"/>
        <v/>
      </c>
      <c r="EF138" s="30" t="str">
        <f t="shared" si="1816"/>
        <v/>
      </c>
      <c r="EG138" s="30" t="str">
        <f t="shared" si="1817"/>
        <v/>
      </c>
      <c r="EH138" s="30" t="str">
        <f t="shared" si="1818"/>
        <v/>
      </c>
      <c r="EI138" s="30" t="str">
        <f t="shared" si="1819"/>
        <v/>
      </c>
      <c r="EJ138" s="30" t="str">
        <f t="shared" si="1820"/>
        <v/>
      </c>
      <c r="EK138" s="30" t="str">
        <f t="shared" si="1821"/>
        <v/>
      </c>
      <c r="EL138" s="30" t="str">
        <f t="shared" si="1822"/>
        <v/>
      </c>
      <c r="EM138" s="30" t="str">
        <f t="shared" si="1823"/>
        <v/>
      </c>
      <c r="EN138" s="30" t="str">
        <f t="shared" si="1824"/>
        <v/>
      </c>
      <c r="EO138" s="30" t="str">
        <f t="shared" si="1825"/>
        <v/>
      </c>
      <c r="EP138" s="30" t="str">
        <f t="shared" si="1826"/>
        <v/>
      </c>
      <c r="EQ138" s="30" t="str">
        <f t="shared" si="1827"/>
        <v/>
      </c>
      <c r="ER138" s="30" t="str">
        <f t="shared" si="1828"/>
        <v/>
      </c>
      <c r="ES138" s="30" t="str">
        <f t="shared" si="1829"/>
        <v/>
      </c>
      <c r="ET138" s="30" t="str">
        <f t="shared" si="1830"/>
        <v/>
      </c>
      <c r="EU138" s="30" t="str">
        <f t="shared" si="1831"/>
        <v/>
      </c>
      <c r="EV138" s="30" t="str">
        <f t="shared" si="1832"/>
        <v/>
      </c>
      <c r="EW138" s="30" t="str">
        <f t="shared" si="1833"/>
        <v/>
      </c>
      <c r="EX138" s="30" t="str">
        <f t="shared" si="1834"/>
        <v/>
      </c>
      <c r="EY138" s="30" t="str">
        <f t="shared" si="1835"/>
        <v/>
      </c>
      <c r="EZ138" s="30" t="str">
        <f t="shared" si="1836"/>
        <v/>
      </c>
      <c r="FA138" s="30" t="str">
        <f t="shared" si="1837"/>
        <v/>
      </c>
      <c r="FB138" s="30" t="str">
        <f t="shared" si="1838"/>
        <v/>
      </c>
      <c r="FC138" s="30" t="str">
        <f t="shared" si="1839"/>
        <v/>
      </c>
      <c r="FD138" s="30" t="str">
        <f t="shared" si="1840"/>
        <v/>
      </c>
      <c r="FE138" s="30" t="str">
        <f t="shared" si="1841"/>
        <v/>
      </c>
      <c r="FF138" s="30" t="str">
        <f t="shared" si="1842"/>
        <v/>
      </c>
      <c r="FG138" s="30" t="str">
        <f t="shared" si="1843"/>
        <v/>
      </c>
      <c r="FH138" s="30" t="str">
        <f t="shared" si="1844"/>
        <v/>
      </c>
      <c r="FI138" s="30" t="str">
        <f t="shared" si="1845"/>
        <v/>
      </c>
      <c r="FJ138" s="30" t="str">
        <f t="shared" si="1846"/>
        <v/>
      </c>
      <c r="FK138" s="30" t="str">
        <f t="shared" si="1847"/>
        <v/>
      </c>
      <c r="FL138" s="30" t="str">
        <f t="shared" si="1848"/>
        <v/>
      </c>
      <c r="FM138" s="30" t="str">
        <f t="shared" si="1849"/>
        <v/>
      </c>
      <c r="FN138" s="30" t="str">
        <f t="shared" si="1850"/>
        <v/>
      </c>
      <c r="FO138" s="30" t="str">
        <f t="shared" si="1851"/>
        <v/>
      </c>
      <c r="FP138" s="30" t="str">
        <f t="shared" si="1852"/>
        <v/>
      </c>
      <c r="FQ138" s="30" t="str">
        <f t="shared" si="1853"/>
        <v/>
      </c>
      <c r="FR138" s="30" t="str">
        <f t="shared" si="1854"/>
        <v/>
      </c>
      <c r="FS138" s="30" t="str">
        <f t="shared" si="1855"/>
        <v/>
      </c>
    </row>
    <row r="139" spans="1:175" ht="16.5">
      <c r="A139" s="88"/>
      <c r="B139" s="66"/>
      <c r="C139" s="88"/>
      <c r="T139" s="108"/>
      <c r="U139" s="32"/>
      <c r="CN139" s="7" t="str">
        <f t="shared" si="1780"/>
        <v>InitUnitState('',,,,,,,,,,)</v>
      </c>
      <c r="CO139" s="7" t="str">
        <f t="shared" si="1781"/>
        <v>InitUnitNormal('',,,,,,,,,,)</v>
      </c>
      <c r="CP139" s="7" t="str">
        <f t="shared" si="1782"/>
        <v>InitUnitMagic('',,,,,,,,,,)</v>
      </c>
      <c r="CQ139" s="7" t="str">
        <f t="shared" si="1783"/>
        <v>InitUnitAdd('',,,,,,,,,,)</v>
      </c>
      <c r="CR139" s="7" t="str">
        <f t="shared" si="1784"/>
        <v>InitEquipData('',,"",,,,,'','','','','','',"")</v>
      </c>
      <c r="CU139" s="45" t="str">
        <f t="shared" si="1785"/>
        <v>|n</v>
      </c>
      <c r="CW139" s="24"/>
      <c r="CX139" s="24"/>
      <c r="CY139" s="24"/>
      <c r="CZ139" s="24"/>
      <c r="DA139" s="24"/>
      <c r="DB139" s="30" t="str">
        <f t="shared" si="1786"/>
        <v/>
      </c>
      <c r="DC139" s="30" t="str">
        <f t="shared" si="1787"/>
        <v/>
      </c>
      <c r="DD139" s="30" t="str">
        <f t="shared" si="1788"/>
        <v/>
      </c>
      <c r="DE139" s="30" t="str">
        <f t="shared" si="1789"/>
        <v/>
      </c>
      <c r="DF139" s="30" t="str">
        <f t="shared" si="1790"/>
        <v/>
      </c>
      <c r="DG139" s="30" t="str">
        <f t="shared" si="1791"/>
        <v/>
      </c>
      <c r="DH139" s="30" t="str">
        <f t="shared" si="1792"/>
        <v/>
      </c>
      <c r="DI139" s="30" t="str">
        <f t="shared" si="1793"/>
        <v/>
      </c>
      <c r="DJ139" s="30" t="str">
        <f t="shared" si="1794"/>
        <v/>
      </c>
      <c r="DK139" s="30" t="str">
        <f t="shared" si="1795"/>
        <v/>
      </c>
      <c r="DL139" s="30" t="str">
        <f t="shared" si="1796"/>
        <v/>
      </c>
      <c r="DM139" s="30" t="str">
        <f t="shared" si="1797"/>
        <v/>
      </c>
      <c r="DN139" s="30" t="str">
        <f t="shared" si="1798"/>
        <v/>
      </c>
      <c r="DO139" s="30" t="str">
        <f t="shared" si="1799"/>
        <v/>
      </c>
      <c r="DP139" s="30" t="str">
        <f t="shared" si="1800"/>
        <v/>
      </c>
      <c r="DQ139" s="30" t="str">
        <f t="shared" si="1801"/>
        <v/>
      </c>
      <c r="DR139" s="30" t="str">
        <f t="shared" si="1802"/>
        <v/>
      </c>
      <c r="DS139" s="30" t="str">
        <f t="shared" si="1803"/>
        <v/>
      </c>
      <c r="DT139" s="30" t="str">
        <f t="shared" si="1804"/>
        <v/>
      </c>
      <c r="DU139" s="30" t="str">
        <f t="shared" si="1805"/>
        <v/>
      </c>
      <c r="DV139" s="30" t="str">
        <f t="shared" si="1806"/>
        <v/>
      </c>
      <c r="DW139" s="30" t="str">
        <f t="shared" si="1807"/>
        <v/>
      </c>
      <c r="DX139" s="30" t="str">
        <f t="shared" si="1808"/>
        <v/>
      </c>
      <c r="DY139" s="30" t="str">
        <f t="shared" si="1809"/>
        <v/>
      </c>
      <c r="DZ139" s="30" t="str">
        <f t="shared" si="1810"/>
        <v/>
      </c>
      <c r="EA139" s="30" t="str">
        <f t="shared" si="1811"/>
        <v/>
      </c>
      <c r="EB139" s="30" t="str">
        <f t="shared" si="1812"/>
        <v/>
      </c>
      <c r="EC139" s="30" t="str">
        <f t="shared" si="1813"/>
        <v/>
      </c>
      <c r="ED139" s="30" t="str">
        <f t="shared" si="1814"/>
        <v/>
      </c>
      <c r="EE139" s="30" t="str">
        <f t="shared" si="1815"/>
        <v/>
      </c>
      <c r="EF139" s="30" t="str">
        <f t="shared" si="1816"/>
        <v/>
      </c>
      <c r="EG139" s="30" t="str">
        <f t="shared" si="1817"/>
        <v/>
      </c>
      <c r="EH139" s="30" t="str">
        <f t="shared" si="1818"/>
        <v/>
      </c>
      <c r="EI139" s="30" t="str">
        <f t="shared" si="1819"/>
        <v/>
      </c>
      <c r="EJ139" s="30" t="str">
        <f t="shared" si="1820"/>
        <v/>
      </c>
      <c r="EK139" s="30" t="str">
        <f t="shared" si="1821"/>
        <v/>
      </c>
      <c r="EL139" s="30" t="str">
        <f t="shared" si="1822"/>
        <v/>
      </c>
      <c r="EM139" s="30" t="str">
        <f t="shared" si="1823"/>
        <v/>
      </c>
      <c r="EN139" s="30" t="str">
        <f t="shared" si="1824"/>
        <v/>
      </c>
      <c r="EO139" s="30" t="str">
        <f t="shared" si="1825"/>
        <v/>
      </c>
      <c r="EP139" s="30" t="str">
        <f t="shared" si="1826"/>
        <v/>
      </c>
      <c r="EQ139" s="30" t="str">
        <f t="shared" si="1827"/>
        <v/>
      </c>
      <c r="ER139" s="30" t="str">
        <f t="shared" si="1828"/>
        <v/>
      </c>
      <c r="ES139" s="30" t="str">
        <f t="shared" si="1829"/>
        <v/>
      </c>
      <c r="ET139" s="30" t="str">
        <f t="shared" si="1830"/>
        <v/>
      </c>
      <c r="EU139" s="30" t="str">
        <f t="shared" si="1831"/>
        <v/>
      </c>
      <c r="EV139" s="30" t="str">
        <f t="shared" si="1832"/>
        <v/>
      </c>
      <c r="EW139" s="30" t="str">
        <f t="shared" si="1833"/>
        <v/>
      </c>
      <c r="EX139" s="30" t="str">
        <f t="shared" si="1834"/>
        <v/>
      </c>
      <c r="EY139" s="30" t="str">
        <f t="shared" si="1835"/>
        <v/>
      </c>
      <c r="EZ139" s="30" t="str">
        <f t="shared" si="1836"/>
        <v/>
      </c>
      <c r="FA139" s="30" t="str">
        <f t="shared" si="1837"/>
        <v/>
      </c>
      <c r="FB139" s="30" t="str">
        <f t="shared" si="1838"/>
        <v/>
      </c>
      <c r="FC139" s="30" t="str">
        <f t="shared" si="1839"/>
        <v/>
      </c>
      <c r="FD139" s="30" t="str">
        <f t="shared" si="1840"/>
        <v/>
      </c>
      <c r="FE139" s="30" t="str">
        <f t="shared" si="1841"/>
        <v/>
      </c>
      <c r="FF139" s="30" t="str">
        <f t="shared" si="1842"/>
        <v/>
      </c>
      <c r="FG139" s="30" t="str">
        <f t="shared" si="1843"/>
        <v/>
      </c>
      <c r="FH139" s="30" t="str">
        <f t="shared" si="1844"/>
        <v/>
      </c>
      <c r="FI139" s="30" t="str">
        <f t="shared" si="1845"/>
        <v/>
      </c>
      <c r="FJ139" s="30" t="str">
        <f t="shared" si="1846"/>
        <v/>
      </c>
      <c r="FK139" s="30" t="str">
        <f t="shared" si="1847"/>
        <v/>
      </c>
      <c r="FL139" s="30" t="str">
        <f t="shared" si="1848"/>
        <v/>
      </c>
      <c r="FM139" s="30" t="str">
        <f t="shared" si="1849"/>
        <v/>
      </c>
      <c r="FN139" s="30" t="str">
        <f t="shared" si="1850"/>
        <v/>
      </c>
      <c r="FO139" s="30" t="str">
        <f t="shared" si="1851"/>
        <v/>
      </c>
      <c r="FP139" s="30" t="str">
        <f t="shared" si="1852"/>
        <v/>
      </c>
      <c r="FQ139" s="30" t="str">
        <f t="shared" si="1853"/>
        <v/>
      </c>
      <c r="FR139" s="30" t="str">
        <f t="shared" si="1854"/>
        <v/>
      </c>
      <c r="FS139" s="30" t="str">
        <f t="shared" si="1855"/>
        <v/>
      </c>
    </row>
    <row r="140" spans="1:175" ht="16.5">
      <c r="A140" s="88"/>
      <c r="B140" s="66"/>
      <c r="C140" s="88"/>
      <c r="T140" s="108"/>
      <c r="U140" s="32"/>
      <c r="CN140" s="7" t="str">
        <f t="shared" si="1780"/>
        <v>InitUnitState('',,,,,,,,,,)</v>
      </c>
      <c r="CO140" s="7" t="str">
        <f t="shared" si="1781"/>
        <v>InitUnitNormal('',,,,,,,,,,)</v>
      </c>
      <c r="CP140" s="7" t="str">
        <f t="shared" si="1782"/>
        <v>InitUnitMagic('',,,,,,,,,,)</v>
      </c>
      <c r="CQ140" s="7" t="str">
        <f t="shared" si="1783"/>
        <v>InitUnitAdd('',,,,,,,,,,)</v>
      </c>
      <c r="CR140" s="7" t="str">
        <f t="shared" si="1784"/>
        <v>InitEquipData('',,"",,,,,'','','','','','',"")</v>
      </c>
      <c r="CU140" s="45" t="str">
        <f t="shared" si="1785"/>
        <v>|n</v>
      </c>
      <c r="CW140" s="24"/>
      <c r="CX140" s="24"/>
      <c r="CY140" s="24"/>
      <c r="CZ140" s="24"/>
      <c r="DA140" s="24"/>
      <c r="DB140" s="30" t="str">
        <f t="shared" si="1786"/>
        <v/>
      </c>
      <c r="DC140" s="30" t="str">
        <f t="shared" si="1787"/>
        <v/>
      </c>
      <c r="DD140" s="30" t="str">
        <f t="shared" si="1788"/>
        <v/>
      </c>
      <c r="DE140" s="30" t="str">
        <f t="shared" si="1789"/>
        <v/>
      </c>
      <c r="DF140" s="30" t="str">
        <f t="shared" si="1790"/>
        <v/>
      </c>
      <c r="DG140" s="30" t="str">
        <f t="shared" si="1791"/>
        <v/>
      </c>
      <c r="DH140" s="30" t="str">
        <f t="shared" si="1792"/>
        <v/>
      </c>
      <c r="DI140" s="30" t="str">
        <f t="shared" si="1793"/>
        <v/>
      </c>
      <c r="DJ140" s="30" t="str">
        <f t="shared" si="1794"/>
        <v/>
      </c>
      <c r="DK140" s="30" t="str">
        <f t="shared" si="1795"/>
        <v/>
      </c>
      <c r="DL140" s="30" t="str">
        <f t="shared" si="1796"/>
        <v/>
      </c>
      <c r="DM140" s="30" t="str">
        <f t="shared" si="1797"/>
        <v/>
      </c>
      <c r="DN140" s="30" t="str">
        <f t="shared" si="1798"/>
        <v/>
      </c>
      <c r="DO140" s="30" t="str">
        <f t="shared" si="1799"/>
        <v/>
      </c>
      <c r="DP140" s="30" t="str">
        <f t="shared" si="1800"/>
        <v/>
      </c>
      <c r="DQ140" s="30" t="str">
        <f t="shared" si="1801"/>
        <v/>
      </c>
      <c r="DR140" s="30" t="str">
        <f t="shared" si="1802"/>
        <v/>
      </c>
      <c r="DS140" s="30" t="str">
        <f t="shared" si="1803"/>
        <v/>
      </c>
      <c r="DT140" s="30" t="str">
        <f t="shared" si="1804"/>
        <v/>
      </c>
      <c r="DU140" s="30" t="str">
        <f t="shared" si="1805"/>
        <v/>
      </c>
      <c r="DV140" s="30" t="str">
        <f t="shared" si="1806"/>
        <v/>
      </c>
      <c r="DW140" s="30" t="str">
        <f t="shared" si="1807"/>
        <v/>
      </c>
      <c r="DX140" s="30" t="str">
        <f t="shared" si="1808"/>
        <v/>
      </c>
      <c r="DY140" s="30" t="str">
        <f t="shared" si="1809"/>
        <v/>
      </c>
      <c r="DZ140" s="30" t="str">
        <f t="shared" si="1810"/>
        <v/>
      </c>
      <c r="EA140" s="30" t="str">
        <f t="shared" si="1811"/>
        <v/>
      </c>
      <c r="EB140" s="30" t="str">
        <f t="shared" si="1812"/>
        <v/>
      </c>
      <c r="EC140" s="30" t="str">
        <f t="shared" si="1813"/>
        <v/>
      </c>
      <c r="ED140" s="30" t="str">
        <f t="shared" si="1814"/>
        <v/>
      </c>
      <c r="EE140" s="30" t="str">
        <f t="shared" si="1815"/>
        <v/>
      </c>
      <c r="EF140" s="30" t="str">
        <f t="shared" si="1816"/>
        <v/>
      </c>
      <c r="EG140" s="30" t="str">
        <f t="shared" si="1817"/>
        <v/>
      </c>
      <c r="EH140" s="30" t="str">
        <f t="shared" si="1818"/>
        <v/>
      </c>
      <c r="EI140" s="30" t="str">
        <f t="shared" si="1819"/>
        <v/>
      </c>
      <c r="EJ140" s="30" t="str">
        <f t="shared" si="1820"/>
        <v/>
      </c>
      <c r="EK140" s="30" t="str">
        <f t="shared" si="1821"/>
        <v/>
      </c>
      <c r="EL140" s="30" t="str">
        <f t="shared" si="1822"/>
        <v/>
      </c>
      <c r="EM140" s="30" t="str">
        <f t="shared" si="1823"/>
        <v/>
      </c>
      <c r="EN140" s="30" t="str">
        <f t="shared" si="1824"/>
        <v/>
      </c>
      <c r="EO140" s="30" t="str">
        <f t="shared" si="1825"/>
        <v/>
      </c>
      <c r="EP140" s="30" t="str">
        <f t="shared" si="1826"/>
        <v/>
      </c>
      <c r="EQ140" s="30" t="str">
        <f t="shared" si="1827"/>
        <v/>
      </c>
      <c r="ER140" s="30" t="str">
        <f t="shared" si="1828"/>
        <v/>
      </c>
      <c r="ES140" s="30" t="str">
        <f t="shared" si="1829"/>
        <v/>
      </c>
      <c r="ET140" s="30" t="str">
        <f t="shared" si="1830"/>
        <v/>
      </c>
      <c r="EU140" s="30" t="str">
        <f t="shared" si="1831"/>
        <v/>
      </c>
      <c r="EV140" s="30" t="str">
        <f t="shared" si="1832"/>
        <v/>
      </c>
      <c r="EW140" s="30" t="str">
        <f t="shared" si="1833"/>
        <v/>
      </c>
      <c r="EX140" s="30" t="str">
        <f t="shared" si="1834"/>
        <v/>
      </c>
      <c r="EY140" s="30" t="str">
        <f t="shared" si="1835"/>
        <v/>
      </c>
      <c r="EZ140" s="30" t="str">
        <f t="shared" si="1836"/>
        <v/>
      </c>
      <c r="FA140" s="30" t="str">
        <f t="shared" si="1837"/>
        <v/>
      </c>
      <c r="FB140" s="30" t="str">
        <f t="shared" si="1838"/>
        <v/>
      </c>
      <c r="FC140" s="30" t="str">
        <f t="shared" si="1839"/>
        <v/>
      </c>
      <c r="FD140" s="30" t="str">
        <f t="shared" si="1840"/>
        <v/>
      </c>
      <c r="FE140" s="30" t="str">
        <f t="shared" si="1841"/>
        <v/>
      </c>
      <c r="FF140" s="30" t="str">
        <f t="shared" si="1842"/>
        <v/>
      </c>
      <c r="FG140" s="30" t="str">
        <f t="shared" si="1843"/>
        <v/>
      </c>
      <c r="FH140" s="30" t="str">
        <f t="shared" si="1844"/>
        <v/>
      </c>
      <c r="FI140" s="30" t="str">
        <f t="shared" si="1845"/>
        <v/>
      </c>
      <c r="FJ140" s="30" t="str">
        <f t="shared" si="1846"/>
        <v/>
      </c>
      <c r="FK140" s="30" t="str">
        <f t="shared" si="1847"/>
        <v/>
      </c>
      <c r="FL140" s="30" t="str">
        <f t="shared" si="1848"/>
        <v/>
      </c>
      <c r="FM140" s="30" t="str">
        <f t="shared" si="1849"/>
        <v/>
      </c>
      <c r="FN140" s="30" t="str">
        <f t="shared" si="1850"/>
        <v/>
      </c>
      <c r="FO140" s="30" t="str">
        <f t="shared" si="1851"/>
        <v/>
      </c>
      <c r="FP140" s="30" t="str">
        <f t="shared" si="1852"/>
        <v/>
      </c>
      <c r="FQ140" s="30" t="str">
        <f t="shared" si="1853"/>
        <v/>
      </c>
      <c r="FR140" s="30" t="str">
        <f t="shared" si="1854"/>
        <v/>
      </c>
      <c r="FS140" s="30" t="str">
        <f t="shared" si="1855"/>
        <v/>
      </c>
    </row>
    <row r="141" spans="1:175" ht="16.5">
      <c r="A141" s="88"/>
      <c r="B141" s="66"/>
      <c r="C141" s="88"/>
      <c r="T141" s="109"/>
      <c r="U141" s="32"/>
      <c r="CN141" s="7" t="str">
        <f t="shared" ref="CN141:CN160" si="1856">"InitUnitState('"&amp;B141&amp;"',"&amp;V141&amp;","&amp;W141&amp;","&amp;X141&amp;","&amp;Y141&amp;","&amp;Z141&amp;","&amp;AA141&amp;","&amp;AB141&amp;","&amp;AC141&amp;","&amp;AD141&amp;","&amp;AE141&amp;")"</f>
        <v>InitUnitState('',,,,,,,,,,)</v>
      </c>
      <c r="CO141" s="7" t="str">
        <f t="shared" ref="CO141:CO160" si="1857">"InitUnitNormal('"&amp;B141&amp;"',"&amp;AF141&amp;","&amp;AG141&amp;","&amp;AH141&amp;","&amp;AI141&amp;","&amp;AJ141&amp;","&amp;AK141&amp;","&amp;AL141&amp;","&amp;AM141&amp;","&amp;AN141&amp;","&amp;AO141&amp;")"</f>
        <v>InitUnitNormal('',,,,,,,,,,)</v>
      </c>
      <c r="CP141" s="7" t="str">
        <f t="shared" ref="CP141:CP160" si="1858">"InitUnitMagic('"&amp;B141&amp;"',"&amp;AP141&amp;","&amp;AQ141&amp;","&amp;AR141&amp;","&amp;AS141&amp;","&amp;AT141&amp;","&amp;AU141&amp;","&amp;AV141&amp;","&amp;AW141&amp;","&amp;BI141&amp;","&amp;BJ141&amp;")"</f>
        <v>InitUnitMagic('',,,,,,,,,,)</v>
      </c>
      <c r="CQ141" s="7" t="str">
        <f t="shared" ref="CQ141:CQ160" si="1859">"InitUnitAdd('"&amp;B141&amp;"',"&amp;BK141&amp;","&amp;BL141&amp;","&amp;BM141&amp;","&amp;BN141&amp;","&amp;BO141&amp;","&amp;BP141&amp;","&amp;BQ141&amp;","&amp;BR141&amp;","&amp;BS141&amp;","&amp;BT141&amp;")"</f>
        <v>InitUnitAdd('',,,,,,,,,,)</v>
      </c>
      <c r="CR141" s="7" t="str">
        <f t="shared" ref="CR141:CR160" si="1860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InitEquipData('',,"",,,,,'','','','','','',"")</v>
      </c>
      <c r="CU141" s="45" t="str">
        <f t="shared" si="1785"/>
        <v>|n</v>
      </c>
      <c r="CW141" s="24"/>
      <c r="CX141" s="24"/>
      <c r="CY141" s="24"/>
      <c r="CZ141" s="24"/>
      <c r="DA141" s="24"/>
      <c r="DB141" s="30" t="str">
        <f t="shared" si="1786"/>
        <v/>
      </c>
      <c r="DC141" s="30" t="str">
        <f t="shared" si="1787"/>
        <v/>
      </c>
      <c r="DD141" s="30" t="str">
        <f t="shared" si="1788"/>
        <v/>
      </c>
      <c r="DE141" s="30" t="str">
        <f t="shared" si="1789"/>
        <v/>
      </c>
      <c r="DF141" s="30" t="str">
        <f t="shared" si="1790"/>
        <v/>
      </c>
      <c r="DG141" s="30" t="str">
        <f t="shared" si="1791"/>
        <v/>
      </c>
      <c r="DH141" s="30" t="str">
        <f t="shared" si="1792"/>
        <v/>
      </c>
      <c r="DI141" s="30" t="str">
        <f t="shared" si="1793"/>
        <v/>
      </c>
      <c r="DJ141" s="30" t="str">
        <f t="shared" si="1794"/>
        <v/>
      </c>
      <c r="DK141" s="30" t="str">
        <f t="shared" si="1795"/>
        <v/>
      </c>
      <c r="DL141" s="30" t="str">
        <f t="shared" si="1796"/>
        <v/>
      </c>
      <c r="DM141" s="30" t="str">
        <f t="shared" si="1797"/>
        <v/>
      </c>
      <c r="DN141" s="30" t="str">
        <f t="shared" si="1798"/>
        <v/>
      </c>
      <c r="DO141" s="30" t="str">
        <f t="shared" si="1799"/>
        <v/>
      </c>
      <c r="DP141" s="30" t="str">
        <f t="shared" si="1800"/>
        <v/>
      </c>
      <c r="DQ141" s="30" t="str">
        <f t="shared" si="1801"/>
        <v/>
      </c>
      <c r="DR141" s="30" t="str">
        <f t="shared" si="1802"/>
        <v/>
      </c>
      <c r="DS141" s="30" t="str">
        <f t="shared" si="1803"/>
        <v/>
      </c>
      <c r="DT141" s="30" t="str">
        <f t="shared" si="1804"/>
        <v/>
      </c>
      <c r="DU141" s="30" t="str">
        <f t="shared" si="1805"/>
        <v/>
      </c>
      <c r="DV141" s="30" t="str">
        <f t="shared" si="1806"/>
        <v/>
      </c>
      <c r="DW141" s="30" t="str">
        <f t="shared" si="1807"/>
        <v/>
      </c>
      <c r="DX141" s="30" t="str">
        <f t="shared" si="1808"/>
        <v/>
      </c>
      <c r="DY141" s="30" t="str">
        <f t="shared" si="1809"/>
        <v/>
      </c>
      <c r="DZ141" s="30" t="str">
        <f t="shared" si="1810"/>
        <v/>
      </c>
      <c r="EA141" s="30" t="str">
        <f t="shared" si="1811"/>
        <v/>
      </c>
      <c r="EB141" s="30" t="str">
        <f t="shared" si="1812"/>
        <v/>
      </c>
      <c r="EC141" s="30" t="str">
        <f t="shared" si="1813"/>
        <v/>
      </c>
      <c r="ED141" s="30" t="str">
        <f t="shared" si="1814"/>
        <v/>
      </c>
      <c r="EE141" s="30" t="str">
        <f t="shared" si="1815"/>
        <v/>
      </c>
      <c r="EF141" s="30" t="str">
        <f t="shared" si="1816"/>
        <v/>
      </c>
      <c r="EG141" s="30" t="str">
        <f t="shared" si="1817"/>
        <v/>
      </c>
      <c r="EH141" s="30" t="str">
        <f t="shared" si="1818"/>
        <v/>
      </c>
      <c r="EI141" s="30" t="str">
        <f t="shared" si="1819"/>
        <v/>
      </c>
      <c r="EJ141" s="30" t="str">
        <f t="shared" si="1820"/>
        <v/>
      </c>
      <c r="EK141" s="30" t="str">
        <f t="shared" si="1821"/>
        <v/>
      </c>
      <c r="EL141" s="30" t="str">
        <f t="shared" si="1822"/>
        <v/>
      </c>
      <c r="EM141" s="30" t="str">
        <f t="shared" si="1823"/>
        <v/>
      </c>
      <c r="EN141" s="30" t="str">
        <f t="shared" si="1824"/>
        <v/>
      </c>
      <c r="EO141" s="30" t="str">
        <f t="shared" si="1825"/>
        <v/>
      </c>
      <c r="EP141" s="30" t="str">
        <f t="shared" si="1826"/>
        <v/>
      </c>
      <c r="EQ141" s="30" t="str">
        <f t="shared" si="1827"/>
        <v/>
      </c>
      <c r="ER141" s="30" t="str">
        <f t="shared" si="1828"/>
        <v/>
      </c>
      <c r="ES141" s="30" t="str">
        <f t="shared" si="1829"/>
        <v/>
      </c>
      <c r="ET141" s="30" t="str">
        <f t="shared" si="1830"/>
        <v/>
      </c>
      <c r="EU141" s="30" t="str">
        <f t="shared" si="1831"/>
        <v/>
      </c>
      <c r="EV141" s="30" t="str">
        <f t="shared" si="1832"/>
        <v/>
      </c>
      <c r="EW141" s="30" t="str">
        <f t="shared" si="1833"/>
        <v/>
      </c>
      <c r="EX141" s="30" t="str">
        <f t="shared" si="1834"/>
        <v/>
      </c>
      <c r="EY141" s="30" t="str">
        <f t="shared" si="1835"/>
        <v/>
      </c>
      <c r="EZ141" s="30" t="str">
        <f t="shared" si="1836"/>
        <v/>
      </c>
      <c r="FA141" s="30" t="str">
        <f t="shared" si="1837"/>
        <v/>
      </c>
      <c r="FB141" s="30" t="str">
        <f t="shared" si="1838"/>
        <v/>
      </c>
      <c r="FC141" s="30" t="str">
        <f t="shared" si="1839"/>
        <v/>
      </c>
      <c r="FD141" s="30" t="str">
        <f t="shared" si="1840"/>
        <v/>
      </c>
      <c r="FE141" s="30" t="str">
        <f t="shared" si="1841"/>
        <v/>
      </c>
      <c r="FF141" s="30" t="str">
        <f t="shared" si="1842"/>
        <v/>
      </c>
      <c r="FG141" s="30" t="str">
        <f t="shared" si="1843"/>
        <v/>
      </c>
      <c r="FH141" s="30" t="str">
        <f t="shared" si="1844"/>
        <v/>
      </c>
      <c r="FI141" s="30" t="str">
        <f t="shared" si="1845"/>
        <v/>
      </c>
      <c r="FJ141" s="30" t="str">
        <f t="shared" si="1846"/>
        <v/>
      </c>
      <c r="FK141" s="30" t="str">
        <f t="shared" si="1847"/>
        <v/>
      </c>
      <c r="FL141" s="30" t="str">
        <f t="shared" si="1848"/>
        <v/>
      </c>
      <c r="FM141" s="30" t="str">
        <f t="shared" si="1849"/>
        <v/>
      </c>
      <c r="FN141" s="30" t="str">
        <f t="shared" si="1850"/>
        <v/>
      </c>
      <c r="FO141" s="30" t="str">
        <f t="shared" si="1851"/>
        <v/>
      </c>
      <c r="FP141" s="30" t="str">
        <f t="shared" si="1852"/>
        <v/>
      </c>
      <c r="FQ141" s="30" t="str">
        <f t="shared" si="1853"/>
        <v/>
      </c>
      <c r="FR141" s="30" t="str">
        <f t="shared" si="1854"/>
        <v/>
      </c>
      <c r="FS141" s="30" t="str">
        <f t="shared" si="1855"/>
        <v/>
      </c>
    </row>
    <row r="142" spans="1:175" ht="16.5">
      <c r="A142" s="88"/>
      <c r="B142" s="66"/>
      <c r="C142" s="88"/>
      <c r="T142" s="109"/>
      <c r="U142" s="32"/>
      <c r="CN142" s="7" t="str">
        <f t="shared" si="1856"/>
        <v>InitUnitState('',,,,,,,,,,)</v>
      </c>
      <c r="CO142" s="7" t="str">
        <f t="shared" si="1857"/>
        <v>InitUnitNormal('',,,,,,,,,,)</v>
      </c>
      <c r="CP142" s="7" t="str">
        <f t="shared" si="1858"/>
        <v>InitUnitMagic('',,,,,,,,,,)</v>
      </c>
      <c r="CQ142" s="7" t="str">
        <f t="shared" si="1859"/>
        <v>InitUnitAdd('',,,,,,,,,,)</v>
      </c>
      <c r="CR142" s="7" t="str">
        <f t="shared" si="1860"/>
        <v>InitEquipData('',,"",,,,,'','','','','','',"")</v>
      </c>
      <c r="CU142" s="45" t="str">
        <f t="shared" si="1785"/>
        <v>|n</v>
      </c>
      <c r="CW142" s="24"/>
      <c r="CX142" s="24"/>
      <c r="CY142" s="24"/>
      <c r="CZ142" s="24"/>
      <c r="DA142" s="24"/>
      <c r="DB142" s="30" t="str">
        <f t="shared" si="1786"/>
        <v/>
      </c>
      <c r="DC142" s="30" t="str">
        <f t="shared" si="1787"/>
        <v/>
      </c>
      <c r="DD142" s="30" t="str">
        <f t="shared" si="1788"/>
        <v/>
      </c>
      <c r="DE142" s="30" t="str">
        <f t="shared" si="1789"/>
        <v/>
      </c>
      <c r="DF142" s="30" t="str">
        <f t="shared" si="1790"/>
        <v/>
      </c>
      <c r="DG142" s="30" t="str">
        <f t="shared" si="1791"/>
        <v/>
      </c>
      <c r="DH142" s="30" t="str">
        <f t="shared" si="1792"/>
        <v/>
      </c>
      <c r="DI142" s="30" t="str">
        <f t="shared" si="1793"/>
        <v/>
      </c>
      <c r="DJ142" s="30" t="str">
        <f t="shared" si="1794"/>
        <v/>
      </c>
      <c r="DK142" s="30" t="str">
        <f t="shared" si="1795"/>
        <v/>
      </c>
      <c r="DL142" s="30" t="str">
        <f t="shared" si="1796"/>
        <v/>
      </c>
      <c r="DM142" s="30" t="str">
        <f t="shared" si="1797"/>
        <v/>
      </c>
      <c r="DN142" s="30" t="str">
        <f t="shared" si="1798"/>
        <v/>
      </c>
      <c r="DO142" s="30" t="str">
        <f t="shared" si="1799"/>
        <v/>
      </c>
      <c r="DP142" s="30" t="str">
        <f t="shared" si="1800"/>
        <v/>
      </c>
      <c r="DQ142" s="30" t="str">
        <f t="shared" si="1801"/>
        <v/>
      </c>
      <c r="DR142" s="30" t="str">
        <f t="shared" si="1802"/>
        <v/>
      </c>
      <c r="DS142" s="30" t="str">
        <f t="shared" si="1803"/>
        <v/>
      </c>
      <c r="DT142" s="30" t="str">
        <f t="shared" si="1804"/>
        <v/>
      </c>
      <c r="DU142" s="30" t="str">
        <f t="shared" si="1805"/>
        <v/>
      </c>
      <c r="DV142" s="30" t="str">
        <f t="shared" si="1806"/>
        <v/>
      </c>
      <c r="DW142" s="30" t="str">
        <f t="shared" si="1807"/>
        <v/>
      </c>
      <c r="DX142" s="30" t="str">
        <f t="shared" si="1808"/>
        <v/>
      </c>
      <c r="DY142" s="30" t="str">
        <f t="shared" si="1809"/>
        <v/>
      </c>
      <c r="DZ142" s="30" t="str">
        <f t="shared" si="1810"/>
        <v/>
      </c>
      <c r="EA142" s="30" t="str">
        <f t="shared" si="1811"/>
        <v/>
      </c>
      <c r="EB142" s="30" t="str">
        <f t="shared" si="1812"/>
        <v/>
      </c>
      <c r="EC142" s="30" t="str">
        <f t="shared" si="1813"/>
        <v/>
      </c>
      <c r="ED142" s="30" t="str">
        <f t="shared" si="1814"/>
        <v/>
      </c>
      <c r="EE142" s="30" t="str">
        <f t="shared" si="1815"/>
        <v/>
      </c>
      <c r="EF142" s="30" t="str">
        <f t="shared" si="1816"/>
        <v/>
      </c>
      <c r="EG142" s="30" t="str">
        <f t="shared" si="1817"/>
        <v/>
      </c>
      <c r="EH142" s="30" t="str">
        <f t="shared" si="1818"/>
        <v/>
      </c>
      <c r="EI142" s="30" t="str">
        <f t="shared" si="1819"/>
        <v/>
      </c>
      <c r="EJ142" s="30" t="str">
        <f t="shared" si="1820"/>
        <v/>
      </c>
      <c r="EK142" s="30" t="str">
        <f t="shared" si="1821"/>
        <v/>
      </c>
      <c r="EL142" s="30" t="str">
        <f t="shared" si="1822"/>
        <v/>
      </c>
      <c r="EM142" s="30" t="str">
        <f t="shared" si="1823"/>
        <v/>
      </c>
      <c r="EN142" s="30" t="str">
        <f t="shared" si="1824"/>
        <v/>
      </c>
      <c r="EO142" s="30" t="str">
        <f t="shared" si="1825"/>
        <v/>
      </c>
      <c r="EP142" s="30" t="str">
        <f t="shared" si="1826"/>
        <v/>
      </c>
      <c r="EQ142" s="30" t="str">
        <f t="shared" si="1827"/>
        <v/>
      </c>
      <c r="ER142" s="30" t="str">
        <f t="shared" si="1828"/>
        <v/>
      </c>
      <c r="ES142" s="30" t="str">
        <f t="shared" si="1829"/>
        <v/>
      </c>
      <c r="ET142" s="30" t="str">
        <f t="shared" si="1830"/>
        <v/>
      </c>
      <c r="EU142" s="30" t="str">
        <f t="shared" si="1831"/>
        <v/>
      </c>
      <c r="EV142" s="30" t="str">
        <f t="shared" si="1832"/>
        <v/>
      </c>
      <c r="EW142" s="30" t="str">
        <f t="shared" si="1833"/>
        <v/>
      </c>
      <c r="EX142" s="30" t="str">
        <f t="shared" si="1834"/>
        <v/>
      </c>
      <c r="EY142" s="30" t="str">
        <f t="shared" si="1835"/>
        <v/>
      </c>
      <c r="EZ142" s="30" t="str">
        <f t="shared" si="1836"/>
        <v/>
      </c>
      <c r="FA142" s="30" t="str">
        <f t="shared" si="1837"/>
        <v/>
      </c>
      <c r="FB142" s="30" t="str">
        <f t="shared" si="1838"/>
        <v/>
      </c>
      <c r="FC142" s="30" t="str">
        <f t="shared" si="1839"/>
        <v/>
      </c>
      <c r="FD142" s="30" t="str">
        <f t="shared" si="1840"/>
        <v/>
      </c>
      <c r="FE142" s="30" t="str">
        <f t="shared" si="1841"/>
        <v/>
      </c>
      <c r="FF142" s="30" t="str">
        <f t="shared" si="1842"/>
        <v/>
      </c>
      <c r="FG142" s="30" t="str">
        <f t="shared" si="1843"/>
        <v/>
      </c>
      <c r="FH142" s="30" t="str">
        <f t="shared" si="1844"/>
        <v/>
      </c>
      <c r="FI142" s="30" t="str">
        <f t="shared" si="1845"/>
        <v/>
      </c>
      <c r="FJ142" s="30" t="str">
        <f t="shared" si="1846"/>
        <v/>
      </c>
      <c r="FK142" s="30" t="str">
        <f t="shared" si="1847"/>
        <v/>
      </c>
      <c r="FL142" s="30" t="str">
        <f t="shared" si="1848"/>
        <v/>
      </c>
      <c r="FM142" s="30" t="str">
        <f t="shared" si="1849"/>
        <v/>
      </c>
      <c r="FN142" s="30" t="str">
        <f t="shared" si="1850"/>
        <v/>
      </c>
      <c r="FO142" s="30" t="str">
        <f t="shared" si="1851"/>
        <v/>
      </c>
      <c r="FP142" s="30" t="str">
        <f t="shared" si="1852"/>
        <v/>
      </c>
      <c r="FQ142" s="30" t="str">
        <f t="shared" si="1853"/>
        <v/>
      </c>
      <c r="FR142" s="30" t="str">
        <f t="shared" si="1854"/>
        <v/>
      </c>
      <c r="FS142" s="30" t="str">
        <f t="shared" si="1855"/>
        <v/>
      </c>
    </row>
    <row r="143" spans="1:175" ht="16.5">
      <c r="A143" s="88"/>
      <c r="B143" s="66"/>
      <c r="C143" s="88"/>
      <c r="T143" s="109"/>
      <c r="U143" s="32"/>
      <c r="CN143" s="7" t="str">
        <f t="shared" si="1856"/>
        <v>InitUnitState('',,,,,,,,,,)</v>
      </c>
      <c r="CO143" s="7" t="str">
        <f t="shared" si="1857"/>
        <v>InitUnitNormal('',,,,,,,,,,)</v>
      </c>
      <c r="CP143" s="7" t="str">
        <f t="shared" si="1858"/>
        <v>InitUnitMagic('',,,,,,,,,,)</v>
      </c>
      <c r="CQ143" s="7" t="str">
        <f t="shared" si="1859"/>
        <v>InitUnitAdd('',,,,,,,,,,)</v>
      </c>
      <c r="CR143" s="7" t="str">
        <f t="shared" si="1860"/>
        <v>InitEquipData('',,"",,,,,'','','','','','',"")</v>
      </c>
      <c r="CU143" s="45" t="str">
        <f t="shared" si="1785"/>
        <v>|n</v>
      </c>
      <c r="CW143" s="24"/>
      <c r="CX143" s="24"/>
      <c r="CY143" s="24"/>
      <c r="CZ143" s="24"/>
      <c r="DA143" s="24"/>
      <c r="DB143" s="30" t="str">
        <f t="shared" si="1786"/>
        <v/>
      </c>
      <c r="DC143" s="30" t="str">
        <f t="shared" si="1787"/>
        <v/>
      </c>
      <c r="DD143" s="30" t="str">
        <f t="shared" si="1788"/>
        <v/>
      </c>
      <c r="DE143" s="30" t="str">
        <f t="shared" si="1789"/>
        <v/>
      </c>
      <c r="DF143" s="30" t="str">
        <f t="shared" si="1790"/>
        <v/>
      </c>
      <c r="DG143" s="30" t="str">
        <f t="shared" si="1791"/>
        <v/>
      </c>
      <c r="DH143" s="30" t="str">
        <f t="shared" si="1792"/>
        <v/>
      </c>
      <c r="DI143" s="30" t="str">
        <f t="shared" si="1793"/>
        <v/>
      </c>
      <c r="DJ143" s="30" t="str">
        <f t="shared" si="1794"/>
        <v/>
      </c>
      <c r="DK143" s="30" t="str">
        <f t="shared" si="1795"/>
        <v/>
      </c>
      <c r="DL143" s="30" t="str">
        <f t="shared" si="1796"/>
        <v/>
      </c>
      <c r="DM143" s="30" t="str">
        <f t="shared" si="1797"/>
        <v/>
      </c>
      <c r="DN143" s="30" t="str">
        <f t="shared" si="1798"/>
        <v/>
      </c>
      <c r="DO143" s="30" t="str">
        <f t="shared" si="1799"/>
        <v/>
      </c>
      <c r="DP143" s="30" t="str">
        <f t="shared" si="1800"/>
        <v/>
      </c>
      <c r="DQ143" s="30" t="str">
        <f t="shared" si="1801"/>
        <v/>
      </c>
      <c r="DR143" s="30" t="str">
        <f t="shared" si="1802"/>
        <v/>
      </c>
      <c r="DS143" s="30" t="str">
        <f t="shared" si="1803"/>
        <v/>
      </c>
      <c r="DT143" s="30" t="str">
        <f t="shared" si="1804"/>
        <v/>
      </c>
      <c r="DU143" s="30" t="str">
        <f t="shared" si="1805"/>
        <v/>
      </c>
      <c r="DV143" s="30" t="str">
        <f t="shared" si="1806"/>
        <v/>
      </c>
      <c r="DW143" s="30" t="str">
        <f t="shared" si="1807"/>
        <v/>
      </c>
      <c r="DX143" s="30" t="str">
        <f t="shared" si="1808"/>
        <v/>
      </c>
      <c r="DY143" s="30" t="str">
        <f t="shared" si="1809"/>
        <v/>
      </c>
      <c r="DZ143" s="30" t="str">
        <f t="shared" si="1810"/>
        <v/>
      </c>
      <c r="EA143" s="30" t="str">
        <f t="shared" si="1811"/>
        <v/>
      </c>
      <c r="EB143" s="30" t="str">
        <f t="shared" si="1812"/>
        <v/>
      </c>
      <c r="EC143" s="30" t="str">
        <f t="shared" si="1813"/>
        <v/>
      </c>
      <c r="ED143" s="30" t="str">
        <f t="shared" si="1814"/>
        <v/>
      </c>
      <c r="EE143" s="30" t="str">
        <f t="shared" si="1815"/>
        <v/>
      </c>
      <c r="EF143" s="30" t="str">
        <f t="shared" si="1816"/>
        <v/>
      </c>
      <c r="EG143" s="30" t="str">
        <f t="shared" si="1817"/>
        <v/>
      </c>
      <c r="EH143" s="30" t="str">
        <f t="shared" si="1818"/>
        <v/>
      </c>
      <c r="EI143" s="30" t="str">
        <f t="shared" si="1819"/>
        <v/>
      </c>
      <c r="EJ143" s="30" t="str">
        <f t="shared" si="1820"/>
        <v/>
      </c>
      <c r="EK143" s="30" t="str">
        <f t="shared" si="1821"/>
        <v/>
      </c>
      <c r="EL143" s="30" t="str">
        <f t="shared" si="1822"/>
        <v/>
      </c>
      <c r="EM143" s="30" t="str">
        <f t="shared" si="1823"/>
        <v/>
      </c>
      <c r="EN143" s="30" t="str">
        <f t="shared" si="1824"/>
        <v/>
      </c>
      <c r="EO143" s="30" t="str">
        <f t="shared" si="1825"/>
        <v/>
      </c>
      <c r="EP143" s="30" t="str">
        <f t="shared" si="1826"/>
        <v/>
      </c>
      <c r="EQ143" s="30" t="str">
        <f t="shared" si="1827"/>
        <v/>
      </c>
      <c r="ER143" s="30" t="str">
        <f t="shared" si="1828"/>
        <v/>
      </c>
      <c r="ES143" s="30" t="str">
        <f t="shared" si="1829"/>
        <v/>
      </c>
      <c r="ET143" s="30" t="str">
        <f t="shared" si="1830"/>
        <v/>
      </c>
      <c r="EU143" s="30" t="str">
        <f t="shared" si="1831"/>
        <v/>
      </c>
      <c r="EV143" s="30" t="str">
        <f t="shared" si="1832"/>
        <v/>
      </c>
      <c r="EW143" s="30" t="str">
        <f t="shared" si="1833"/>
        <v/>
      </c>
      <c r="EX143" s="30" t="str">
        <f t="shared" si="1834"/>
        <v/>
      </c>
      <c r="EY143" s="30" t="str">
        <f t="shared" si="1835"/>
        <v/>
      </c>
      <c r="EZ143" s="30" t="str">
        <f t="shared" si="1836"/>
        <v/>
      </c>
      <c r="FA143" s="30" t="str">
        <f t="shared" si="1837"/>
        <v/>
      </c>
      <c r="FB143" s="30" t="str">
        <f t="shared" si="1838"/>
        <v/>
      </c>
      <c r="FC143" s="30" t="str">
        <f t="shared" si="1839"/>
        <v/>
      </c>
      <c r="FD143" s="30" t="str">
        <f t="shared" si="1840"/>
        <v/>
      </c>
      <c r="FE143" s="30" t="str">
        <f t="shared" si="1841"/>
        <v/>
      </c>
      <c r="FF143" s="30" t="str">
        <f t="shared" si="1842"/>
        <v/>
      </c>
      <c r="FG143" s="30" t="str">
        <f t="shared" si="1843"/>
        <v/>
      </c>
      <c r="FH143" s="30" t="str">
        <f t="shared" si="1844"/>
        <v/>
      </c>
      <c r="FI143" s="30" t="str">
        <f t="shared" si="1845"/>
        <v/>
      </c>
      <c r="FJ143" s="30" t="str">
        <f t="shared" si="1846"/>
        <v/>
      </c>
      <c r="FK143" s="30" t="str">
        <f t="shared" si="1847"/>
        <v/>
      </c>
      <c r="FL143" s="30" t="str">
        <f t="shared" si="1848"/>
        <v/>
      </c>
      <c r="FM143" s="30" t="str">
        <f t="shared" si="1849"/>
        <v/>
      </c>
      <c r="FN143" s="30" t="str">
        <f t="shared" si="1850"/>
        <v/>
      </c>
      <c r="FO143" s="30" t="str">
        <f t="shared" si="1851"/>
        <v/>
      </c>
      <c r="FP143" s="30" t="str">
        <f t="shared" si="1852"/>
        <v/>
      </c>
      <c r="FQ143" s="30" t="str">
        <f t="shared" si="1853"/>
        <v/>
      </c>
      <c r="FR143" s="30" t="str">
        <f t="shared" si="1854"/>
        <v/>
      </c>
      <c r="FS143" s="30" t="str">
        <f t="shared" si="1855"/>
        <v/>
      </c>
    </row>
    <row r="144" spans="1:175">
      <c r="A144" s="66"/>
      <c r="B144" s="66"/>
      <c r="C144" s="66"/>
      <c r="T144" s="100"/>
      <c r="U144" s="32"/>
      <c r="CN144" s="7" t="str">
        <f t="shared" si="1856"/>
        <v>InitUnitState('',,,,,,,,,,)</v>
      </c>
      <c r="CO144" s="7" t="str">
        <f t="shared" si="1857"/>
        <v>InitUnitNormal('',,,,,,,,,,)</v>
      </c>
      <c r="CP144" s="7" t="str">
        <f t="shared" si="1858"/>
        <v>InitUnitMagic('',,,,,,,,,,)</v>
      </c>
      <c r="CQ144" s="7" t="str">
        <f t="shared" si="1859"/>
        <v>InitUnitAdd('',,,,,,,,,,)</v>
      </c>
      <c r="CR144" s="7" t="str">
        <f t="shared" si="1860"/>
        <v>InitEquipData('',,"",,,,,'','','','','','',"")</v>
      </c>
      <c r="CU144" s="45" t="str">
        <f t="shared" si="1785"/>
        <v>|n</v>
      </c>
      <c r="CW144" s="24"/>
      <c r="CX144" s="24"/>
      <c r="CY144" s="24"/>
      <c r="CZ144" s="24"/>
      <c r="DA144" s="24"/>
      <c r="DB144" s="30" t="str">
        <f t="shared" si="1786"/>
        <v/>
      </c>
      <c r="DC144" s="30" t="str">
        <f t="shared" si="1787"/>
        <v/>
      </c>
      <c r="DD144" s="30" t="str">
        <f t="shared" si="1788"/>
        <v/>
      </c>
      <c r="DE144" s="30" t="str">
        <f t="shared" si="1789"/>
        <v/>
      </c>
      <c r="DF144" s="30" t="str">
        <f t="shared" si="1790"/>
        <v/>
      </c>
      <c r="DG144" s="30" t="str">
        <f t="shared" si="1791"/>
        <v/>
      </c>
      <c r="DH144" s="30" t="str">
        <f t="shared" si="1792"/>
        <v/>
      </c>
      <c r="DI144" s="30" t="str">
        <f t="shared" si="1793"/>
        <v/>
      </c>
      <c r="DJ144" s="30" t="str">
        <f t="shared" si="1794"/>
        <v/>
      </c>
      <c r="DK144" s="30" t="str">
        <f t="shared" si="1795"/>
        <v/>
      </c>
      <c r="DL144" s="30" t="str">
        <f t="shared" si="1796"/>
        <v/>
      </c>
      <c r="DM144" s="30" t="str">
        <f t="shared" si="1797"/>
        <v/>
      </c>
      <c r="DN144" s="30" t="str">
        <f t="shared" si="1798"/>
        <v/>
      </c>
      <c r="DO144" s="30" t="str">
        <f t="shared" si="1799"/>
        <v/>
      </c>
      <c r="DP144" s="30" t="str">
        <f t="shared" si="1800"/>
        <v/>
      </c>
      <c r="DQ144" s="30" t="str">
        <f t="shared" si="1801"/>
        <v/>
      </c>
      <c r="DR144" s="30" t="str">
        <f t="shared" si="1802"/>
        <v/>
      </c>
      <c r="DS144" s="30" t="str">
        <f t="shared" si="1803"/>
        <v/>
      </c>
      <c r="DT144" s="30" t="str">
        <f t="shared" si="1804"/>
        <v/>
      </c>
      <c r="DU144" s="30" t="str">
        <f t="shared" si="1805"/>
        <v/>
      </c>
      <c r="DV144" s="30" t="str">
        <f t="shared" si="1806"/>
        <v/>
      </c>
      <c r="DW144" s="30" t="str">
        <f t="shared" si="1807"/>
        <v/>
      </c>
      <c r="DX144" s="30" t="str">
        <f t="shared" si="1808"/>
        <v/>
      </c>
      <c r="DY144" s="30" t="str">
        <f t="shared" si="1809"/>
        <v/>
      </c>
      <c r="DZ144" s="30" t="str">
        <f t="shared" si="1810"/>
        <v/>
      </c>
      <c r="EA144" s="30" t="str">
        <f t="shared" si="1811"/>
        <v/>
      </c>
      <c r="EB144" s="30" t="str">
        <f t="shared" si="1812"/>
        <v/>
      </c>
      <c r="EC144" s="30" t="str">
        <f t="shared" si="1813"/>
        <v/>
      </c>
      <c r="ED144" s="30" t="str">
        <f t="shared" si="1814"/>
        <v/>
      </c>
      <c r="EE144" s="30" t="str">
        <f t="shared" si="1815"/>
        <v/>
      </c>
      <c r="EF144" s="30" t="str">
        <f t="shared" si="1816"/>
        <v/>
      </c>
      <c r="EG144" s="30" t="str">
        <f t="shared" si="1817"/>
        <v/>
      </c>
      <c r="EH144" s="30" t="str">
        <f t="shared" si="1818"/>
        <v/>
      </c>
      <c r="EI144" s="30" t="str">
        <f t="shared" si="1819"/>
        <v/>
      </c>
      <c r="EJ144" s="30" t="str">
        <f t="shared" si="1820"/>
        <v/>
      </c>
      <c r="EK144" s="30" t="str">
        <f t="shared" si="1821"/>
        <v/>
      </c>
      <c r="EL144" s="30" t="str">
        <f t="shared" si="1822"/>
        <v/>
      </c>
      <c r="EM144" s="30" t="str">
        <f t="shared" si="1823"/>
        <v/>
      </c>
      <c r="EN144" s="30" t="str">
        <f t="shared" si="1824"/>
        <v/>
      </c>
      <c r="EO144" s="30" t="str">
        <f t="shared" si="1825"/>
        <v/>
      </c>
      <c r="EP144" s="30" t="str">
        <f t="shared" si="1826"/>
        <v/>
      </c>
      <c r="EQ144" s="30" t="str">
        <f t="shared" si="1827"/>
        <v/>
      </c>
      <c r="ER144" s="30" t="str">
        <f t="shared" si="1828"/>
        <v/>
      </c>
      <c r="ES144" s="30" t="str">
        <f t="shared" si="1829"/>
        <v/>
      </c>
      <c r="ET144" s="30" t="str">
        <f t="shared" si="1830"/>
        <v/>
      </c>
      <c r="EU144" s="30" t="str">
        <f t="shared" si="1831"/>
        <v/>
      </c>
      <c r="EV144" s="30" t="str">
        <f t="shared" si="1832"/>
        <v/>
      </c>
      <c r="EW144" s="30" t="str">
        <f t="shared" si="1833"/>
        <v/>
      </c>
      <c r="EX144" s="30" t="str">
        <f t="shared" si="1834"/>
        <v/>
      </c>
      <c r="EY144" s="30" t="str">
        <f t="shared" si="1835"/>
        <v/>
      </c>
      <c r="EZ144" s="30" t="str">
        <f t="shared" si="1836"/>
        <v/>
      </c>
      <c r="FA144" s="30" t="str">
        <f t="shared" si="1837"/>
        <v/>
      </c>
      <c r="FB144" s="30" t="str">
        <f t="shared" si="1838"/>
        <v/>
      </c>
      <c r="FC144" s="30" t="str">
        <f t="shared" si="1839"/>
        <v/>
      </c>
      <c r="FD144" s="30" t="str">
        <f t="shared" si="1840"/>
        <v/>
      </c>
      <c r="FE144" s="30" t="str">
        <f t="shared" si="1841"/>
        <v/>
      </c>
      <c r="FF144" s="30" t="str">
        <f t="shared" si="1842"/>
        <v/>
      </c>
      <c r="FG144" s="30" t="str">
        <f t="shared" si="1843"/>
        <v/>
      </c>
      <c r="FH144" s="30" t="str">
        <f t="shared" si="1844"/>
        <v/>
      </c>
      <c r="FI144" s="30" t="str">
        <f t="shared" si="1845"/>
        <v/>
      </c>
      <c r="FJ144" s="30" t="str">
        <f t="shared" si="1846"/>
        <v/>
      </c>
      <c r="FK144" s="30" t="str">
        <f t="shared" si="1847"/>
        <v/>
      </c>
      <c r="FL144" s="30" t="str">
        <f t="shared" si="1848"/>
        <v/>
      </c>
      <c r="FM144" s="30" t="str">
        <f t="shared" si="1849"/>
        <v/>
      </c>
      <c r="FN144" s="30" t="str">
        <f t="shared" si="1850"/>
        <v/>
      </c>
      <c r="FO144" s="30" t="str">
        <f t="shared" si="1851"/>
        <v/>
      </c>
      <c r="FP144" s="30" t="str">
        <f t="shared" si="1852"/>
        <v/>
      </c>
      <c r="FQ144" s="30" t="str">
        <f t="shared" si="1853"/>
        <v/>
      </c>
      <c r="FR144" s="30" t="str">
        <f t="shared" si="1854"/>
        <v/>
      </c>
      <c r="FS144" s="30" t="str">
        <f t="shared" si="1855"/>
        <v/>
      </c>
    </row>
    <row r="145" spans="1:175">
      <c r="A145" s="66"/>
      <c r="B145" s="66"/>
      <c r="C145" s="66"/>
      <c r="T145" s="100"/>
      <c r="U145" s="32"/>
      <c r="CN145" s="7" t="str">
        <f t="shared" si="1856"/>
        <v>InitUnitState('',,,,,,,,,,)</v>
      </c>
      <c r="CO145" s="7" t="str">
        <f t="shared" si="1857"/>
        <v>InitUnitNormal('',,,,,,,,,,)</v>
      </c>
      <c r="CP145" s="7" t="str">
        <f t="shared" si="1858"/>
        <v>InitUnitMagic('',,,,,,,,,,)</v>
      </c>
      <c r="CQ145" s="7" t="str">
        <f t="shared" si="1859"/>
        <v>InitUnitAdd('',,,,,,,,,,)</v>
      </c>
      <c r="CR145" s="7" t="str">
        <f t="shared" si="1860"/>
        <v>InitEquipData('',,"",,,,,'','','','','','',"")</v>
      </c>
      <c r="CU145" s="45" t="str">
        <f t="shared" si="1785"/>
        <v>|n</v>
      </c>
      <c r="CW145" s="24"/>
      <c r="CX145" s="24"/>
      <c r="CY145" s="24"/>
      <c r="CZ145" s="24"/>
      <c r="DA145" s="24"/>
      <c r="DB145" s="30" t="str">
        <f t="shared" si="1786"/>
        <v/>
      </c>
      <c r="DC145" s="30" t="str">
        <f t="shared" si="1787"/>
        <v/>
      </c>
      <c r="DD145" s="30" t="str">
        <f t="shared" si="1788"/>
        <v/>
      </c>
      <c r="DE145" s="30" t="str">
        <f t="shared" si="1789"/>
        <v/>
      </c>
      <c r="DF145" s="30" t="str">
        <f t="shared" si="1790"/>
        <v/>
      </c>
      <c r="DG145" s="30" t="str">
        <f t="shared" si="1791"/>
        <v/>
      </c>
      <c r="DH145" s="30" t="str">
        <f t="shared" si="1792"/>
        <v/>
      </c>
      <c r="DI145" s="30" t="str">
        <f t="shared" si="1793"/>
        <v/>
      </c>
      <c r="DJ145" s="30" t="str">
        <f t="shared" si="1794"/>
        <v/>
      </c>
      <c r="DK145" s="30" t="str">
        <f t="shared" si="1795"/>
        <v/>
      </c>
      <c r="DL145" s="30" t="str">
        <f t="shared" si="1796"/>
        <v/>
      </c>
      <c r="DM145" s="30" t="str">
        <f t="shared" si="1797"/>
        <v/>
      </c>
      <c r="DN145" s="30" t="str">
        <f t="shared" si="1798"/>
        <v/>
      </c>
      <c r="DO145" s="30" t="str">
        <f t="shared" si="1799"/>
        <v/>
      </c>
      <c r="DP145" s="30" t="str">
        <f t="shared" si="1800"/>
        <v/>
      </c>
      <c r="DQ145" s="30" t="str">
        <f t="shared" si="1801"/>
        <v/>
      </c>
      <c r="DR145" s="30" t="str">
        <f t="shared" si="1802"/>
        <v/>
      </c>
      <c r="DS145" s="30" t="str">
        <f t="shared" si="1803"/>
        <v/>
      </c>
      <c r="DT145" s="30" t="str">
        <f t="shared" si="1804"/>
        <v/>
      </c>
      <c r="DU145" s="30" t="str">
        <f t="shared" si="1805"/>
        <v/>
      </c>
      <c r="DV145" s="30" t="str">
        <f t="shared" si="1806"/>
        <v/>
      </c>
      <c r="DW145" s="30" t="str">
        <f t="shared" si="1807"/>
        <v/>
      </c>
      <c r="DX145" s="30" t="str">
        <f t="shared" si="1808"/>
        <v/>
      </c>
      <c r="DY145" s="30" t="str">
        <f t="shared" si="1809"/>
        <v/>
      </c>
      <c r="DZ145" s="30" t="str">
        <f t="shared" si="1810"/>
        <v/>
      </c>
      <c r="EA145" s="30" t="str">
        <f t="shared" si="1811"/>
        <v/>
      </c>
      <c r="EB145" s="30" t="str">
        <f t="shared" si="1812"/>
        <v/>
      </c>
      <c r="EC145" s="30" t="str">
        <f t="shared" si="1813"/>
        <v/>
      </c>
      <c r="ED145" s="30" t="str">
        <f t="shared" si="1814"/>
        <v/>
      </c>
      <c r="EE145" s="30" t="str">
        <f t="shared" si="1815"/>
        <v/>
      </c>
      <c r="EF145" s="30" t="str">
        <f t="shared" si="1816"/>
        <v/>
      </c>
      <c r="EG145" s="30" t="str">
        <f t="shared" si="1817"/>
        <v/>
      </c>
      <c r="EH145" s="30" t="str">
        <f t="shared" si="1818"/>
        <v/>
      </c>
      <c r="EI145" s="30" t="str">
        <f t="shared" si="1819"/>
        <v/>
      </c>
      <c r="EJ145" s="30" t="str">
        <f t="shared" si="1820"/>
        <v/>
      </c>
      <c r="EK145" s="30" t="str">
        <f t="shared" si="1821"/>
        <v/>
      </c>
      <c r="EL145" s="30" t="str">
        <f t="shared" si="1822"/>
        <v/>
      </c>
      <c r="EM145" s="30" t="str">
        <f t="shared" si="1823"/>
        <v/>
      </c>
      <c r="EN145" s="30" t="str">
        <f t="shared" si="1824"/>
        <v/>
      </c>
      <c r="EO145" s="30" t="str">
        <f t="shared" si="1825"/>
        <v/>
      </c>
      <c r="EP145" s="30" t="str">
        <f t="shared" si="1826"/>
        <v/>
      </c>
      <c r="EQ145" s="30" t="str">
        <f t="shared" si="1827"/>
        <v/>
      </c>
      <c r="ER145" s="30" t="str">
        <f t="shared" si="1828"/>
        <v/>
      </c>
      <c r="ES145" s="30" t="str">
        <f t="shared" si="1829"/>
        <v/>
      </c>
      <c r="ET145" s="30" t="str">
        <f t="shared" si="1830"/>
        <v/>
      </c>
      <c r="EU145" s="30" t="str">
        <f t="shared" si="1831"/>
        <v/>
      </c>
      <c r="EV145" s="30" t="str">
        <f t="shared" si="1832"/>
        <v/>
      </c>
      <c r="EW145" s="30" t="str">
        <f t="shared" si="1833"/>
        <v/>
      </c>
      <c r="EX145" s="30" t="str">
        <f t="shared" si="1834"/>
        <v/>
      </c>
      <c r="EY145" s="30" t="str">
        <f t="shared" si="1835"/>
        <v/>
      </c>
      <c r="EZ145" s="30" t="str">
        <f t="shared" si="1836"/>
        <v/>
      </c>
      <c r="FA145" s="30" t="str">
        <f t="shared" si="1837"/>
        <v/>
      </c>
      <c r="FB145" s="30" t="str">
        <f t="shared" si="1838"/>
        <v/>
      </c>
      <c r="FC145" s="30" t="str">
        <f t="shared" si="1839"/>
        <v/>
      </c>
      <c r="FD145" s="30" t="str">
        <f t="shared" si="1840"/>
        <v/>
      </c>
      <c r="FE145" s="30" t="str">
        <f t="shared" si="1841"/>
        <v/>
      </c>
      <c r="FF145" s="30" t="str">
        <f t="shared" si="1842"/>
        <v/>
      </c>
      <c r="FG145" s="30" t="str">
        <f t="shared" si="1843"/>
        <v/>
      </c>
      <c r="FH145" s="30" t="str">
        <f t="shared" si="1844"/>
        <v/>
      </c>
      <c r="FI145" s="30" t="str">
        <f t="shared" si="1845"/>
        <v/>
      </c>
      <c r="FJ145" s="30" t="str">
        <f t="shared" si="1846"/>
        <v/>
      </c>
      <c r="FK145" s="30" t="str">
        <f t="shared" si="1847"/>
        <v/>
      </c>
      <c r="FL145" s="30" t="str">
        <f t="shared" si="1848"/>
        <v/>
      </c>
      <c r="FM145" s="30" t="str">
        <f t="shared" si="1849"/>
        <v/>
      </c>
      <c r="FN145" s="30" t="str">
        <f t="shared" si="1850"/>
        <v/>
      </c>
      <c r="FO145" s="30" t="str">
        <f t="shared" si="1851"/>
        <v/>
      </c>
      <c r="FP145" s="30" t="str">
        <f t="shared" si="1852"/>
        <v/>
      </c>
      <c r="FQ145" s="30" t="str">
        <f t="shared" si="1853"/>
        <v/>
      </c>
      <c r="FR145" s="30" t="str">
        <f t="shared" si="1854"/>
        <v/>
      </c>
      <c r="FS145" s="30" t="str">
        <f t="shared" si="1855"/>
        <v/>
      </c>
    </row>
    <row r="146" spans="1:175">
      <c r="A146" s="66"/>
      <c r="B146" s="66"/>
      <c r="C146" s="66"/>
      <c r="T146" s="100"/>
      <c r="U146" s="32"/>
      <c r="CN146" s="7" t="str">
        <f t="shared" si="1856"/>
        <v>InitUnitState('',,,,,,,,,,)</v>
      </c>
      <c r="CO146" s="7" t="str">
        <f t="shared" si="1857"/>
        <v>InitUnitNormal('',,,,,,,,,,)</v>
      </c>
      <c r="CP146" s="7" t="str">
        <f t="shared" si="1858"/>
        <v>InitUnitMagic('',,,,,,,,,,)</v>
      </c>
      <c r="CQ146" s="7" t="str">
        <f t="shared" si="1859"/>
        <v>InitUnitAdd('',,,,,,,,,,)</v>
      </c>
      <c r="CR146" s="7" t="str">
        <f t="shared" si="1860"/>
        <v>InitEquipData('',,"",,,,,'','','','','','',"")</v>
      </c>
      <c r="CU146" s="45" t="str">
        <f t="shared" si="1785"/>
        <v>|n</v>
      </c>
      <c r="CW146" s="24"/>
      <c r="CX146" s="24"/>
      <c r="CY146" s="24"/>
      <c r="CZ146" s="24"/>
      <c r="DA146" s="24"/>
      <c r="DB146" s="30" t="str">
        <f t="shared" si="1786"/>
        <v/>
      </c>
      <c r="DC146" s="30" t="str">
        <f t="shared" si="1787"/>
        <v/>
      </c>
      <c r="DD146" s="30" t="str">
        <f t="shared" si="1788"/>
        <v/>
      </c>
      <c r="DE146" s="30" t="str">
        <f t="shared" si="1789"/>
        <v/>
      </c>
      <c r="DF146" s="30" t="str">
        <f t="shared" si="1790"/>
        <v/>
      </c>
      <c r="DG146" s="30" t="str">
        <f t="shared" si="1791"/>
        <v/>
      </c>
      <c r="DH146" s="30" t="str">
        <f t="shared" si="1792"/>
        <v/>
      </c>
      <c r="DI146" s="30" t="str">
        <f t="shared" si="1793"/>
        <v/>
      </c>
      <c r="DJ146" s="30" t="str">
        <f t="shared" si="1794"/>
        <v/>
      </c>
      <c r="DK146" s="30" t="str">
        <f t="shared" si="1795"/>
        <v/>
      </c>
      <c r="DL146" s="30" t="str">
        <f t="shared" si="1796"/>
        <v/>
      </c>
      <c r="DM146" s="30" t="str">
        <f t="shared" si="1797"/>
        <v/>
      </c>
      <c r="DN146" s="30" t="str">
        <f t="shared" si="1798"/>
        <v/>
      </c>
      <c r="DO146" s="30" t="str">
        <f t="shared" si="1799"/>
        <v/>
      </c>
      <c r="DP146" s="30" t="str">
        <f t="shared" si="1800"/>
        <v/>
      </c>
      <c r="DQ146" s="30" t="str">
        <f t="shared" si="1801"/>
        <v/>
      </c>
      <c r="DR146" s="30" t="str">
        <f t="shared" si="1802"/>
        <v/>
      </c>
      <c r="DS146" s="30" t="str">
        <f t="shared" si="1803"/>
        <v/>
      </c>
      <c r="DT146" s="30" t="str">
        <f t="shared" si="1804"/>
        <v/>
      </c>
      <c r="DU146" s="30" t="str">
        <f t="shared" si="1805"/>
        <v/>
      </c>
      <c r="DV146" s="30" t="str">
        <f t="shared" si="1806"/>
        <v/>
      </c>
      <c r="DW146" s="30" t="str">
        <f t="shared" si="1807"/>
        <v/>
      </c>
      <c r="DX146" s="30" t="str">
        <f t="shared" si="1808"/>
        <v/>
      </c>
      <c r="DY146" s="30" t="str">
        <f t="shared" si="1809"/>
        <v/>
      </c>
      <c r="DZ146" s="30" t="str">
        <f t="shared" si="1810"/>
        <v/>
      </c>
      <c r="EA146" s="30" t="str">
        <f t="shared" si="1811"/>
        <v/>
      </c>
      <c r="EB146" s="30" t="str">
        <f t="shared" si="1812"/>
        <v/>
      </c>
      <c r="EC146" s="30" t="str">
        <f t="shared" si="1813"/>
        <v/>
      </c>
      <c r="ED146" s="30" t="str">
        <f t="shared" si="1814"/>
        <v/>
      </c>
      <c r="EE146" s="30" t="str">
        <f t="shared" si="1815"/>
        <v/>
      </c>
      <c r="EF146" s="30" t="str">
        <f t="shared" si="1816"/>
        <v/>
      </c>
      <c r="EG146" s="30" t="str">
        <f t="shared" si="1817"/>
        <v/>
      </c>
      <c r="EH146" s="30" t="str">
        <f t="shared" si="1818"/>
        <v/>
      </c>
      <c r="EI146" s="30" t="str">
        <f t="shared" si="1819"/>
        <v/>
      </c>
      <c r="EJ146" s="30" t="str">
        <f t="shared" si="1820"/>
        <v/>
      </c>
      <c r="EK146" s="30" t="str">
        <f t="shared" si="1821"/>
        <v/>
      </c>
      <c r="EL146" s="30" t="str">
        <f t="shared" si="1822"/>
        <v/>
      </c>
      <c r="EM146" s="30" t="str">
        <f t="shared" si="1823"/>
        <v/>
      </c>
      <c r="EN146" s="30" t="str">
        <f t="shared" si="1824"/>
        <v/>
      </c>
      <c r="EO146" s="30" t="str">
        <f t="shared" si="1825"/>
        <v/>
      </c>
      <c r="EP146" s="30" t="str">
        <f t="shared" si="1826"/>
        <v/>
      </c>
      <c r="EQ146" s="30" t="str">
        <f t="shared" si="1827"/>
        <v/>
      </c>
      <c r="ER146" s="30" t="str">
        <f t="shared" si="1828"/>
        <v/>
      </c>
      <c r="ES146" s="30" t="str">
        <f t="shared" si="1829"/>
        <v/>
      </c>
      <c r="ET146" s="30" t="str">
        <f t="shared" si="1830"/>
        <v/>
      </c>
      <c r="EU146" s="30" t="str">
        <f t="shared" si="1831"/>
        <v/>
      </c>
      <c r="EV146" s="30" t="str">
        <f t="shared" si="1832"/>
        <v/>
      </c>
      <c r="EW146" s="30" t="str">
        <f t="shared" si="1833"/>
        <v/>
      </c>
      <c r="EX146" s="30" t="str">
        <f t="shared" si="1834"/>
        <v/>
      </c>
      <c r="EY146" s="30" t="str">
        <f t="shared" si="1835"/>
        <v/>
      </c>
      <c r="EZ146" s="30" t="str">
        <f t="shared" si="1836"/>
        <v/>
      </c>
      <c r="FA146" s="30" t="str">
        <f t="shared" si="1837"/>
        <v/>
      </c>
      <c r="FB146" s="30" t="str">
        <f t="shared" si="1838"/>
        <v/>
      </c>
      <c r="FC146" s="30" t="str">
        <f t="shared" si="1839"/>
        <v/>
      </c>
      <c r="FD146" s="30" t="str">
        <f t="shared" si="1840"/>
        <v/>
      </c>
      <c r="FE146" s="30" t="str">
        <f t="shared" si="1841"/>
        <v/>
      </c>
      <c r="FF146" s="30" t="str">
        <f t="shared" si="1842"/>
        <v/>
      </c>
      <c r="FG146" s="30" t="str">
        <f t="shared" si="1843"/>
        <v/>
      </c>
      <c r="FH146" s="30" t="str">
        <f t="shared" si="1844"/>
        <v/>
      </c>
      <c r="FI146" s="30" t="str">
        <f t="shared" si="1845"/>
        <v/>
      </c>
      <c r="FJ146" s="30" t="str">
        <f t="shared" si="1846"/>
        <v/>
      </c>
      <c r="FK146" s="30" t="str">
        <f t="shared" si="1847"/>
        <v/>
      </c>
      <c r="FL146" s="30" t="str">
        <f t="shared" si="1848"/>
        <v/>
      </c>
      <c r="FM146" s="30" t="str">
        <f t="shared" si="1849"/>
        <v/>
      </c>
      <c r="FN146" s="30" t="str">
        <f t="shared" si="1850"/>
        <v/>
      </c>
      <c r="FO146" s="30" t="str">
        <f t="shared" si="1851"/>
        <v/>
      </c>
      <c r="FP146" s="30" t="str">
        <f t="shared" si="1852"/>
        <v/>
      </c>
      <c r="FQ146" s="30" t="str">
        <f t="shared" si="1853"/>
        <v/>
      </c>
      <c r="FR146" s="30" t="str">
        <f t="shared" si="1854"/>
        <v/>
      </c>
      <c r="FS146" s="30" t="str">
        <f t="shared" si="1855"/>
        <v/>
      </c>
    </row>
    <row r="147" spans="1:175">
      <c r="A147" s="66"/>
      <c r="B147" s="66"/>
      <c r="C147" s="66"/>
      <c r="T147" s="100"/>
      <c r="U147" s="32"/>
      <c r="CN147" s="7" t="str">
        <f t="shared" si="1856"/>
        <v>InitUnitState('',,,,,,,,,,)</v>
      </c>
      <c r="CO147" s="7" t="str">
        <f t="shared" si="1857"/>
        <v>InitUnitNormal('',,,,,,,,,,)</v>
      </c>
      <c r="CP147" s="7" t="str">
        <f t="shared" si="1858"/>
        <v>InitUnitMagic('',,,,,,,,,,)</v>
      </c>
      <c r="CQ147" s="7" t="str">
        <f t="shared" si="1859"/>
        <v>InitUnitAdd('',,,,,,,,,,)</v>
      </c>
      <c r="CR147" s="7" t="str">
        <f t="shared" si="1860"/>
        <v>InitEquipData('',,"",,,,,'','','','','','',"")</v>
      </c>
      <c r="CU147" s="45" t="str">
        <f t="shared" ref="CU147:CU188" si="186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W147" s="24"/>
      <c r="CX147" s="24"/>
      <c r="CY147" s="24"/>
      <c r="CZ147" s="24"/>
      <c r="DA147" s="24"/>
      <c r="DB147" s="30" t="str">
        <f t="shared" ref="DB147:DB188" si="1862">IF(V147="","","|n"&amp;DB$2&amp;"+"&amp;V147&amp;DB$1)</f>
        <v/>
      </c>
      <c r="DC147" s="30" t="str">
        <f t="shared" ref="DC147:DC188" si="1863">IF(W147="","","|n"&amp;DC$2&amp;"+"&amp;W147&amp;DC$1)</f>
        <v/>
      </c>
      <c r="DD147" s="30" t="str">
        <f t="shared" ref="DD147:DD188" si="1864">IF(X147="","","|n"&amp;DD$2&amp;"+"&amp;X147&amp;DD$1)</f>
        <v/>
      </c>
      <c r="DE147" s="30" t="str">
        <f t="shared" ref="DE147:DE188" si="1865">IF(Y147="","","|n"&amp;DE$2&amp;"+"&amp;Y147&amp;DE$1)</f>
        <v/>
      </c>
      <c r="DF147" s="30" t="str">
        <f t="shared" ref="DF147:DF188" si="1866">IF(Z147="","","|n"&amp;DF$2&amp;"+"&amp;Z147&amp;DF$1)</f>
        <v/>
      </c>
      <c r="DG147" s="30" t="str">
        <f t="shared" ref="DG147:DG188" si="1867">IF(AA147="","","|n"&amp;DG$2&amp;"+"&amp;AA147&amp;DG$1)</f>
        <v/>
      </c>
      <c r="DH147" s="30" t="str">
        <f t="shared" ref="DH147:DH188" si="1868">IF(AB147="","","|n"&amp;DH$2&amp;"+"&amp;AB147&amp;DH$1)</f>
        <v/>
      </c>
      <c r="DI147" s="30" t="str">
        <f t="shared" ref="DI147:DI188" si="1869">IF(AC147="","","|n"&amp;DI$2&amp;"+"&amp;AC147&amp;DI$1)</f>
        <v/>
      </c>
      <c r="DJ147" s="30" t="str">
        <f t="shared" ref="DJ147:DJ188" si="1870">IF(AD147="","","|n"&amp;DJ$2&amp;"+"&amp;AD147&amp;DJ$1)</f>
        <v/>
      </c>
      <c r="DK147" s="30" t="str">
        <f t="shared" ref="DK147:DK188" si="1871">IF(AE147="","","|n"&amp;DK$2&amp;"+"&amp;AE147&amp;DK$1)</f>
        <v/>
      </c>
      <c r="DL147" s="30" t="str">
        <f t="shared" ref="DL147:DL188" si="1872">IF(AF147="","","|n"&amp;DL$2&amp;"+"&amp;AF147&amp;DL$1)</f>
        <v/>
      </c>
      <c r="DM147" s="30" t="str">
        <f t="shared" ref="DM147:DM188" si="1873">IF(AG147="","","|n"&amp;DM$2&amp;"+"&amp;AG147&amp;DM$1)</f>
        <v/>
      </c>
      <c r="DN147" s="30" t="str">
        <f t="shared" ref="DN147:DN188" si="1874">IF(AH147="","","|n"&amp;DN$2&amp;"+"&amp;AH147&amp;DN$1)</f>
        <v/>
      </c>
      <c r="DO147" s="30" t="str">
        <f t="shared" ref="DO147:DO188" si="1875">IF(AI147="","","|n"&amp;DO$2&amp;"+"&amp;AI147&amp;DO$1)</f>
        <v/>
      </c>
      <c r="DP147" s="30" t="str">
        <f t="shared" ref="DP147:DP188" si="1876">IF(AJ147="","","|n"&amp;DP$2&amp;"+"&amp;AJ147&amp;DP$1)</f>
        <v/>
      </c>
      <c r="DQ147" s="30" t="str">
        <f t="shared" ref="DQ147:DQ188" si="1877">IF(AK147="","","|n"&amp;DQ$2&amp;"+"&amp;AK147&amp;DQ$1)</f>
        <v/>
      </c>
      <c r="DR147" s="30" t="str">
        <f t="shared" ref="DR147:DR188" si="1878">IF(AL147="","","|n"&amp;DR$2&amp;"+"&amp;AL147&amp;DR$1)</f>
        <v/>
      </c>
      <c r="DS147" s="30" t="str">
        <f t="shared" ref="DS147:DS188" si="1879">IF(AM147="","","|n"&amp;DS$2&amp;"+"&amp;AM147&amp;DS$1)</f>
        <v/>
      </c>
      <c r="DT147" s="30" t="str">
        <f t="shared" ref="DT147:DT188" si="1880">IF(AN147="","","|n"&amp;DT$2&amp;"+"&amp;AN147&amp;DT$1)</f>
        <v/>
      </c>
      <c r="DU147" s="30" t="str">
        <f t="shared" ref="DU147:DU188" si="1881">IF(AO147="","","|n"&amp;DU$2&amp;"+"&amp;AO147&amp;DU$1)</f>
        <v/>
      </c>
      <c r="DV147" s="30" t="str">
        <f t="shared" ref="DV147:DV188" si="1882">IF(AP147="","","|n"&amp;DV$2&amp;"+"&amp;AP147&amp;DV$1)</f>
        <v/>
      </c>
      <c r="DW147" s="30" t="str">
        <f t="shared" ref="DW147:DW188" si="1883">IF(AQ147="","","|n"&amp;DW$2&amp;"+"&amp;AQ147&amp;DW$1)</f>
        <v/>
      </c>
      <c r="DX147" s="30" t="str">
        <f t="shared" ref="DX147:DX188" si="1884">IF(AR147="","","|n"&amp;DX$2&amp;"+"&amp;AR147&amp;DX$1)</f>
        <v/>
      </c>
      <c r="DY147" s="30" t="str">
        <f t="shared" ref="DY147:DY188" si="1885">IF(AS147="","","|n"&amp;DY$2&amp;"+"&amp;AS147&amp;DY$1)</f>
        <v/>
      </c>
      <c r="DZ147" s="30" t="str">
        <f t="shared" ref="DZ147:DZ188" si="1886">IF(AT147="","","|n"&amp;DZ$2&amp;"+"&amp;AT147&amp;DZ$1)</f>
        <v/>
      </c>
      <c r="EA147" s="30" t="str">
        <f t="shared" ref="EA147:EA188" si="1887">IF(AU147="","","|n"&amp;EA$2&amp;"+"&amp;AU147&amp;EA$1)</f>
        <v/>
      </c>
      <c r="EB147" s="30" t="str">
        <f t="shared" ref="EB147:EB188" si="1888">IF(AV147="","","|n"&amp;EB$2&amp;"+"&amp;AV147&amp;EB$1)</f>
        <v/>
      </c>
      <c r="EC147" s="30" t="str">
        <f t="shared" ref="EC147:EC188" si="1889">IF(AW147="","","|n"&amp;EC$2&amp;"+"&amp;AW147&amp;EC$1)</f>
        <v/>
      </c>
      <c r="ED147" s="30" t="str">
        <f t="shared" ref="ED147:ED188" si="1890">IF(AX147="","","|n"&amp;ED$2&amp;"+"&amp;AX147&amp;ED$1)</f>
        <v/>
      </c>
      <c r="EE147" s="30" t="str">
        <f t="shared" ref="EE147:EE188" si="1891">IF(AY147="","","|n"&amp;EE$2&amp;"+"&amp;AY147&amp;EE$1)</f>
        <v/>
      </c>
      <c r="EF147" s="30" t="str">
        <f t="shared" ref="EF147:EF188" si="1892">IF(AZ147="","","|n"&amp;EF$2&amp;"+"&amp;AZ147&amp;EF$1)</f>
        <v/>
      </c>
      <c r="EG147" s="30" t="str">
        <f t="shared" ref="EG147:EG188" si="1893">IF(BA147="","","|n"&amp;EG$2&amp;"+"&amp;BA147&amp;EG$1)</f>
        <v/>
      </c>
      <c r="EH147" s="30" t="str">
        <f t="shared" ref="EH147:EH188" si="1894">IF(BB147="","","|n"&amp;EH$2&amp;"+"&amp;BB147&amp;EH$1)</f>
        <v/>
      </c>
      <c r="EI147" s="30" t="str">
        <f t="shared" ref="EI147:EI188" si="1895">IF(BC147="","","|n"&amp;EI$2&amp;"+"&amp;BC147&amp;EI$1)</f>
        <v/>
      </c>
      <c r="EJ147" s="30" t="str">
        <f t="shared" ref="EJ147:EJ188" si="1896">IF(BD147="","","|n"&amp;EJ$2&amp;"+"&amp;BD147&amp;EJ$1)</f>
        <v/>
      </c>
      <c r="EK147" s="30" t="str">
        <f t="shared" ref="EK147:EK188" si="1897">IF(BE147="","","|n"&amp;EK$2&amp;"+"&amp;BE147&amp;EK$1)</f>
        <v/>
      </c>
      <c r="EL147" s="30" t="str">
        <f t="shared" ref="EL147:EL188" si="1898">IF(BF147="","","|n"&amp;EL$2&amp;"+"&amp;BF147&amp;EL$1)</f>
        <v/>
      </c>
      <c r="EM147" s="30" t="str">
        <f t="shared" ref="EM147:EM188" si="1899">IF(BG147="","","|n"&amp;EM$2&amp;"+"&amp;BG147&amp;EM$1)</f>
        <v/>
      </c>
      <c r="EN147" s="30" t="str">
        <f t="shared" ref="EN147:EN188" si="1900">IF(BH147="","","|n"&amp;EN$2&amp;"+"&amp;BH147&amp;EN$1)</f>
        <v/>
      </c>
      <c r="EO147" s="30" t="str">
        <f t="shared" ref="EO147:EO188" si="1901">IF(BI147="","","|n"&amp;EO$2&amp;"+"&amp;BI147&amp;EO$1)</f>
        <v/>
      </c>
      <c r="EP147" s="30" t="str">
        <f t="shared" ref="EP147:EP188" si="1902">IF(BJ147="","","|n"&amp;EP$2&amp;"+"&amp;BJ147&amp;EP$1)</f>
        <v/>
      </c>
      <c r="EQ147" s="30" t="str">
        <f t="shared" ref="EQ147:EQ188" si="1903">IF(BK147="","","|n"&amp;EQ$2&amp;"+"&amp;BK147&amp;EQ$1)</f>
        <v/>
      </c>
      <c r="ER147" s="30" t="str">
        <f t="shared" ref="ER147:ER188" si="1904">IF(BL147="","","|n"&amp;ER$2&amp;"+"&amp;BL147&amp;ER$1)</f>
        <v/>
      </c>
      <c r="ES147" s="30" t="str">
        <f t="shared" ref="ES147:ES188" si="1905">IF(BM147="","","|n"&amp;ES$2&amp;"+"&amp;BM147&amp;ES$1)</f>
        <v/>
      </c>
      <c r="ET147" s="30" t="str">
        <f t="shared" ref="ET147:ET188" si="1906">IF(BN147="","","|n"&amp;ET$2&amp;"+"&amp;BN147&amp;ET$1)</f>
        <v/>
      </c>
      <c r="EU147" s="30" t="str">
        <f t="shared" ref="EU147:EU188" si="1907">IF(BO147="","","|n"&amp;EU$2&amp;"+"&amp;BO147&amp;EU$1)</f>
        <v/>
      </c>
      <c r="EV147" s="30" t="str">
        <f t="shared" ref="EV147:EV188" si="1908">IF(BP147="","","|n"&amp;EV$2&amp;"+"&amp;BP147&amp;EV$1)</f>
        <v/>
      </c>
      <c r="EW147" s="30" t="str">
        <f t="shared" ref="EW147:EW188" si="1909">IF(BQ147="","","|n"&amp;EW$2&amp;"+"&amp;BQ147&amp;EW$1)</f>
        <v/>
      </c>
      <c r="EX147" s="30" t="str">
        <f t="shared" ref="EX147:EX188" si="1910">IF(BR147="","","|n"&amp;EX$2&amp;"+"&amp;BR147&amp;EX$1)</f>
        <v/>
      </c>
      <c r="EY147" s="30" t="str">
        <f t="shared" ref="EY147:EY188" si="1911">IF(BS147="","","|n"&amp;EY$2&amp;"+"&amp;BS147&amp;EY$1)</f>
        <v/>
      </c>
      <c r="EZ147" s="30" t="str">
        <f t="shared" ref="EZ147:EZ188" si="1912">IF(BT147="","","|n"&amp;EZ$2&amp;"+"&amp;BT147&amp;EZ$1)</f>
        <v/>
      </c>
      <c r="FA147" s="30" t="str">
        <f t="shared" ref="FA147:FA188" si="1913">IF(BU147="","","|n"&amp;FA$2&amp;"+"&amp;BU147&amp;FA$1)</f>
        <v/>
      </c>
      <c r="FB147" s="30" t="str">
        <f t="shared" ref="FB147:FB188" si="1914">IF(BV147="","","|n"&amp;FB$2&amp;"+"&amp;BV147&amp;FB$1)</f>
        <v/>
      </c>
      <c r="FC147" s="30" t="str">
        <f t="shared" ref="FC147:FC188" si="1915">IF(BW147="","","|n"&amp;FC$2&amp;"+"&amp;BW147&amp;FC$1)</f>
        <v/>
      </c>
      <c r="FD147" s="30" t="str">
        <f t="shared" ref="FD147:FD188" si="1916">IF(BX147="","","|n"&amp;FD$2&amp;"+"&amp;BX147&amp;FD$1)</f>
        <v/>
      </c>
      <c r="FE147" s="30" t="str">
        <f t="shared" ref="FE147:FE188" si="1917">IF(BY147="","","|n"&amp;FE$2&amp;"+"&amp;BY147&amp;FE$1)</f>
        <v/>
      </c>
      <c r="FF147" s="30" t="str">
        <f t="shared" ref="FF147:FF188" si="1918">IF(BZ147="","","|n"&amp;FF$2&amp;"+"&amp;BZ147&amp;FF$1)</f>
        <v/>
      </c>
      <c r="FG147" s="30" t="str">
        <f t="shared" ref="FG147:FG188" si="1919">IF(CA147="","","|n"&amp;FG$2&amp;"+"&amp;CA147&amp;FG$1)</f>
        <v/>
      </c>
      <c r="FH147" s="30" t="str">
        <f t="shared" ref="FH147:FH188" si="1920">IF(CB147="","","|n"&amp;FH$2&amp;"+"&amp;CB147&amp;FH$1)</f>
        <v/>
      </c>
      <c r="FI147" s="30" t="str">
        <f t="shared" ref="FI147:FI188" si="1921">IF(CC147="","","|n"&amp;FI$2&amp;"+"&amp;CC147&amp;FI$1)</f>
        <v/>
      </c>
      <c r="FJ147" s="30" t="str">
        <f t="shared" ref="FJ147:FJ188" si="1922">IF(CD147="","","|n"&amp;FJ$2&amp;"+"&amp;CD147&amp;FJ$1)</f>
        <v/>
      </c>
      <c r="FK147" s="30" t="str">
        <f t="shared" ref="FK147:FK188" si="1923">IF(CE147="","","|n"&amp;FK$2&amp;"+"&amp;CE147&amp;FK$1)</f>
        <v/>
      </c>
      <c r="FL147" s="30" t="str">
        <f t="shared" ref="FL147:FL188" si="1924">IF(CF147="","","|n"&amp;FL$2&amp;"+"&amp;CF147&amp;FL$1)</f>
        <v/>
      </c>
      <c r="FM147" s="30" t="str">
        <f t="shared" ref="FM147:FM188" si="1925">IF(CG147="","","|n"&amp;FM$2&amp;"+"&amp;CG147&amp;FM$1)</f>
        <v/>
      </c>
      <c r="FN147" s="30" t="str">
        <f t="shared" ref="FN147:FN188" si="1926">IF(CH147="","","|n"&amp;FN$2&amp;"+"&amp;CH147&amp;FN$1)</f>
        <v/>
      </c>
      <c r="FO147" s="30" t="str">
        <f t="shared" ref="FO147:FO188" si="1927">IF(CI147="","","|n"&amp;FO$2&amp;"+"&amp;CI147&amp;FO$1)</f>
        <v/>
      </c>
      <c r="FP147" s="30" t="str">
        <f t="shared" ref="FP147:FP188" si="1928">IF(CJ147="","","|n"&amp;FP$2&amp;"+"&amp;CJ147&amp;FP$1)</f>
        <v/>
      </c>
      <c r="FQ147" s="30" t="str">
        <f t="shared" ref="FQ147:FQ188" si="1929">IF(CK147="","","|n"&amp;FQ$2&amp;"+"&amp;CK147&amp;FQ$1)</f>
        <v/>
      </c>
      <c r="FR147" s="30" t="str">
        <f t="shared" ref="FR147:FR188" si="1930">IF(CL147="","","|n"&amp;FR$2&amp;"+"&amp;CL147&amp;FR$1)</f>
        <v/>
      </c>
      <c r="FS147" s="30" t="str">
        <f t="shared" ref="FS147:FS188" si="1931">IF(CM147="","","|n"&amp;FS$2&amp;"+"&amp;CM147&amp;FS$1)</f>
        <v/>
      </c>
    </row>
    <row r="148" spans="1:175">
      <c r="A148" s="66"/>
      <c r="B148" s="66"/>
      <c r="C148" s="66"/>
      <c r="T148" s="100"/>
      <c r="U148" s="32"/>
      <c r="CN148" s="7" t="str">
        <f t="shared" si="1856"/>
        <v>InitUnitState('',,,,,,,,,,)</v>
      </c>
      <c r="CO148" s="7" t="str">
        <f t="shared" si="1857"/>
        <v>InitUnitNormal('',,,,,,,,,,)</v>
      </c>
      <c r="CP148" s="7" t="str">
        <f t="shared" si="1858"/>
        <v>InitUnitMagic('',,,,,,,,,,)</v>
      </c>
      <c r="CQ148" s="7" t="str">
        <f t="shared" si="1859"/>
        <v>InitUnitAdd('',,,,,,,,,,)</v>
      </c>
      <c r="CR148" s="7" t="str">
        <f t="shared" si="1860"/>
        <v>InitEquipData('',,"",,,,,'','','','','','',"")</v>
      </c>
      <c r="CU148" s="45" t="str">
        <f t="shared" si="1861"/>
        <v>|n</v>
      </c>
      <c r="CW148" s="24"/>
      <c r="CX148" s="24"/>
      <c r="CY148" s="24"/>
      <c r="CZ148" s="24"/>
      <c r="DA148" s="24"/>
      <c r="DB148" s="30" t="str">
        <f t="shared" si="1862"/>
        <v/>
      </c>
      <c r="DC148" s="30" t="str">
        <f t="shared" si="1863"/>
        <v/>
      </c>
      <c r="DD148" s="30" t="str">
        <f t="shared" si="1864"/>
        <v/>
      </c>
      <c r="DE148" s="30" t="str">
        <f t="shared" si="1865"/>
        <v/>
      </c>
      <c r="DF148" s="30" t="str">
        <f t="shared" si="1866"/>
        <v/>
      </c>
      <c r="DG148" s="30" t="str">
        <f t="shared" si="1867"/>
        <v/>
      </c>
      <c r="DH148" s="30" t="str">
        <f t="shared" si="1868"/>
        <v/>
      </c>
      <c r="DI148" s="30" t="str">
        <f t="shared" si="1869"/>
        <v/>
      </c>
      <c r="DJ148" s="30" t="str">
        <f t="shared" si="1870"/>
        <v/>
      </c>
      <c r="DK148" s="30" t="str">
        <f t="shared" si="1871"/>
        <v/>
      </c>
      <c r="DL148" s="30" t="str">
        <f t="shared" si="1872"/>
        <v/>
      </c>
      <c r="DM148" s="30" t="str">
        <f t="shared" si="1873"/>
        <v/>
      </c>
      <c r="DN148" s="30" t="str">
        <f t="shared" si="1874"/>
        <v/>
      </c>
      <c r="DO148" s="30" t="str">
        <f t="shared" si="1875"/>
        <v/>
      </c>
      <c r="DP148" s="30" t="str">
        <f t="shared" si="1876"/>
        <v/>
      </c>
      <c r="DQ148" s="30" t="str">
        <f t="shared" si="1877"/>
        <v/>
      </c>
      <c r="DR148" s="30" t="str">
        <f t="shared" si="1878"/>
        <v/>
      </c>
      <c r="DS148" s="30" t="str">
        <f t="shared" si="1879"/>
        <v/>
      </c>
      <c r="DT148" s="30" t="str">
        <f t="shared" si="1880"/>
        <v/>
      </c>
      <c r="DU148" s="30" t="str">
        <f t="shared" si="1881"/>
        <v/>
      </c>
      <c r="DV148" s="30" t="str">
        <f t="shared" si="1882"/>
        <v/>
      </c>
      <c r="DW148" s="30" t="str">
        <f t="shared" si="1883"/>
        <v/>
      </c>
      <c r="DX148" s="30" t="str">
        <f t="shared" si="1884"/>
        <v/>
      </c>
      <c r="DY148" s="30" t="str">
        <f t="shared" si="1885"/>
        <v/>
      </c>
      <c r="DZ148" s="30" t="str">
        <f t="shared" si="1886"/>
        <v/>
      </c>
      <c r="EA148" s="30" t="str">
        <f t="shared" si="1887"/>
        <v/>
      </c>
      <c r="EB148" s="30" t="str">
        <f t="shared" si="1888"/>
        <v/>
      </c>
      <c r="EC148" s="30" t="str">
        <f t="shared" si="1889"/>
        <v/>
      </c>
      <c r="ED148" s="30" t="str">
        <f t="shared" si="1890"/>
        <v/>
      </c>
      <c r="EE148" s="30" t="str">
        <f t="shared" si="1891"/>
        <v/>
      </c>
      <c r="EF148" s="30" t="str">
        <f t="shared" si="1892"/>
        <v/>
      </c>
      <c r="EG148" s="30" t="str">
        <f t="shared" si="1893"/>
        <v/>
      </c>
      <c r="EH148" s="30" t="str">
        <f t="shared" si="1894"/>
        <v/>
      </c>
      <c r="EI148" s="30" t="str">
        <f t="shared" si="1895"/>
        <v/>
      </c>
      <c r="EJ148" s="30" t="str">
        <f t="shared" si="1896"/>
        <v/>
      </c>
      <c r="EK148" s="30" t="str">
        <f t="shared" si="1897"/>
        <v/>
      </c>
      <c r="EL148" s="30" t="str">
        <f t="shared" si="1898"/>
        <v/>
      </c>
      <c r="EM148" s="30" t="str">
        <f t="shared" si="1899"/>
        <v/>
      </c>
      <c r="EN148" s="30" t="str">
        <f t="shared" si="1900"/>
        <v/>
      </c>
      <c r="EO148" s="30" t="str">
        <f t="shared" si="1901"/>
        <v/>
      </c>
      <c r="EP148" s="30" t="str">
        <f t="shared" si="1902"/>
        <v/>
      </c>
      <c r="EQ148" s="30" t="str">
        <f t="shared" si="1903"/>
        <v/>
      </c>
      <c r="ER148" s="30" t="str">
        <f t="shared" si="1904"/>
        <v/>
      </c>
      <c r="ES148" s="30" t="str">
        <f t="shared" si="1905"/>
        <v/>
      </c>
      <c r="ET148" s="30" t="str">
        <f t="shared" si="1906"/>
        <v/>
      </c>
      <c r="EU148" s="30" t="str">
        <f t="shared" si="1907"/>
        <v/>
      </c>
      <c r="EV148" s="30" t="str">
        <f t="shared" si="1908"/>
        <v/>
      </c>
      <c r="EW148" s="30" t="str">
        <f t="shared" si="1909"/>
        <v/>
      </c>
      <c r="EX148" s="30" t="str">
        <f t="shared" si="1910"/>
        <v/>
      </c>
      <c r="EY148" s="30" t="str">
        <f t="shared" si="1911"/>
        <v/>
      </c>
      <c r="EZ148" s="30" t="str">
        <f t="shared" si="1912"/>
        <v/>
      </c>
      <c r="FA148" s="30" t="str">
        <f t="shared" si="1913"/>
        <v/>
      </c>
      <c r="FB148" s="30" t="str">
        <f t="shared" si="1914"/>
        <v/>
      </c>
      <c r="FC148" s="30" t="str">
        <f t="shared" si="1915"/>
        <v/>
      </c>
      <c r="FD148" s="30" t="str">
        <f t="shared" si="1916"/>
        <v/>
      </c>
      <c r="FE148" s="30" t="str">
        <f t="shared" si="1917"/>
        <v/>
      </c>
      <c r="FF148" s="30" t="str">
        <f t="shared" si="1918"/>
        <v/>
      </c>
      <c r="FG148" s="30" t="str">
        <f t="shared" si="1919"/>
        <v/>
      </c>
      <c r="FH148" s="30" t="str">
        <f t="shared" si="1920"/>
        <v/>
      </c>
      <c r="FI148" s="30" t="str">
        <f t="shared" si="1921"/>
        <v/>
      </c>
      <c r="FJ148" s="30" t="str">
        <f t="shared" si="1922"/>
        <v/>
      </c>
      <c r="FK148" s="30" t="str">
        <f t="shared" si="1923"/>
        <v/>
      </c>
      <c r="FL148" s="30" t="str">
        <f t="shared" si="1924"/>
        <v/>
      </c>
      <c r="FM148" s="30" t="str">
        <f t="shared" si="1925"/>
        <v/>
      </c>
      <c r="FN148" s="30" t="str">
        <f t="shared" si="1926"/>
        <v/>
      </c>
      <c r="FO148" s="30" t="str">
        <f t="shared" si="1927"/>
        <v/>
      </c>
      <c r="FP148" s="30" t="str">
        <f t="shared" si="1928"/>
        <v/>
      </c>
      <c r="FQ148" s="30" t="str">
        <f t="shared" si="1929"/>
        <v/>
      </c>
      <c r="FR148" s="30" t="str">
        <f t="shared" si="1930"/>
        <v/>
      </c>
      <c r="FS148" s="30" t="str">
        <f t="shared" si="1931"/>
        <v/>
      </c>
    </row>
    <row r="149" spans="1:175">
      <c r="A149" s="66"/>
      <c r="B149" s="66"/>
      <c r="C149" s="66"/>
      <c r="T149" s="100"/>
      <c r="U149" s="32"/>
      <c r="CN149" s="7" t="str">
        <f t="shared" si="1856"/>
        <v>InitUnitState('',,,,,,,,,,)</v>
      </c>
      <c r="CO149" s="7" t="str">
        <f t="shared" si="1857"/>
        <v>InitUnitNormal('',,,,,,,,,,)</v>
      </c>
      <c r="CP149" s="7" t="str">
        <f t="shared" si="1858"/>
        <v>InitUnitMagic('',,,,,,,,,,)</v>
      </c>
      <c r="CQ149" s="7" t="str">
        <f t="shared" si="1859"/>
        <v>InitUnitAdd('',,,,,,,,,,)</v>
      </c>
      <c r="CR149" s="7" t="str">
        <f t="shared" si="1860"/>
        <v>InitEquipData('',,"",,,,,'','','','','','',"")</v>
      </c>
      <c r="CU149" s="45" t="str">
        <f t="shared" si="1861"/>
        <v>|n</v>
      </c>
      <c r="CW149" s="24"/>
      <c r="CX149" s="24"/>
      <c r="CY149" s="24"/>
      <c r="CZ149" s="24"/>
      <c r="DA149" s="24"/>
      <c r="DB149" s="30" t="str">
        <f t="shared" si="1862"/>
        <v/>
      </c>
      <c r="DC149" s="30" t="str">
        <f t="shared" si="1863"/>
        <v/>
      </c>
      <c r="DD149" s="30" t="str">
        <f t="shared" si="1864"/>
        <v/>
      </c>
      <c r="DE149" s="30" t="str">
        <f t="shared" si="1865"/>
        <v/>
      </c>
      <c r="DF149" s="30" t="str">
        <f t="shared" si="1866"/>
        <v/>
      </c>
      <c r="DG149" s="30" t="str">
        <f t="shared" si="1867"/>
        <v/>
      </c>
      <c r="DH149" s="30" t="str">
        <f t="shared" si="1868"/>
        <v/>
      </c>
      <c r="DI149" s="30" t="str">
        <f t="shared" si="1869"/>
        <v/>
      </c>
      <c r="DJ149" s="30" t="str">
        <f t="shared" si="1870"/>
        <v/>
      </c>
      <c r="DK149" s="30" t="str">
        <f t="shared" si="1871"/>
        <v/>
      </c>
      <c r="DL149" s="30" t="str">
        <f t="shared" si="1872"/>
        <v/>
      </c>
      <c r="DM149" s="30" t="str">
        <f t="shared" si="1873"/>
        <v/>
      </c>
      <c r="DN149" s="30" t="str">
        <f t="shared" si="1874"/>
        <v/>
      </c>
      <c r="DO149" s="30" t="str">
        <f t="shared" si="1875"/>
        <v/>
      </c>
      <c r="DP149" s="30" t="str">
        <f t="shared" si="1876"/>
        <v/>
      </c>
      <c r="DQ149" s="30" t="str">
        <f t="shared" si="1877"/>
        <v/>
      </c>
      <c r="DR149" s="30" t="str">
        <f t="shared" si="1878"/>
        <v/>
      </c>
      <c r="DS149" s="30" t="str">
        <f t="shared" si="1879"/>
        <v/>
      </c>
      <c r="DT149" s="30" t="str">
        <f t="shared" si="1880"/>
        <v/>
      </c>
      <c r="DU149" s="30" t="str">
        <f t="shared" si="1881"/>
        <v/>
      </c>
      <c r="DV149" s="30" t="str">
        <f t="shared" si="1882"/>
        <v/>
      </c>
      <c r="DW149" s="30" t="str">
        <f t="shared" si="1883"/>
        <v/>
      </c>
      <c r="DX149" s="30" t="str">
        <f t="shared" si="1884"/>
        <v/>
      </c>
      <c r="DY149" s="30" t="str">
        <f t="shared" si="1885"/>
        <v/>
      </c>
      <c r="DZ149" s="30" t="str">
        <f t="shared" si="1886"/>
        <v/>
      </c>
      <c r="EA149" s="30" t="str">
        <f t="shared" si="1887"/>
        <v/>
      </c>
      <c r="EB149" s="30" t="str">
        <f t="shared" si="1888"/>
        <v/>
      </c>
      <c r="EC149" s="30" t="str">
        <f t="shared" si="1889"/>
        <v/>
      </c>
      <c r="ED149" s="30" t="str">
        <f t="shared" si="1890"/>
        <v/>
      </c>
      <c r="EE149" s="30" t="str">
        <f t="shared" si="1891"/>
        <v/>
      </c>
      <c r="EF149" s="30" t="str">
        <f t="shared" si="1892"/>
        <v/>
      </c>
      <c r="EG149" s="30" t="str">
        <f t="shared" si="1893"/>
        <v/>
      </c>
      <c r="EH149" s="30" t="str">
        <f t="shared" si="1894"/>
        <v/>
      </c>
      <c r="EI149" s="30" t="str">
        <f t="shared" si="1895"/>
        <v/>
      </c>
      <c r="EJ149" s="30" t="str">
        <f t="shared" si="1896"/>
        <v/>
      </c>
      <c r="EK149" s="30" t="str">
        <f t="shared" si="1897"/>
        <v/>
      </c>
      <c r="EL149" s="30" t="str">
        <f t="shared" si="1898"/>
        <v/>
      </c>
      <c r="EM149" s="30" t="str">
        <f t="shared" si="1899"/>
        <v/>
      </c>
      <c r="EN149" s="30" t="str">
        <f t="shared" si="1900"/>
        <v/>
      </c>
      <c r="EO149" s="30" t="str">
        <f t="shared" si="1901"/>
        <v/>
      </c>
      <c r="EP149" s="30" t="str">
        <f t="shared" si="1902"/>
        <v/>
      </c>
      <c r="EQ149" s="30" t="str">
        <f t="shared" si="1903"/>
        <v/>
      </c>
      <c r="ER149" s="30" t="str">
        <f t="shared" si="1904"/>
        <v/>
      </c>
      <c r="ES149" s="30" t="str">
        <f t="shared" si="1905"/>
        <v/>
      </c>
      <c r="ET149" s="30" t="str">
        <f t="shared" si="1906"/>
        <v/>
      </c>
      <c r="EU149" s="30" t="str">
        <f t="shared" si="1907"/>
        <v/>
      </c>
      <c r="EV149" s="30" t="str">
        <f t="shared" si="1908"/>
        <v/>
      </c>
      <c r="EW149" s="30" t="str">
        <f t="shared" si="1909"/>
        <v/>
      </c>
      <c r="EX149" s="30" t="str">
        <f t="shared" si="1910"/>
        <v/>
      </c>
      <c r="EY149" s="30" t="str">
        <f t="shared" si="1911"/>
        <v/>
      </c>
      <c r="EZ149" s="30" t="str">
        <f t="shared" si="1912"/>
        <v/>
      </c>
      <c r="FA149" s="30" t="str">
        <f t="shared" si="1913"/>
        <v/>
      </c>
      <c r="FB149" s="30" t="str">
        <f t="shared" si="1914"/>
        <v/>
      </c>
      <c r="FC149" s="30" t="str">
        <f t="shared" si="1915"/>
        <v/>
      </c>
      <c r="FD149" s="30" t="str">
        <f t="shared" si="1916"/>
        <v/>
      </c>
      <c r="FE149" s="30" t="str">
        <f t="shared" si="1917"/>
        <v/>
      </c>
      <c r="FF149" s="30" t="str">
        <f t="shared" si="1918"/>
        <v/>
      </c>
      <c r="FG149" s="30" t="str">
        <f t="shared" si="1919"/>
        <v/>
      </c>
      <c r="FH149" s="30" t="str">
        <f t="shared" si="1920"/>
        <v/>
      </c>
      <c r="FI149" s="30" t="str">
        <f t="shared" si="1921"/>
        <v/>
      </c>
      <c r="FJ149" s="30" t="str">
        <f t="shared" si="1922"/>
        <v/>
      </c>
      <c r="FK149" s="30" t="str">
        <f t="shared" si="1923"/>
        <v/>
      </c>
      <c r="FL149" s="30" t="str">
        <f t="shared" si="1924"/>
        <v/>
      </c>
      <c r="FM149" s="30" t="str">
        <f t="shared" si="1925"/>
        <v/>
      </c>
      <c r="FN149" s="30" t="str">
        <f t="shared" si="1926"/>
        <v/>
      </c>
      <c r="FO149" s="30" t="str">
        <f t="shared" si="1927"/>
        <v/>
      </c>
      <c r="FP149" s="30" t="str">
        <f t="shared" si="1928"/>
        <v/>
      </c>
      <c r="FQ149" s="30" t="str">
        <f t="shared" si="1929"/>
        <v/>
      </c>
      <c r="FR149" s="30" t="str">
        <f t="shared" si="1930"/>
        <v/>
      </c>
      <c r="FS149" s="30" t="str">
        <f t="shared" si="1931"/>
        <v/>
      </c>
    </row>
    <row r="150" spans="1:175">
      <c r="A150" s="66"/>
      <c r="B150" s="66"/>
      <c r="C150" s="66"/>
      <c r="T150" s="100"/>
      <c r="U150" s="32"/>
      <c r="CN150" s="7" t="str">
        <f t="shared" si="1856"/>
        <v>InitUnitState('',,,,,,,,,,)</v>
      </c>
      <c r="CO150" s="7" t="str">
        <f t="shared" si="1857"/>
        <v>InitUnitNormal('',,,,,,,,,,)</v>
      </c>
      <c r="CP150" s="7" t="str">
        <f t="shared" si="1858"/>
        <v>InitUnitMagic('',,,,,,,,,,)</v>
      </c>
      <c r="CQ150" s="7" t="str">
        <f t="shared" si="1859"/>
        <v>InitUnitAdd('',,,,,,,,,,)</v>
      </c>
      <c r="CR150" s="7" t="str">
        <f t="shared" si="1860"/>
        <v>InitEquipData('',,"",,,,,'','','','','','',"")</v>
      </c>
      <c r="CU150" s="45" t="str">
        <f t="shared" si="1861"/>
        <v>|n</v>
      </c>
      <c r="CW150" s="24"/>
      <c r="CX150" s="24"/>
      <c r="CY150" s="24"/>
      <c r="CZ150" s="24"/>
      <c r="DA150" s="24"/>
      <c r="DB150" s="30" t="str">
        <f t="shared" si="1862"/>
        <v/>
      </c>
      <c r="DC150" s="30" t="str">
        <f t="shared" si="1863"/>
        <v/>
      </c>
      <c r="DD150" s="30" t="str">
        <f t="shared" si="1864"/>
        <v/>
      </c>
      <c r="DE150" s="30" t="str">
        <f t="shared" si="1865"/>
        <v/>
      </c>
      <c r="DF150" s="30" t="str">
        <f t="shared" si="1866"/>
        <v/>
      </c>
      <c r="DG150" s="30" t="str">
        <f t="shared" si="1867"/>
        <v/>
      </c>
      <c r="DH150" s="30" t="str">
        <f t="shared" si="1868"/>
        <v/>
      </c>
      <c r="DI150" s="30" t="str">
        <f t="shared" si="1869"/>
        <v/>
      </c>
      <c r="DJ150" s="30" t="str">
        <f t="shared" si="1870"/>
        <v/>
      </c>
      <c r="DK150" s="30" t="str">
        <f t="shared" si="1871"/>
        <v/>
      </c>
      <c r="DL150" s="30" t="str">
        <f t="shared" si="1872"/>
        <v/>
      </c>
      <c r="DM150" s="30" t="str">
        <f t="shared" si="1873"/>
        <v/>
      </c>
      <c r="DN150" s="30" t="str">
        <f t="shared" si="1874"/>
        <v/>
      </c>
      <c r="DO150" s="30" t="str">
        <f t="shared" si="1875"/>
        <v/>
      </c>
      <c r="DP150" s="30" t="str">
        <f t="shared" si="1876"/>
        <v/>
      </c>
      <c r="DQ150" s="30" t="str">
        <f t="shared" si="1877"/>
        <v/>
      </c>
      <c r="DR150" s="30" t="str">
        <f t="shared" si="1878"/>
        <v/>
      </c>
      <c r="DS150" s="30" t="str">
        <f t="shared" si="1879"/>
        <v/>
      </c>
      <c r="DT150" s="30" t="str">
        <f t="shared" si="1880"/>
        <v/>
      </c>
      <c r="DU150" s="30" t="str">
        <f t="shared" si="1881"/>
        <v/>
      </c>
      <c r="DV150" s="30" t="str">
        <f t="shared" si="1882"/>
        <v/>
      </c>
      <c r="DW150" s="30" t="str">
        <f t="shared" si="1883"/>
        <v/>
      </c>
      <c r="DX150" s="30" t="str">
        <f t="shared" si="1884"/>
        <v/>
      </c>
      <c r="DY150" s="30" t="str">
        <f t="shared" si="1885"/>
        <v/>
      </c>
      <c r="DZ150" s="30" t="str">
        <f t="shared" si="1886"/>
        <v/>
      </c>
      <c r="EA150" s="30" t="str">
        <f t="shared" si="1887"/>
        <v/>
      </c>
      <c r="EB150" s="30" t="str">
        <f t="shared" si="1888"/>
        <v/>
      </c>
      <c r="EC150" s="30" t="str">
        <f t="shared" si="1889"/>
        <v/>
      </c>
      <c r="ED150" s="30" t="str">
        <f t="shared" si="1890"/>
        <v/>
      </c>
      <c r="EE150" s="30" t="str">
        <f t="shared" si="1891"/>
        <v/>
      </c>
      <c r="EF150" s="30" t="str">
        <f t="shared" si="1892"/>
        <v/>
      </c>
      <c r="EG150" s="30" t="str">
        <f t="shared" si="1893"/>
        <v/>
      </c>
      <c r="EH150" s="30" t="str">
        <f t="shared" si="1894"/>
        <v/>
      </c>
      <c r="EI150" s="30" t="str">
        <f t="shared" si="1895"/>
        <v/>
      </c>
      <c r="EJ150" s="30" t="str">
        <f t="shared" si="1896"/>
        <v/>
      </c>
      <c r="EK150" s="30" t="str">
        <f t="shared" si="1897"/>
        <v/>
      </c>
      <c r="EL150" s="30" t="str">
        <f t="shared" si="1898"/>
        <v/>
      </c>
      <c r="EM150" s="30" t="str">
        <f t="shared" si="1899"/>
        <v/>
      </c>
      <c r="EN150" s="30" t="str">
        <f t="shared" si="1900"/>
        <v/>
      </c>
      <c r="EO150" s="30" t="str">
        <f t="shared" si="1901"/>
        <v/>
      </c>
      <c r="EP150" s="30" t="str">
        <f t="shared" si="1902"/>
        <v/>
      </c>
      <c r="EQ150" s="30" t="str">
        <f t="shared" si="1903"/>
        <v/>
      </c>
      <c r="ER150" s="30" t="str">
        <f t="shared" si="1904"/>
        <v/>
      </c>
      <c r="ES150" s="30" t="str">
        <f t="shared" si="1905"/>
        <v/>
      </c>
      <c r="ET150" s="30" t="str">
        <f t="shared" si="1906"/>
        <v/>
      </c>
      <c r="EU150" s="30" t="str">
        <f t="shared" si="1907"/>
        <v/>
      </c>
      <c r="EV150" s="30" t="str">
        <f t="shared" si="1908"/>
        <v/>
      </c>
      <c r="EW150" s="30" t="str">
        <f t="shared" si="1909"/>
        <v/>
      </c>
      <c r="EX150" s="30" t="str">
        <f t="shared" si="1910"/>
        <v/>
      </c>
      <c r="EY150" s="30" t="str">
        <f t="shared" si="1911"/>
        <v/>
      </c>
      <c r="EZ150" s="30" t="str">
        <f t="shared" si="1912"/>
        <v/>
      </c>
      <c r="FA150" s="30" t="str">
        <f t="shared" si="1913"/>
        <v/>
      </c>
      <c r="FB150" s="30" t="str">
        <f t="shared" si="1914"/>
        <v/>
      </c>
      <c r="FC150" s="30" t="str">
        <f t="shared" si="1915"/>
        <v/>
      </c>
      <c r="FD150" s="30" t="str">
        <f t="shared" si="1916"/>
        <v/>
      </c>
      <c r="FE150" s="30" t="str">
        <f t="shared" si="1917"/>
        <v/>
      </c>
      <c r="FF150" s="30" t="str">
        <f t="shared" si="1918"/>
        <v/>
      </c>
      <c r="FG150" s="30" t="str">
        <f t="shared" si="1919"/>
        <v/>
      </c>
      <c r="FH150" s="30" t="str">
        <f t="shared" si="1920"/>
        <v/>
      </c>
      <c r="FI150" s="30" t="str">
        <f t="shared" si="1921"/>
        <v/>
      </c>
      <c r="FJ150" s="30" t="str">
        <f t="shared" si="1922"/>
        <v/>
      </c>
      <c r="FK150" s="30" t="str">
        <f t="shared" si="1923"/>
        <v/>
      </c>
      <c r="FL150" s="30" t="str">
        <f t="shared" si="1924"/>
        <v/>
      </c>
      <c r="FM150" s="30" t="str">
        <f t="shared" si="1925"/>
        <v/>
      </c>
      <c r="FN150" s="30" t="str">
        <f t="shared" si="1926"/>
        <v/>
      </c>
      <c r="FO150" s="30" t="str">
        <f t="shared" si="1927"/>
        <v/>
      </c>
      <c r="FP150" s="30" t="str">
        <f t="shared" si="1928"/>
        <v/>
      </c>
      <c r="FQ150" s="30" t="str">
        <f t="shared" si="1929"/>
        <v/>
      </c>
      <c r="FR150" s="30" t="str">
        <f t="shared" si="1930"/>
        <v/>
      </c>
      <c r="FS150" s="30" t="str">
        <f t="shared" si="1931"/>
        <v/>
      </c>
    </row>
    <row r="151" spans="1:175">
      <c r="A151" s="66"/>
      <c r="B151" s="66"/>
      <c r="C151" s="66"/>
      <c r="T151" s="100"/>
      <c r="U151" s="32"/>
      <c r="CN151" s="7" t="str">
        <f t="shared" si="1856"/>
        <v>InitUnitState('',,,,,,,,,,)</v>
      </c>
      <c r="CO151" s="7" t="str">
        <f t="shared" si="1857"/>
        <v>InitUnitNormal('',,,,,,,,,,)</v>
      </c>
      <c r="CP151" s="7" t="str">
        <f t="shared" si="1858"/>
        <v>InitUnitMagic('',,,,,,,,,,)</v>
      </c>
      <c r="CQ151" s="7" t="str">
        <f t="shared" si="1859"/>
        <v>InitUnitAdd('',,,,,,,,,,)</v>
      </c>
      <c r="CR151" s="7" t="str">
        <f t="shared" si="1860"/>
        <v>InitEquipData('',,"",,,,,'','','','','','',"")</v>
      </c>
      <c r="CU151" s="45" t="str">
        <f t="shared" si="1861"/>
        <v>|n</v>
      </c>
      <c r="CW151" s="24"/>
      <c r="CX151" s="24"/>
      <c r="CY151" s="24"/>
      <c r="CZ151" s="24"/>
      <c r="DA151" s="24"/>
      <c r="DB151" s="30" t="str">
        <f t="shared" si="1862"/>
        <v/>
      </c>
      <c r="DC151" s="30" t="str">
        <f t="shared" si="1863"/>
        <v/>
      </c>
      <c r="DD151" s="30" t="str">
        <f t="shared" si="1864"/>
        <v/>
      </c>
      <c r="DE151" s="30" t="str">
        <f t="shared" si="1865"/>
        <v/>
      </c>
      <c r="DF151" s="30" t="str">
        <f t="shared" si="1866"/>
        <v/>
      </c>
      <c r="DG151" s="30" t="str">
        <f t="shared" si="1867"/>
        <v/>
      </c>
      <c r="DH151" s="30" t="str">
        <f t="shared" si="1868"/>
        <v/>
      </c>
      <c r="DI151" s="30" t="str">
        <f t="shared" si="1869"/>
        <v/>
      </c>
      <c r="DJ151" s="30" t="str">
        <f t="shared" si="1870"/>
        <v/>
      </c>
      <c r="DK151" s="30" t="str">
        <f t="shared" si="1871"/>
        <v/>
      </c>
      <c r="DL151" s="30" t="str">
        <f t="shared" si="1872"/>
        <v/>
      </c>
      <c r="DM151" s="30" t="str">
        <f t="shared" si="1873"/>
        <v/>
      </c>
      <c r="DN151" s="30" t="str">
        <f t="shared" si="1874"/>
        <v/>
      </c>
      <c r="DO151" s="30" t="str">
        <f t="shared" si="1875"/>
        <v/>
      </c>
      <c r="DP151" s="30" t="str">
        <f t="shared" si="1876"/>
        <v/>
      </c>
      <c r="DQ151" s="30" t="str">
        <f t="shared" si="1877"/>
        <v/>
      </c>
      <c r="DR151" s="30" t="str">
        <f t="shared" si="1878"/>
        <v/>
      </c>
      <c r="DS151" s="30" t="str">
        <f t="shared" si="1879"/>
        <v/>
      </c>
      <c r="DT151" s="30" t="str">
        <f t="shared" si="1880"/>
        <v/>
      </c>
      <c r="DU151" s="30" t="str">
        <f t="shared" si="1881"/>
        <v/>
      </c>
      <c r="DV151" s="30" t="str">
        <f t="shared" si="1882"/>
        <v/>
      </c>
      <c r="DW151" s="30" t="str">
        <f t="shared" si="1883"/>
        <v/>
      </c>
      <c r="DX151" s="30" t="str">
        <f t="shared" si="1884"/>
        <v/>
      </c>
      <c r="DY151" s="30" t="str">
        <f t="shared" si="1885"/>
        <v/>
      </c>
      <c r="DZ151" s="30" t="str">
        <f t="shared" si="1886"/>
        <v/>
      </c>
      <c r="EA151" s="30" t="str">
        <f t="shared" si="1887"/>
        <v/>
      </c>
      <c r="EB151" s="30" t="str">
        <f t="shared" si="1888"/>
        <v/>
      </c>
      <c r="EC151" s="30" t="str">
        <f t="shared" si="1889"/>
        <v/>
      </c>
      <c r="ED151" s="30" t="str">
        <f t="shared" si="1890"/>
        <v/>
      </c>
      <c r="EE151" s="30" t="str">
        <f t="shared" si="1891"/>
        <v/>
      </c>
      <c r="EF151" s="30" t="str">
        <f t="shared" si="1892"/>
        <v/>
      </c>
      <c r="EG151" s="30" t="str">
        <f t="shared" si="1893"/>
        <v/>
      </c>
      <c r="EH151" s="30" t="str">
        <f t="shared" si="1894"/>
        <v/>
      </c>
      <c r="EI151" s="30" t="str">
        <f t="shared" si="1895"/>
        <v/>
      </c>
      <c r="EJ151" s="30" t="str">
        <f t="shared" si="1896"/>
        <v/>
      </c>
      <c r="EK151" s="30" t="str">
        <f t="shared" si="1897"/>
        <v/>
      </c>
      <c r="EL151" s="30" t="str">
        <f t="shared" si="1898"/>
        <v/>
      </c>
      <c r="EM151" s="30" t="str">
        <f t="shared" si="1899"/>
        <v/>
      </c>
      <c r="EN151" s="30" t="str">
        <f t="shared" si="1900"/>
        <v/>
      </c>
      <c r="EO151" s="30" t="str">
        <f t="shared" si="1901"/>
        <v/>
      </c>
      <c r="EP151" s="30" t="str">
        <f t="shared" si="1902"/>
        <v/>
      </c>
      <c r="EQ151" s="30" t="str">
        <f t="shared" si="1903"/>
        <v/>
      </c>
      <c r="ER151" s="30" t="str">
        <f t="shared" si="1904"/>
        <v/>
      </c>
      <c r="ES151" s="30" t="str">
        <f t="shared" si="1905"/>
        <v/>
      </c>
      <c r="ET151" s="30" t="str">
        <f t="shared" si="1906"/>
        <v/>
      </c>
      <c r="EU151" s="30" t="str">
        <f t="shared" si="1907"/>
        <v/>
      </c>
      <c r="EV151" s="30" t="str">
        <f t="shared" si="1908"/>
        <v/>
      </c>
      <c r="EW151" s="30" t="str">
        <f t="shared" si="1909"/>
        <v/>
      </c>
      <c r="EX151" s="30" t="str">
        <f t="shared" si="1910"/>
        <v/>
      </c>
      <c r="EY151" s="30" t="str">
        <f t="shared" si="1911"/>
        <v/>
      </c>
      <c r="EZ151" s="30" t="str">
        <f t="shared" si="1912"/>
        <v/>
      </c>
      <c r="FA151" s="30" t="str">
        <f t="shared" si="1913"/>
        <v/>
      </c>
      <c r="FB151" s="30" t="str">
        <f t="shared" si="1914"/>
        <v/>
      </c>
      <c r="FC151" s="30" t="str">
        <f t="shared" si="1915"/>
        <v/>
      </c>
      <c r="FD151" s="30" t="str">
        <f t="shared" si="1916"/>
        <v/>
      </c>
      <c r="FE151" s="30" t="str">
        <f t="shared" si="1917"/>
        <v/>
      </c>
      <c r="FF151" s="30" t="str">
        <f t="shared" si="1918"/>
        <v/>
      </c>
      <c r="FG151" s="30" t="str">
        <f t="shared" si="1919"/>
        <v/>
      </c>
      <c r="FH151" s="30" t="str">
        <f t="shared" si="1920"/>
        <v/>
      </c>
      <c r="FI151" s="30" t="str">
        <f t="shared" si="1921"/>
        <v/>
      </c>
      <c r="FJ151" s="30" t="str">
        <f t="shared" si="1922"/>
        <v/>
      </c>
      <c r="FK151" s="30" t="str">
        <f t="shared" si="1923"/>
        <v/>
      </c>
      <c r="FL151" s="30" t="str">
        <f t="shared" si="1924"/>
        <v/>
      </c>
      <c r="FM151" s="30" t="str">
        <f t="shared" si="1925"/>
        <v/>
      </c>
      <c r="FN151" s="30" t="str">
        <f t="shared" si="1926"/>
        <v/>
      </c>
      <c r="FO151" s="30" t="str">
        <f t="shared" si="1927"/>
        <v/>
      </c>
      <c r="FP151" s="30" t="str">
        <f t="shared" si="1928"/>
        <v/>
      </c>
      <c r="FQ151" s="30" t="str">
        <f t="shared" si="1929"/>
        <v/>
      </c>
      <c r="FR151" s="30" t="str">
        <f t="shared" si="1930"/>
        <v/>
      </c>
      <c r="FS151" s="30" t="str">
        <f t="shared" si="1931"/>
        <v/>
      </c>
    </row>
    <row r="152" spans="1:175">
      <c r="A152" s="66"/>
      <c r="B152" s="66"/>
      <c r="C152" s="66"/>
      <c r="T152" s="100"/>
      <c r="U152" s="32"/>
      <c r="CN152" s="7" t="str">
        <f t="shared" si="1856"/>
        <v>InitUnitState('',,,,,,,,,,)</v>
      </c>
      <c r="CO152" s="7" t="str">
        <f t="shared" si="1857"/>
        <v>InitUnitNormal('',,,,,,,,,,)</v>
      </c>
      <c r="CP152" s="7" t="str">
        <f t="shared" si="1858"/>
        <v>InitUnitMagic('',,,,,,,,,,)</v>
      </c>
      <c r="CQ152" s="7" t="str">
        <f t="shared" si="1859"/>
        <v>InitUnitAdd('',,,,,,,,,,)</v>
      </c>
      <c r="CR152" s="7" t="str">
        <f t="shared" si="1860"/>
        <v>InitEquipData('',,"",,,,,'','','','','','',"")</v>
      </c>
      <c r="CU152" s="45" t="str">
        <f t="shared" si="1861"/>
        <v>|n</v>
      </c>
      <c r="CW152" s="24"/>
      <c r="CX152" s="24"/>
      <c r="CY152" s="24"/>
      <c r="CZ152" s="24"/>
      <c r="DA152" s="24"/>
      <c r="DB152" s="30" t="str">
        <f t="shared" si="1862"/>
        <v/>
      </c>
      <c r="DC152" s="30" t="str">
        <f t="shared" si="1863"/>
        <v/>
      </c>
      <c r="DD152" s="30" t="str">
        <f t="shared" si="1864"/>
        <v/>
      </c>
      <c r="DE152" s="30" t="str">
        <f t="shared" si="1865"/>
        <v/>
      </c>
      <c r="DF152" s="30" t="str">
        <f t="shared" si="1866"/>
        <v/>
      </c>
      <c r="DG152" s="30" t="str">
        <f t="shared" si="1867"/>
        <v/>
      </c>
      <c r="DH152" s="30" t="str">
        <f t="shared" si="1868"/>
        <v/>
      </c>
      <c r="DI152" s="30" t="str">
        <f t="shared" si="1869"/>
        <v/>
      </c>
      <c r="DJ152" s="30" t="str">
        <f t="shared" si="1870"/>
        <v/>
      </c>
      <c r="DK152" s="30" t="str">
        <f t="shared" si="1871"/>
        <v/>
      </c>
      <c r="DL152" s="30" t="str">
        <f t="shared" si="1872"/>
        <v/>
      </c>
      <c r="DM152" s="30" t="str">
        <f t="shared" si="1873"/>
        <v/>
      </c>
      <c r="DN152" s="30" t="str">
        <f t="shared" si="1874"/>
        <v/>
      </c>
      <c r="DO152" s="30" t="str">
        <f t="shared" si="1875"/>
        <v/>
      </c>
      <c r="DP152" s="30" t="str">
        <f t="shared" si="1876"/>
        <v/>
      </c>
      <c r="DQ152" s="30" t="str">
        <f t="shared" si="1877"/>
        <v/>
      </c>
      <c r="DR152" s="30" t="str">
        <f t="shared" si="1878"/>
        <v/>
      </c>
      <c r="DS152" s="30" t="str">
        <f t="shared" si="1879"/>
        <v/>
      </c>
      <c r="DT152" s="30" t="str">
        <f t="shared" si="1880"/>
        <v/>
      </c>
      <c r="DU152" s="30" t="str">
        <f t="shared" si="1881"/>
        <v/>
      </c>
      <c r="DV152" s="30" t="str">
        <f t="shared" si="1882"/>
        <v/>
      </c>
      <c r="DW152" s="30" t="str">
        <f t="shared" si="1883"/>
        <v/>
      </c>
      <c r="DX152" s="30" t="str">
        <f t="shared" si="1884"/>
        <v/>
      </c>
      <c r="DY152" s="30" t="str">
        <f t="shared" si="1885"/>
        <v/>
      </c>
      <c r="DZ152" s="30" t="str">
        <f t="shared" si="1886"/>
        <v/>
      </c>
      <c r="EA152" s="30" t="str">
        <f t="shared" si="1887"/>
        <v/>
      </c>
      <c r="EB152" s="30" t="str">
        <f t="shared" si="1888"/>
        <v/>
      </c>
      <c r="EC152" s="30" t="str">
        <f t="shared" si="1889"/>
        <v/>
      </c>
      <c r="ED152" s="30" t="str">
        <f t="shared" si="1890"/>
        <v/>
      </c>
      <c r="EE152" s="30" t="str">
        <f t="shared" si="1891"/>
        <v/>
      </c>
      <c r="EF152" s="30" t="str">
        <f t="shared" si="1892"/>
        <v/>
      </c>
      <c r="EG152" s="30" t="str">
        <f t="shared" si="1893"/>
        <v/>
      </c>
      <c r="EH152" s="30" t="str">
        <f t="shared" si="1894"/>
        <v/>
      </c>
      <c r="EI152" s="30" t="str">
        <f t="shared" si="1895"/>
        <v/>
      </c>
      <c r="EJ152" s="30" t="str">
        <f t="shared" si="1896"/>
        <v/>
      </c>
      <c r="EK152" s="30" t="str">
        <f t="shared" si="1897"/>
        <v/>
      </c>
      <c r="EL152" s="30" t="str">
        <f t="shared" si="1898"/>
        <v/>
      </c>
      <c r="EM152" s="30" t="str">
        <f t="shared" si="1899"/>
        <v/>
      </c>
      <c r="EN152" s="30" t="str">
        <f t="shared" si="1900"/>
        <v/>
      </c>
      <c r="EO152" s="30" t="str">
        <f t="shared" si="1901"/>
        <v/>
      </c>
      <c r="EP152" s="30" t="str">
        <f t="shared" si="1902"/>
        <v/>
      </c>
      <c r="EQ152" s="30" t="str">
        <f t="shared" si="1903"/>
        <v/>
      </c>
      <c r="ER152" s="30" t="str">
        <f t="shared" si="1904"/>
        <v/>
      </c>
      <c r="ES152" s="30" t="str">
        <f t="shared" si="1905"/>
        <v/>
      </c>
      <c r="ET152" s="30" t="str">
        <f t="shared" si="1906"/>
        <v/>
      </c>
      <c r="EU152" s="30" t="str">
        <f t="shared" si="1907"/>
        <v/>
      </c>
      <c r="EV152" s="30" t="str">
        <f t="shared" si="1908"/>
        <v/>
      </c>
      <c r="EW152" s="30" t="str">
        <f t="shared" si="1909"/>
        <v/>
      </c>
      <c r="EX152" s="30" t="str">
        <f t="shared" si="1910"/>
        <v/>
      </c>
      <c r="EY152" s="30" t="str">
        <f t="shared" si="1911"/>
        <v/>
      </c>
      <c r="EZ152" s="30" t="str">
        <f t="shared" si="1912"/>
        <v/>
      </c>
      <c r="FA152" s="30" t="str">
        <f t="shared" si="1913"/>
        <v/>
      </c>
      <c r="FB152" s="30" t="str">
        <f t="shared" si="1914"/>
        <v/>
      </c>
      <c r="FC152" s="30" t="str">
        <f t="shared" si="1915"/>
        <v/>
      </c>
      <c r="FD152" s="30" t="str">
        <f t="shared" si="1916"/>
        <v/>
      </c>
      <c r="FE152" s="30" t="str">
        <f t="shared" si="1917"/>
        <v/>
      </c>
      <c r="FF152" s="30" t="str">
        <f t="shared" si="1918"/>
        <v/>
      </c>
      <c r="FG152" s="30" t="str">
        <f t="shared" si="1919"/>
        <v/>
      </c>
      <c r="FH152" s="30" t="str">
        <f t="shared" si="1920"/>
        <v/>
      </c>
      <c r="FI152" s="30" t="str">
        <f t="shared" si="1921"/>
        <v/>
      </c>
      <c r="FJ152" s="30" t="str">
        <f t="shared" si="1922"/>
        <v/>
      </c>
      <c r="FK152" s="30" t="str">
        <f t="shared" si="1923"/>
        <v/>
      </c>
      <c r="FL152" s="30" t="str">
        <f t="shared" si="1924"/>
        <v/>
      </c>
      <c r="FM152" s="30" t="str">
        <f t="shared" si="1925"/>
        <v/>
      </c>
      <c r="FN152" s="30" t="str">
        <f t="shared" si="1926"/>
        <v/>
      </c>
      <c r="FO152" s="30" t="str">
        <f t="shared" si="1927"/>
        <v/>
      </c>
      <c r="FP152" s="30" t="str">
        <f t="shared" si="1928"/>
        <v/>
      </c>
      <c r="FQ152" s="30" t="str">
        <f t="shared" si="1929"/>
        <v/>
      </c>
      <c r="FR152" s="30" t="str">
        <f t="shared" si="1930"/>
        <v/>
      </c>
      <c r="FS152" s="30" t="str">
        <f t="shared" si="1931"/>
        <v/>
      </c>
    </row>
    <row r="153" spans="1:175" s="24" customFormat="1" ht="16.5">
      <c r="A153" s="46"/>
      <c r="B153" s="36"/>
      <c r="C153" s="46"/>
      <c r="D153" s="31"/>
      <c r="E153" s="39"/>
      <c r="F153" s="41"/>
      <c r="G153" s="47"/>
      <c r="H153" s="47"/>
      <c r="I153" s="47"/>
      <c r="J153" s="47"/>
      <c r="K153" s="47"/>
      <c r="L153" s="47"/>
      <c r="M153" s="47"/>
      <c r="N153" s="47"/>
      <c r="O153" s="47"/>
      <c r="P153" s="42"/>
      <c r="Q153" s="42"/>
      <c r="R153" s="42"/>
      <c r="S153" s="42"/>
      <c r="T153" s="102"/>
      <c r="U153" s="32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4" t="str">
        <f t="shared" si="1856"/>
        <v>InitUnitState('',,,,,,,,,,)</v>
      </c>
      <c r="CO153" s="44" t="str">
        <f t="shared" si="1857"/>
        <v>InitUnitNormal('',,,,,,,,,,)</v>
      </c>
      <c r="CP153" s="44" t="str">
        <f t="shared" si="1858"/>
        <v>InitUnitMagic('',,,,,,,,,,)</v>
      </c>
      <c r="CQ153" s="44" t="str">
        <f t="shared" si="1859"/>
        <v>InitUnitAdd('',,,,,,,,,,)</v>
      </c>
      <c r="CR153" s="44" t="str">
        <f t="shared" si="1860"/>
        <v>InitEquipData('',,"",,,,,'','','','','','',"")</v>
      </c>
      <c r="CS153" s="44"/>
      <c r="CT153" s="44"/>
      <c r="CU153" s="45" t="str">
        <f t="shared" si="1861"/>
        <v>|n</v>
      </c>
      <c r="CV153" s="29"/>
      <c r="DB153" s="30" t="str">
        <f t="shared" si="1862"/>
        <v/>
      </c>
      <c r="DC153" s="30" t="str">
        <f t="shared" si="1863"/>
        <v/>
      </c>
      <c r="DD153" s="30" t="str">
        <f t="shared" si="1864"/>
        <v/>
      </c>
      <c r="DE153" s="30" t="str">
        <f t="shared" si="1865"/>
        <v/>
      </c>
      <c r="DF153" s="30" t="str">
        <f t="shared" si="1866"/>
        <v/>
      </c>
      <c r="DG153" s="30" t="str">
        <f t="shared" si="1867"/>
        <v/>
      </c>
      <c r="DH153" s="30" t="str">
        <f t="shared" si="1868"/>
        <v/>
      </c>
      <c r="DI153" s="30" t="str">
        <f t="shared" si="1869"/>
        <v/>
      </c>
      <c r="DJ153" s="30" t="str">
        <f t="shared" si="1870"/>
        <v/>
      </c>
      <c r="DK153" s="30" t="str">
        <f t="shared" si="1871"/>
        <v/>
      </c>
      <c r="DL153" s="30" t="str">
        <f t="shared" si="1872"/>
        <v/>
      </c>
      <c r="DM153" s="30" t="str">
        <f t="shared" si="1873"/>
        <v/>
      </c>
      <c r="DN153" s="30" t="str">
        <f t="shared" si="1874"/>
        <v/>
      </c>
      <c r="DO153" s="30" t="str">
        <f t="shared" si="1875"/>
        <v/>
      </c>
      <c r="DP153" s="30" t="str">
        <f t="shared" si="1876"/>
        <v/>
      </c>
      <c r="DQ153" s="30" t="str">
        <f t="shared" si="1877"/>
        <v/>
      </c>
      <c r="DR153" s="30" t="str">
        <f t="shared" si="1878"/>
        <v/>
      </c>
      <c r="DS153" s="30" t="str">
        <f t="shared" si="1879"/>
        <v/>
      </c>
      <c r="DT153" s="30" t="str">
        <f t="shared" si="1880"/>
        <v/>
      </c>
      <c r="DU153" s="30" t="str">
        <f t="shared" si="1881"/>
        <v/>
      </c>
      <c r="DV153" s="30" t="str">
        <f t="shared" si="1882"/>
        <v/>
      </c>
      <c r="DW153" s="30" t="str">
        <f t="shared" si="1883"/>
        <v/>
      </c>
      <c r="DX153" s="30" t="str">
        <f t="shared" si="1884"/>
        <v/>
      </c>
      <c r="DY153" s="30" t="str">
        <f t="shared" si="1885"/>
        <v/>
      </c>
      <c r="DZ153" s="30" t="str">
        <f t="shared" si="1886"/>
        <v/>
      </c>
      <c r="EA153" s="30" t="str">
        <f t="shared" si="1887"/>
        <v/>
      </c>
      <c r="EB153" s="30" t="str">
        <f t="shared" si="1888"/>
        <v/>
      </c>
      <c r="EC153" s="30" t="str">
        <f t="shared" si="1889"/>
        <v/>
      </c>
      <c r="ED153" s="30" t="str">
        <f t="shared" si="1890"/>
        <v/>
      </c>
      <c r="EE153" s="30" t="str">
        <f t="shared" si="1891"/>
        <v/>
      </c>
      <c r="EF153" s="30" t="str">
        <f t="shared" si="1892"/>
        <v/>
      </c>
      <c r="EG153" s="30" t="str">
        <f t="shared" si="1893"/>
        <v/>
      </c>
      <c r="EH153" s="30" t="str">
        <f t="shared" si="1894"/>
        <v/>
      </c>
      <c r="EI153" s="30" t="str">
        <f t="shared" si="1895"/>
        <v/>
      </c>
      <c r="EJ153" s="30" t="str">
        <f t="shared" si="1896"/>
        <v/>
      </c>
      <c r="EK153" s="30" t="str">
        <f t="shared" si="1897"/>
        <v/>
      </c>
      <c r="EL153" s="30" t="str">
        <f t="shared" si="1898"/>
        <v/>
      </c>
      <c r="EM153" s="30" t="str">
        <f t="shared" si="1899"/>
        <v/>
      </c>
      <c r="EN153" s="30" t="str">
        <f t="shared" si="1900"/>
        <v/>
      </c>
      <c r="EO153" s="30" t="str">
        <f t="shared" si="1901"/>
        <v/>
      </c>
      <c r="EP153" s="30" t="str">
        <f t="shared" si="1902"/>
        <v/>
      </c>
      <c r="EQ153" s="30" t="str">
        <f t="shared" si="1903"/>
        <v/>
      </c>
      <c r="ER153" s="30" t="str">
        <f t="shared" si="1904"/>
        <v/>
      </c>
      <c r="ES153" s="30" t="str">
        <f t="shared" si="1905"/>
        <v/>
      </c>
      <c r="ET153" s="30" t="str">
        <f t="shared" si="1906"/>
        <v/>
      </c>
      <c r="EU153" s="30" t="str">
        <f t="shared" si="1907"/>
        <v/>
      </c>
      <c r="EV153" s="30" t="str">
        <f t="shared" si="1908"/>
        <v/>
      </c>
      <c r="EW153" s="30" t="str">
        <f t="shared" si="1909"/>
        <v/>
      </c>
      <c r="EX153" s="30" t="str">
        <f t="shared" si="1910"/>
        <v/>
      </c>
      <c r="EY153" s="30" t="str">
        <f t="shared" si="1911"/>
        <v/>
      </c>
      <c r="EZ153" s="30" t="str">
        <f t="shared" si="1912"/>
        <v/>
      </c>
      <c r="FA153" s="30" t="str">
        <f t="shared" si="1913"/>
        <v/>
      </c>
      <c r="FB153" s="30" t="str">
        <f t="shared" si="1914"/>
        <v/>
      </c>
      <c r="FC153" s="30" t="str">
        <f t="shared" si="1915"/>
        <v/>
      </c>
      <c r="FD153" s="30" t="str">
        <f t="shared" si="1916"/>
        <v/>
      </c>
      <c r="FE153" s="30" t="str">
        <f t="shared" si="1917"/>
        <v/>
      </c>
      <c r="FF153" s="30" t="str">
        <f t="shared" si="1918"/>
        <v/>
      </c>
      <c r="FG153" s="30" t="str">
        <f t="shared" si="1919"/>
        <v/>
      </c>
      <c r="FH153" s="30" t="str">
        <f t="shared" si="1920"/>
        <v/>
      </c>
      <c r="FI153" s="30" t="str">
        <f t="shared" si="1921"/>
        <v/>
      </c>
      <c r="FJ153" s="30" t="str">
        <f t="shared" si="1922"/>
        <v/>
      </c>
      <c r="FK153" s="30" t="str">
        <f t="shared" si="1923"/>
        <v/>
      </c>
      <c r="FL153" s="30" t="str">
        <f t="shared" si="1924"/>
        <v/>
      </c>
      <c r="FM153" s="30" t="str">
        <f t="shared" si="1925"/>
        <v/>
      </c>
      <c r="FN153" s="30" t="str">
        <f t="shared" si="1926"/>
        <v/>
      </c>
      <c r="FO153" s="30" t="str">
        <f t="shared" si="1927"/>
        <v/>
      </c>
      <c r="FP153" s="30" t="str">
        <f t="shared" si="1928"/>
        <v/>
      </c>
      <c r="FQ153" s="30" t="str">
        <f t="shared" si="1929"/>
        <v/>
      </c>
      <c r="FR153" s="30" t="str">
        <f t="shared" si="1930"/>
        <v/>
      </c>
      <c r="FS153" s="30" t="str">
        <f t="shared" si="1931"/>
        <v/>
      </c>
    </row>
    <row r="154" spans="1:175" s="24" customFormat="1" ht="16.5">
      <c r="A154" s="46"/>
      <c r="B154" s="36"/>
      <c r="C154" s="46"/>
      <c r="D154" s="31"/>
      <c r="E154" s="39"/>
      <c r="F154" s="41"/>
      <c r="G154" s="47"/>
      <c r="H154" s="47"/>
      <c r="I154" s="47"/>
      <c r="J154" s="47"/>
      <c r="K154" s="47"/>
      <c r="L154" s="47"/>
      <c r="M154" s="47"/>
      <c r="N154" s="47"/>
      <c r="O154" s="47"/>
      <c r="P154" s="42"/>
      <c r="Q154" s="42"/>
      <c r="R154" s="42"/>
      <c r="S154" s="42"/>
      <c r="T154" s="102"/>
      <c r="U154" s="32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4" t="str">
        <f t="shared" si="1856"/>
        <v>InitUnitState('',,,,,,,,,,)</v>
      </c>
      <c r="CO154" s="44" t="str">
        <f t="shared" si="1857"/>
        <v>InitUnitNormal('',,,,,,,,,,)</v>
      </c>
      <c r="CP154" s="44" t="str">
        <f t="shared" si="1858"/>
        <v>InitUnitMagic('',,,,,,,,,,)</v>
      </c>
      <c r="CQ154" s="44" t="str">
        <f t="shared" si="1859"/>
        <v>InitUnitAdd('',,,,,,,,,,)</v>
      </c>
      <c r="CR154" s="44" t="str">
        <f t="shared" si="1860"/>
        <v>InitEquipData('',,"",,,,,'','','','','','',"")</v>
      </c>
      <c r="CS154" s="44"/>
      <c r="CT154" s="44"/>
      <c r="CU154" s="45" t="str">
        <f t="shared" si="1861"/>
        <v>|n</v>
      </c>
      <c r="CV154" s="29"/>
      <c r="DB154" s="30" t="str">
        <f t="shared" si="1862"/>
        <v/>
      </c>
      <c r="DC154" s="30" t="str">
        <f t="shared" si="1863"/>
        <v/>
      </c>
      <c r="DD154" s="30" t="str">
        <f t="shared" si="1864"/>
        <v/>
      </c>
      <c r="DE154" s="30" t="str">
        <f t="shared" si="1865"/>
        <v/>
      </c>
      <c r="DF154" s="30" t="str">
        <f t="shared" si="1866"/>
        <v/>
      </c>
      <c r="DG154" s="30" t="str">
        <f t="shared" si="1867"/>
        <v/>
      </c>
      <c r="DH154" s="30" t="str">
        <f t="shared" si="1868"/>
        <v/>
      </c>
      <c r="DI154" s="30" t="str">
        <f t="shared" si="1869"/>
        <v/>
      </c>
      <c r="DJ154" s="30" t="str">
        <f t="shared" si="1870"/>
        <v/>
      </c>
      <c r="DK154" s="30" t="str">
        <f t="shared" si="1871"/>
        <v/>
      </c>
      <c r="DL154" s="30" t="str">
        <f t="shared" si="1872"/>
        <v/>
      </c>
      <c r="DM154" s="30" t="str">
        <f t="shared" si="1873"/>
        <v/>
      </c>
      <c r="DN154" s="30" t="str">
        <f t="shared" si="1874"/>
        <v/>
      </c>
      <c r="DO154" s="30" t="str">
        <f t="shared" si="1875"/>
        <v/>
      </c>
      <c r="DP154" s="30" t="str">
        <f t="shared" si="1876"/>
        <v/>
      </c>
      <c r="DQ154" s="30" t="str">
        <f t="shared" si="1877"/>
        <v/>
      </c>
      <c r="DR154" s="30" t="str">
        <f t="shared" si="1878"/>
        <v/>
      </c>
      <c r="DS154" s="30" t="str">
        <f t="shared" si="1879"/>
        <v/>
      </c>
      <c r="DT154" s="30" t="str">
        <f t="shared" si="1880"/>
        <v/>
      </c>
      <c r="DU154" s="30" t="str">
        <f t="shared" si="1881"/>
        <v/>
      </c>
      <c r="DV154" s="30" t="str">
        <f t="shared" si="1882"/>
        <v/>
      </c>
      <c r="DW154" s="30" t="str">
        <f t="shared" si="1883"/>
        <v/>
      </c>
      <c r="DX154" s="30" t="str">
        <f t="shared" si="1884"/>
        <v/>
      </c>
      <c r="DY154" s="30" t="str">
        <f t="shared" si="1885"/>
        <v/>
      </c>
      <c r="DZ154" s="30" t="str">
        <f t="shared" si="1886"/>
        <v/>
      </c>
      <c r="EA154" s="30" t="str">
        <f t="shared" si="1887"/>
        <v/>
      </c>
      <c r="EB154" s="30" t="str">
        <f t="shared" si="1888"/>
        <v/>
      </c>
      <c r="EC154" s="30" t="str">
        <f t="shared" si="1889"/>
        <v/>
      </c>
      <c r="ED154" s="30" t="str">
        <f t="shared" si="1890"/>
        <v/>
      </c>
      <c r="EE154" s="30" t="str">
        <f t="shared" si="1891"/>
        <v/>
      </c>
      <c r="EF154" s="30" t="str">
        <f t="shared" si="1892"/>
        <v/>
      </c>
      <c r="EG154" s="30" t="str">
        <f t="shared" si="1893"/>
        <v/>
      </c>
      <c r="EH154" s="30" t="str">
        <f t="shared" si="1894"/>
        <v/>
      </c>
      <c r="EI154" s="30" t="str">
        <f t="shared" si="1895"/>
        <v/>
      </c>
      <c r="EJ154" s="30" t="str">
        <f t="shared" si="1896"/>
        <v/>
      </c>
      <c r="EK154" s="30" t="str">
        <f t="shared" si="1897"/>
        <v/>
      </c>
      <c r="EL154" s="30" t="str">
        <f t="shared" si="1898"/>
        <v/>
      </c>
      <c r="EM154" s="30" t="str">
        <f t="shared" si="1899"/>
        <v/>
      </c>
      <c r="EN154" s="30" t="str">
        <f t="shared" si="1900"/>
        <v/>
      </c>
      <c r="EO154" s="30" t="str">
        <f t="shared" si="1901"/>
        <v/>
      </c>
      <c r="EP154" s="30" t="str">
        <f t="shared" si="1902"/>
        <v/>
      </c>
      <c r="EQ154" s="30" t="str">
        <f t="shared" si="1903"/>
        <v/>
      </c>
      <c r="ER154" s="30" t="str">
        <f t="shared" si="1904"/>
        <v/>
      </c>
      <c r="ES154" s="30" t="str">
        <f t="shared" si="1905"/>
        <v/>
      </c>
      <c r="ET154" s="30" t="str">
        <f t="shared" si="1906"/>
        <v/>
      </c>
      <c r="EU154" s="30" t="str">
        <f t="shared" si="1907"/>
        <v/>
      </c>
      <c r="EV154" s="30" t="str">
        <f t="shared" si="1908"/>
        <v/>
      </c>
      <c r="EW154" s="30" t="str">
        <f t="shared" si="1909"/>
        <v/>
      </c>
      <c r="EX154" s="30" t="str">
        <f t="shared" si="1910"/>
        <v/>
      </c>
      <c r="EY154" s="30" t="str">
        <f t="shared" si="1911"/>
        <v/>
      </c>
      <c r="EZ154" s="30" t="str">
        <f t="shared" si="1912"/>
        <v/>
      </c>
      <c r="FA154" s="30" t="str">
        <f t="shared" si="1913"/>
        <v/>
      </c>
      <c r="FB154" s="30" t="str">
        <f t="shared" si="1914"/>
        <v/>
      </c>
      <c r="FC154" s="30" t="str">
        <f t="shared" si="1915"/>
        <v/>
      </c>
      <c r="FD154" s="30" t="str">
        <f t="shared" si="1916"/>
        <v/>
      </c>
      <c r="FE154" s="30" t="str">
        <f t="shared" si="1917"/>
        <v/>
      </c>
      <c r="FF154" s="30" t="str">
        <f t="shared" si="1918"/>
        <v/>
      </c>
      <c r="FG154" s="30" t="str">
        <f t="shared" si="1919"/>
        <v/>
      </c>
      <c r="FH154" s="30" t="str">
        <f t="shared" si="1920"/>
        <v/>
      </c>
      <c r="FI154" s="30" t="str">
        <f t="shared" si="1921"/>
        <v/>
      </c>
      <c r="FJ154" s="30" t="str">
        <f t="shared" si="1922"/>
        <v/>
      </c>
      <c r="FK154" s="30" t="str">
        <f t="shared" si="1923"/>
        <v/>
      </c>
      <c r="FL154" s="30" t="str">
        <f t="shared" si="1924"/>
        <v/>
      </c>
      <c r="FM154" s="30" t="str">
        <f t="shared" si="1925"/>
        <v/>
      </c>
      <c r="FN154" s="30" t="str">
        <f t="shared" si="1926"/>
        <v/>
      </c>
      <c r="FO154" s="30" t="str">
        <f t="shared" si="1927"/>
        <v/>
      </c>
      <c r="FP154" s="30" t="str">
        <f t="shared" si="1928"/>
        <v/>
      </c>
      <c r="FQ154" s="30" t="str">
        <f t="shared" si="1929"/>
        <v/>
      </c>
      <c r="FR154" s="30" t="str">
        <f t="shared" si="1930"/>
        <v/>
      </c>
      <c r="FS154" s="30" t="str">
        <f t="shared" si="1931"/>
        <v/>
      </c>
    </row>
    <row r="155" spans="1:175" s="24" customFormat="1" ht="16.5">
      <c r="A155" s="46"/>
      <c r="B155" s="36"/>
      <c r="C155" s="46"/>
      <c r="D155" s="31"/>
      <c r="E155" s="39"/>
      <c r="F155" s="41"/>
      <c r="G155" s="47"/>
      <c r="H155" s="47"/>
      <c r="I155" s="47"/>
      <c r="J155" s="47"/>
      <c r="K155" s="47"/>
      <c r="L155" s="47"/>
      <c r="M155" s="47"/>
      <c r="N155" s="47"/>
      <c r="O155" s="47"/>
      <c r="P155" s="42"/>
      <c r="Q155" s="42"/>
      <c r="R155" s="42"/>
      <c r="S155" s="42"/>
      <c r="T155" s="102"/>
      <c r="U155" s="32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4" t="str">
        <f t="shared" si="1856"/>
        <v>InitUnitState('',,,,,,,,,,)</v>
      </c>
      <c r="CO155" s="44" t="str">
        <f t="shared" si="1857"/>
        <v>InitUnitNormal('',,,,,,,,,,)</v>
      </c>
      <c r="CP155" s="44" t="str">
        <f t="shared" si="1858"/>
        <v>InitUnitMagic('',,,,,,,,,,)</v>
      </c>
      <c r="CQ155" s="44" t="str">
        <f t="shared" si="1859"/>
        <v>InitUnitAdd('',,,,,,,,,,)</v>
      </c>
      <c r="CR155" s="44" t="str">
        <f t="shared" si="1860"/>
        <v>InitEquipData('',,"",,,,,'','','','','','',"")</v>
      </c>
      <c r="CS155" s="44"/>
      <c r="CT155" s="44"/>
      <c r="CU155" s="45" t="str">
        <f t="shared" si="1861"/>
        <v>|n</v>
      </c>
      <c r="CV155" s="29"/>
      <c r="DB155" s="30" t="str">
        <f t="shared" si="1862"/>
        <v/>
      </c>
      <c r="DC155" s="30" t="str">
        <f t="shared" si="1863"/>
        <v/>
      </c>
      <c r="DD155" s="30" t="str">
        <f t="shared" si="1864"/>
        <v/>
      </c>
      <c r="DE155" s="30" t="str">
        <f t="shared" si="1865"/>
        <v/>
      </c>
      <c r="DF155" s="30" t="str">
        <f t="shared" si="1866"/>
        <v/>
      </c>
      <c r="DG155" s="30" t="str">
        <f t="shared" si="1867"/>
        <v/>
      </c>
      <c r="DH155" s="30" t="str">
        <f t="shared" si="1868"/>
        <v/>
      </c>
      <c r="DI155" s="30" t="str">
        <f t="shared" si="1869"/>
        <v/>
      </c>
      <c r="DJ155" s="30" t="str">
        <f t="shared" si="1870"/>
        <v/>
      </c>
      <c r="DK155" s="30" t="str">
        <f t="shared" si="1871"/>
        <v/>
      </c>
      <c r="DL155" s="30" t="str">
        <f t="shared" si="1872"/>
        <v/>
      </c>
      <c r="DM155" s="30" t="str">
        <f t="shared" si="1873"/>
        <v/>
      </c>
      <c r="DN155" s="30" t="str">
        <f t="shared" si="1874"/>
        <v/>
      </c>
      <c r="DO155" s="30" t="str">
        <f t="shared" si="1875"/>
        <v/>
      </c>
      <c r="DP155" s="30" t="str">
        <f t="shared" si="1876"/>
        <v/>
      </c>
      <c r="DQ155" s="30" t="str">
        <f t="shared" si="1877"/>
        <v/>
      </c>
      <c r="DR155" s="30" t="str">
        <f t="shared" si="1878"/>
        <v/>
      </c>
      <c r="DS155" s="30" t="str">
        <f t="shared" si="1879"/>
        <v/>
      </c>
      <c r="DT155" s="30" t="str">
        <f t="shared" si="1880"/>
        <v/>
      </c>
      <c r="DU155" s="30" t="str">
        <f t="shared" si="1881"/>
        <v/>
      </c>
      <c r="DV155" s="30" t="str">
        <f t="shared" si="1882"/>
        <v/>
      </c>
      <c r="DW155" s="30" t="str">
        <f t="shared" si="1883"/>
        <v/>
      </c>
      <c r="DX155" s="30" t="str">
        <f t="shared" si="1884"/>
        <v/>
      </c>
      <c r="DY155" s="30" t="str">
        <f t="shared" si="1885"/>
        <v/>
      </c>
      <c r="DZ155" s="30" t="str">
        <f t="shared" si="1886"/>
        <v/>
      </c>
      <c r="EA155" s="30" t="str">
        <f t="shared" si="1887"/>
        <v/>
      </c>
      <c r="EB155" s="30" t="str">
        <f t="shared" si="1888"/>
        <v/>
      </c>
      <c r="EC155" s="30" t="str">
        <f t="shared" si="1889"/>
        <v/>
      </c>
      <c r="ED155" s="30" t="str">
        <f t="shared" si="1890"/>
        <v/>
      </c>
      <c r="EE155" s="30" t="str">
        <f t="shared" si="1891"/>
        <v/>
      </c>
      <c r="EF155" s="30" t="str">
        <f t="shared" si="1892"/>
        <v/>
      </c>
      <c r="EG155" s="30" t="str">
        <f t="shared" si="1893"/>
        <v/>
      </c>
      <c r="EH155" s="30" t="str">
        <f t="shared" si="1894"/>
        <v/>
      </c>
      <c r="EI155" s="30" t="str">
        <f t="shared" si="1895"/>
        <v/>
      </c>
      <c r="EJ155" s="30" t="str">
        <f t="shared" si="1896"/>
        <v/>
      </c>
      <c r="EK155" s="30" t="str">
        <f t="shared" si="1897"/>
        <v/>
      </c>
      <c r="EL155" s="30" t="str">
        <f t="shared" si="1898"/>
        <v/>
      </c>
      <c r="EM155" s="30" t="str">
        <f t="shared" si="1899"/>
        <v/>
      </c>
      <c r="EN155" s="30" t="str">
        <f t="shared" si="1900"/>
        <v/>
      </c>
      <c r="EO155" s="30" t="str">
        <f t="shared" si="1901"/>
        <v/>
      </c>
      <c r="EP155" s="30" t="str">
        <f t="shared" si="1902"/>
        <v/>
      </c>
      <c r="EQ155" s="30" t="str">
        <f t="shared" si="1903"/>
        <v/>
      </c>
      <c r="ER155" s="30" t="str">
        <f t="shared" si="1904"/>
        <v/>
      </c>
      <c r="ES155" s="30" t="str">
        <f t="shared" si="1905"/>
        <v/>
      </c>
      <c r="ET155" s="30" t="str">
        <f t="shared" si="1906"/>
        <v/>
      </c>
      <c r="EU155" s="30" t="str">
        <f t="shared" si="1907"/>
        <v/>
      </c>
      <c r="EV155" s="30" t="str">
        <f t="shared" si="1908"/>
        <v/>
      </c>
      <c r="EW155" s="30" t="str">
        <f t="shared" si="1909"/>
        <v/>
      </c>
      <c r="EX155" s="30" t="str">
        <f t="shared" si="1910"/>
        <v/>
      </c>
      <c r="EY155" s="30" t="str">
        <f t="shared" si="1911"/>
        <v/>
      </c>
      <c r="EZ155" s="30" t="str">
        <f t="shared" si="1912"/>
        <v/>
      </c>
      <c r="FA155" s="30" t="str">
        <f t="shared" si="1913"/>
        <v/>
      </c>
      <c r="FB155" s="30" t="str">
        <f t="shared" si="1914"/>
        <v/>
      </c>
      <c r="FC155" s="30" t="str">
        <f t="shared" si="1915"/>
        <v/>
      </c>
      <c r="FD155" s="30" t="str">
        <f t="shared" si="1916"/>
        <v/>
      </c>
      <c r="FE155" s="30" t="str">
        <f t="shared" si="1917"/>
        <v/>
      </c>
      <c r="FF155" s="30" t="str">
        <f t="shared" si="1918"/>
        <v/>
      </c>
      <c r="FG155" s="30" t="str">
        <f t="shared" si="1919"/>
        <v/>
      </c>
      <c r="FH155" s="30" t="str">
        <f t="shared" si="1920"/>
        <v/>
      </c>
      <c r="FI155" s="30" t="str">
        <f t="shared" si="1921"/>
        <v/>
      </c>
      <c r="FJ155" s="30" t="str">
        <f t="shared" si="1922"/>
        <v/>
      </c>
      <c r="FK155" s="30" t="str">
        <f t="shared" si="1923"/>
        <v/>
      </c>
      <c r="FL155" s="30" t="str">
        <f t="shared" si="1924"/>
        <v/>
      </c>
      <c r="FM155" s="30" t="str">
        <f t="shared" si="1925"/>
        <v/>
      </c>
      <c r="FN155" s="30" t="str">
        <f t="shared" si="1926"/>
        <v/>
      </c>
      <c r="FO155" s="30" t="str">
        <f t="shared" si="1927"/>
        <v/>
      </c>
      <c r="FP155" s="30" t="str">
        <f t="shared" si="1928"/>
        <v/>
      </c>
      <c r="FQ155" s="30" t="str">
        <f t="shared" si="1929"/>
        <v/>
      </c>
      <c r="FR155" s="30" t="str">
        <f t="shared" si="1930"/>
        <v/>
      </c>
      <c r="FS155" s="30" t="str">
        <f t="shared" si="1931"/>
        <v/>
      </c>
    </row>
    <row r="156" spans="1:175" s="24" customFormat="1" ht="16.5">
      <c r="A156" s="46"/>
      <c r="B156" s="36"/>
      <c r="C156" s="46"/>
      <c r="D156" s="31"/>
      <c r="E156" s="39"/>
      <c r="F156" s="41"/>
      <c r="G156" s="47"/>
      <c r="H156" s="47"/>
      <c r="I156" s="47"/>
      <c r="J156" s="47"/>
      <c r="K156" s="47"/>
      <c r="L156" s="47"/>
      <c r="M156" s="47"/>
      <c r="N156" s="47"/>
      <c r="O156" s="47"/>
      <c r="P156" s="42"/>
      <c r="Q156" s="42"/>
      <c r="R156" s="42"/>
      <c r="S156" s="42"/>
      <c r="T156" s="102"/>
      <c r="U156" s="32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4" t="str">
        <f t="shared" si="1856"/>
        <v>InitUnitState('',,,,,,,,,,)</v>
      </c>
      <c r="CO156" s="44" t="str">
        <f t="shared" si="1857"/>
        <v>InitUnitNormal('',,,,,,,,,,)</v>
      </c>
      <c r="CP156" s="44" t="str">
        <f t="shared" si="1858"/>
        <v>InitUnitMagic('',,,,,,,,,,)</v>
      </c>
      <c r="CQ156" s="44" t="str">
        <f t="shared" si="1859"/>
        <v>InitUnitAdd('',,,,,,,,,,)</v>
      </c>
      <c r="CR156" s="44" t="str">
        <f t="shared" si="1860"/>
        <v>InitEquipData('',,"",,,,,'','','','','','',"")</v>
      </c>
      <c r="CS156" s="44"/>
      <c r="CT156" s="44"/>
      <c r="CU156" s="45" t="str">
        <f t="shared" si="1861"/>
        <v>|n</v>
      </c>
      <c r="CV156" s="29"/>
      <c r="DB156" s="30" t="str">
        <f t="shared" si="1862"/>
        <v/>
      </c>
      <c r="DC156" s="30" t="str">
        <f t="shared" si="1863"/>
        <v/>
      </c>
      <c r="DD156" s="30" t="str">
        <f t="shared" si="1864"/>
        <v/>
      </c>
      <c r="DE156" s="30" t="str">
        <f t="shared" si="1865"/>
        <v/>
      </c>
      <c r="DF156" s="30" t="str">
        <f t="shared" si="1866"/>
        <v/>
      </c>
      <c r="DG156" s="30" t="str">
        <f t="shared" si="1867"/>
        <v/>
      </c>
      <c r="DH156" s="30" t="str">
        <f t="shared" si="1868"/>
        <v/>
      </c>
      <c r="DI156" s="30" t="str">
        <f t="shared" si="1869"/>
        <v/>
      </c>
      <c r="DJ156" s="30" t="str">
        <f t="shared" si="1870"/>
        <v/>
      </c>
      <c r="DK156" s="30" t="str">
        <f t="shared" si="1871"/>
        <v/>
      </c>
      <c r="DL156" s="30" t="str">
        <f t="shared" si="1872"/>
        <v/>
      </c>
      <c r="DM156" s="30" t="str">
        <f t="shared" si="1873"/>
        <v/>
      </c>
      <c r="DN156" s="30" t="str">
        <f t="shared" si="1874"/>
        <v/>
      </c>
      <c r="DO156" s="30" t="str">
        <f t="shared" si="1875"/>
        <v/>
      </c>
      <c r="DP156" s="30" t="str">
        <f t="shared" si="1876"/>
        <v/>
      </c>
      <c r="DQ156" s="30" t="str">
        <f t="shared" si="1877"/>
        <v/>
      </c>
      <c r="DR156" s="30" t="str">
        <f t="shared" si="1878"/>
        <v/>
      </c>
      <c r="DS156" s="30" t="str">
        <f t="shared" si="1879"/>
        <v/>
      </c>
      <c r="DT156" s="30" t="str">
        <f t="shared" si="1880"/>
        <v/>
      </c>
      <c r="DU156" s="30" t="str">
        <f t="shared" si="1881"/>
        <v/>
      </c>
      <c r="DV156" s="30" t="str">
        <f t="shared" si="1882"/>
        <v/>
      </c>
      <c r="DW156" s="30" t="str">
        <f t="shared" si="1883"/>
        <v/>
      </c>
      <c r="DX156" s="30" t="str">
        <f t="shared" si="1884"/>
        <v/>
      </c>
      <c r="DY156" s="30" t="str">
        <f t="shared" si="1885"/>
        <v/>
      </c>
      <c r="DZ156" s="30" t="str">
        <f t="shared" si="1886"/>
        <v/>
      </c>
      <c r="EA156" s="30" t="str">
        <f t="shared" si="1887"/>
        <v/>
      </c>
      <c r="EB156" s="30" t="str">
        <f t="shared" si="1888"/>
        <v/>
      </c>
      <c r="EC156" s="30" t="str">
        <f t="shared" si="1889"/>
        <v/>
      </c>
      <c r="ED156" s="30" t="str">
        <f t="shared" si="1890"/>
        <v/>
      </c>
      <c r="EE156" s="30" t="str">
        <f t="shared" si="1891"/>
        <v/>
      </c>
      <c r="EF156" s="30" t="str">
        <f t="shared" si="1892"/>
        <v/>
      </c>
      <c r="EG156" s="30" t="str">
        <f t="shared" si="1893"/>
        <v/>
      </c>
      <c r="EH156" s="30" t="str">
        <f t="shared" si="1894"/>
        <v/>
      </c>
      <c r="EI156" s="30" t="str">
        <f t="shared" si="1895"/>
        <v/>
      </c>
      <c r="EJ156" s="30" t="str">
        <f t="shared" si="1896"/>
        <v/>
      </c>
      <c r="EK156" s="30" t="str">
        <f t="shared" si="1897"/>
        <v/>
      </c>
      <c r="EL156" s="30" t="str">
        <f t="shared" si="1898"/>
        <v/>
      </c>
      <c r="EM156" s="30" t="str">
        <f t="shared" si="1899"/>
        <v/>
      </c>
      <c r="EN156" s="30" t="str">
        <f t="shared" si="1900"/>
        <v/>
      </c>
      <c r="EO156" s="30" t="str">
        <f t="shared" si="1901"/>
        <v/>
      </c>
      <c r="EP156" s="30" t="str">
        <f t="shared" si="1902"/>
        <v/>
      </c>
      <c r="EQ156" s="30" t="str">
        <f t="shared" si="1903"/>
        <v/>
      </c>
      <c r="ER156" s="30" t="str">
        <f t="shared" si="1904"/>
        <v/>
      </c>
      <c r="ES156" s="30" t="str">
        <f t="shared" si="1905"/>
        <v/>
      </c>
      <c r="ET156" s="30" t="str">
        <f t="shared" si="1906"/>
        <v/>
      </c>
      <c r="EU156" s="30" t="str">
        <f t="shared" si="1907"/>
        <v/>
      </c>
      <c r="EV156" s="30" t="str">
        <f t="shared" si="1908"/>
        <v/>
      </c>
      <c r="EW156" s="30" t="str">
        <f t="shared" si="1909"/>
        <v/>
      </c>
      <c r="EX156" s="30" t="str">
        <f t="shared" si="1910"/>
        <v/>
      </c>
      <c r="EY156" s="30" t="str">
        <f t="shared" si="1911"/>
        <v/>
      </c>
      <c r="EZ156" s="30" t="str">
        <f t="shared" si="1912"/>
        <v/>
      </c>
      <c r="FA156" s="30" t="str">
        <f t="shared" si="1913"/>
        <v/>
      </c>
      <c r="FB156" s="30" t="str">
        <f t="shared" si="1914"/>
        <v/>
      </c>
      <c r="FC156" s="30" t="str">
        <f t="shared" si="1915"/>
        <v/>
      </c>
      <c r="FD156" s="30" t="str">
        <f t="shared" si="1916"/>
        <v/>
      </c>
      <c r="FE156" s="30" t="str">
        <f t="shared" si="1917"/>
        <v/>
      </c>
      <c r="FF156" s="30" t="str">
        <f t="shared" si="1918"/>
        <v/>
      </c>
      <c r="FG156" s="30" t="str">
        <f t="shared" si="1919"/>
        <v/>
      </c>
      <c r="FH156" s="30" t="str">
        <f t="shared" si="1920"/>
        <v/>
      </c>
      <c r="FI156" s="30" t="str">
        <f t="shared" si="1921"/>
        <v/>
      </c>
      <c r="FJ156" s="30" t="str">
        <f t="shared" si="1922"/>
        <v/>
      </c>
      <c r="FK156" s="30" t="str">
        <f t="shared" si="1923"/>
        <v/>
      </c>
      <c r="FL156" s="30" t="str">
        <f t="shared" si="1924"/>
        <v/>
      </c>
      <c r="FM156" s="30" t="str">
        <f t="shared" si="1925"/>
        <v/>
      </c>
      <c r="FN156" s="30" t="str">
        <f t="shared" si="1926"/>
        <v/>
      </c>
      <c r="FO156" s="30" t="str">
        <f t="shared" si="1927"/>
        <v/>
      </c>
      <c r="FP156" s="30" t="str">
        <f t="shared" si="1928"/>
        <v/>
      </c>
      <c r="FQ156" s="30" t="str">
        <f t="shared" si="1929"/>
        <v/>
      </c>
      <c r="FR156" s="30" t="str">
        <f t="shared" si="1930"/>
        <v/>
      </c>
      <c r="FS156" s="30" t="str">
        <f t="shared" si="1931"/>
        <v/>
      </c>
    </row>
    <row r="157" spans="1:175" s="24" customFormat="1" ht="16.5">
      <c r="A157" s="46"/>
      <c r="B157" s="36"/>
      <c r="C157" s="46"/>
      <c r="D157" s="31"/>
      <c r="E157" s="39"/>
      <c r="F157" s="41"/>
      <c r="G157" s="47"/>
      <c r="H157" s="47"/>
      <c r="I157" s="47"/>
      <c r="J157" s="47"/>
      <c r="K157" s="47"/>
      <c r="L157" s="47"/>
      <c r="M157" s="47"/>
      <c r="N157" s="47"/>
      <c r="O157" s="47"/>
      <c r="P157" s="42"/>
      <c r="Q157" s="42"/>
      <c r="R157" s="42"/>
      <c r="S157" s="42"/>
      <c r="T157" s="102"/>
      <c r="U157" s="32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4" t="str">
        <f t="shared" si="1856"/>
        <v>InitUnitState('',,,,,,,,,,)</v>
      </c>
      <c r="CO157" s="44" t="str">
        <f t="shared" si="1857"/>
        <v>InitUnitNormal('',,,,,,,,,,)</v>
      </c>
      <c r="CP157" s="44" t="str">
        <f t="shared" si="1858"/>
        <v>InitUnitMagic('',,,,,,,,,,)</v>
      </c>
      <c r="CQ157" s="44" t="str">
        <f t="shared" si="1859"/>
        <v>InitUnitAdd('',,,,,,,,,,)</v>
      </c>
      <c r="CR157" s="44" t="str">
        <f t="shared" si="1860"/>
        <v>InitEquipData('',,"",,,,,'','','','','','',"")</v>
      </c>
      <c r="CS157" s="44"/>
      <c r="CT157" s="44"/>
      <c r="CU157" s="45" t="str">
        <f t="shared" si="1861"/>
        <v>|n</v>
      </c>
      <c r="CV157" s="29"/>
      <c r="DB157" s="30" t="str">
        <f t="shared" si="1862"/>
        <v/>
      </c>
      <c r="DC157" s="30" t="str">
        <f t="shared" si="1863"/>
        <v/>
      </c>
      <c r="DD157" s="30" t="str">
        <f t="shared" si="1864"/>
        <v/>
      </c>
      <c r="DE157" s="30" t="str">
        <f t="shared" si="1865"/>
        <v/>
      </c>
      <c r="DF157" s="30" t="str">
        <f t="shared" si="1866"/>
        <v/>
      </c>
      <c r="DG157" s="30" t="str">
        <f t="shared" si="1867"/>
        <v/>
      </c>
      <c r="DH157" s="30" t="str">
        <f t="shared" si="1868"/>
        <v/>
      </c>
      <c r="DI157" s="30" t="str">
        <f t="shared" si="1869"/>
        <v/>
      </c>
      <c r="DJ157" s="30" t="str">
        <f t="shared" si="1870"/>
        <v/>
      </c>
      <c r="DK157" s="30" t="str">
        <f t="shared" si="1871"/>
        <v/>
      </c>
      <c r="DL157" s="30" t="str">
        <f t="shared" si="1872"/>
        <v/>
      </c>
      <c r="DM157" s="30" t="str">
        <f t="shared" si="1873"/>
        <v/>
      </c>
      <c r="DN157" s="30" t="str">
        <f t="shared" si="1874"/>
        <v/>
      </c>
      <c r="DO157" s="30" t="str">
        <f t="shared" si="1875"/>
        <v/>
      </c>
      <c r="DP157" s="30" t="str">
        <f t="shared" si="1876"/>
        <v/>
      </c>
      <c r="DQ157" s="30" t="str">
        <f t="shared" si="1877"/>
        <v/>
      </c>
      <c r="DR157" s="30" t="str">
        <f t="shared" si="1878"/>
        <v/>
      </c>
      <c r="DS157" s="30" t="str">
        <f t="shared" si="1879"/>
        <v/>
      </c>
      <c r="DT157" s="30" t="str">
        <f t="shared" si="1880"/>
        <v/>
      </c>
      <c r="DU157" s="30" t="str">
        <f t="shared" si="1881"/>
        <v/>
      </c>
      <c r="DV157" s="30" t="str">
        <f t="shared" si="1882"/>
        <v/>
      </c>
      <c r="DW157" s="30" t="str">
        <f t="shared" si="1883"/>
        <v/>
      </c>
      <c r="DX157" s="30" t="str">
        <f t="shared" si="1884"/>
        <v/>
      </c>
      <c r="DY157" s="30" t="str">
        <f t="shared" si="1885"/>
        <v/>
      </c>
      <c r="DZ157" s="30" t="str">
        <f t="shared" si="1886"/>
        <v/>
      </c>
      <c r="EA157" s="30" t="str">
        <f t="shared" si="1887"/>
        <v/>
      </c>
      <c r="EB157" s="30" t="str">
        <f t="shared" si="1888"/>
        <v/>
      </c>
      <c r="EC157" s="30" t="str">
        <f t="shared" si="1889"/>
        <v/>
      </c>
      <c r="ED157" s="30" t="str">
        <f t="shared" si="1890"/>
        <v/>
      </c>
      <c r="EE157" s="30" t="str">
        <f t="shared" si="1891"/>
        <v/>
      </c>
      <c r="EF157" s="30" t="str">
        <f t="shared" si="1892"/>
        <v/>
      </c>
      <c r="EG157" s="30" t="str">
        <f t="shared" si="1893"/>
        <v/>
      </c>
      <c r="EH157" s="30" t="str">
        <f t="shared" si="1894"/>
        <v/>
      </c>
      <c r="EI157" s="30" t="str">
        <f t="shared" si="1895"/>
        <v/>
      </c>
      <c r="EJ157" s="30" t="str">
        <f t="shared" si="1896"/>
        <v/>
      </c>
      <c r="EK157" s="30" t="str">
        <f t="shared" si="1897"/>
        <v/>
      </c>
      <c r="EL157" s="30" t="str">
        <f t="shared" si="1898"/>
        <v/>
      </c>
      <c r="EM157" s="30" t="str">
        <f t="shared" si="1899"/>
        <v/>
      </c>
      <c r="EN157" s="30" t="str">
        <f t="shared" si="1900"/>
        <v/>
      </c>
      <c r="EO157" s="30" t="str">
        <f t="shared" si="1901"/>
        <v/>
      </c>
      <c r="EP157" s="30" t="str">
        <f t="shared" si="1902"/>
        <v/>
      </c>
      <c r="EQ157" s="30" t="str">
        <f t="shared" si="1903"/>
        <v/>
      </c>
      <c r="ER157" s="30" t="str">
        <f t="shared" si="1904"/>
        <v/>
      </c>
      <c r="ES157" s="30" t="str">
        <f t="shared" si="1905"/>
        <v/>
      </c>
      <c r="ET157" s="30" t="str">
        <f t="shared" si="1906"/>
        <v/>
      </c>
      <c r="EU157" s="30" t="str">
        <f t="shared" si="1907"/>
        <v/>
      </c>
      <c r="EV157" s="30" t="str">
        <f t="shared" si="1908"/>
        <v/>
      </c>
      <c r="EW157" s="30" t="str">
        <f t="shared" si="1909"/>
        <v/>
      </c>
      <c r="EX157" s="30" t="str">
        <f t="shared" si="1910"/>
        <v/>
      </c>
      <c r="EY157" s="30" t="str">
        <f t="shared" si="1911"/>
        <v/>
      </c>
      <c r="EZ157" s="30" t="str">
        <f t="shared" si="1912"/>
        <v/>
      </c>
      <c r="FA157" s="30" t="str">
        <f t="shared" si="1913"/>
        <v/>
      </c>
      <c r="FB157" s="30" t="str">
        <f t="shared" si="1914"/>
        <v/>
      </c>
      <c r="FC157" s="30" t="str">
        <f t="shared" si="1915"/>
        <v/>
      </c>
      <c r="FD157" s="30" t="str">
        <f t="shared" si="1916"/>
        <v/>
      </c>
      <c r="FE157" s="30" t="str">
        <f t="shared" si="1917"/>
        <v/>
      </c>
      <c r="FF157" s="30" t="str">
        <f t="shared" si="1918"/>
        <v/>
      </c>
      <c r="FG157" s="30" t="str">
        <f t="shared" si="1919"/>
        <v/>
      </c>
      <c r="FH157" s="30" t="str">
        <f t="shared" si="1920"/>
        <v/>
      </c>
      <c r="FI157" s="30" t="str">
        <f t="shared" si="1921"/>
        <v/>
      </c>
      <c r="FJ157" s="30" t="str">
        <f t="shared" si="1922"/>
        <v/>
      </c>
      <c r="FK157" s="30" t="str">
        <f t="shared" si="1923"/>
        <v/>
      </c>
      <c r="FL157" s="30" t="str">
        <f t="shared" si="1924"/>
        <v/>
      </c>
      <c r="FM157" s="30" t="str">
        <f t="shared" si="1925"/>
        <v/>
      </c>
      <c r="FN157" s="30" t="str">
        <f t="shared" si="1926"/>
        <v/>
      </c>
      <c r="FO157" s="30" t="str">
        <f t="shared" si="1927"/>
        <v/>
      </c>
      <c r="FP157" s="30" t="str">
        <f t="shared" si="1928"/>
        <v/>
      </c>
      <c r="FQ157" s="30" t="str">
        <f t="shared" si="1929"/>
        <v/>
      </c>
      <c r="FR157" s="30" t="str">
        <f t="shared" si="1930"/>
        <v/>
      </c>
      <c r="FS157" s="30" t="str">
        <f t="shared" si="1931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1856"/>
        <v>InitUnitState('',,,,,,,,,,)</v>
      </c>
      <c r="CO158" s="44" t="str">
        <f t="shared" si="1857"/>
        <v>InitUnitNormal('',,,,,,,,,,)</v>
      </c>
      <c r="CP158" s="44" t="str">
        <f t="shared" si="1858"/>
        <v>InitUnitMagic('',,,,,,,,,,)</v>
      </c>
      <c r="CQ158" s="44" t="str">
        <f t="shared" si="1859"/>
        <v>InitUnitAdd('',,,,,,,,,,)</v>
      </c>
      <c r="CR158" s="44" t="str">
        <f t="shared" si="1860"/>
        <v>InitEquipData('',,"",,,,,'','','','','','',"")</v>
      </c>
      <c r="CS158" s="44"/>
      <c r="CT158" s="44"/>
      <c r="CU158" s="45" t="str">
        <f t="shared" si="1861"/>
        <v>|n</v>
      </c>
      <c r="CV158" s="29"/>
      <c r="DB158" s="30" t="str">
        <f t="shared" si="1862"/>
        <v/>
      </c>
      <c r="DC158" s="30" t="str">
        <f t="shared" si="1863"/>
        <v/>
      </c>
      <c r="DD158" s="30" t="str">
        <f t="shared" si="1864"/>
        <v/>
      </c>
      <c r="DE158" s="30" t="str">
        <f t="shared" si="1865"/>
        <v/>
      </c>
      <c r="DF158" s="30" t="str">
        <f t="shared" si="1866"/>
        <v/>
      </c>
      <c r="DG158" s="30" t="str">
        <f t="shared" si="1867"/>
        <v/>
      </c>
      <c r="DH158" s="30" t="str">
        <f t="shared" si="1868"/>
        <v/>
      </c>
      <c r="DI158" s="30" t="str">
        <f t="shared" si="1869"/>
        <v/>
      </c>
      <c r="DJ158" s="30" t="str">
        <f t="shared" si="1870"/>
        <v/>
      </c>
      <c r="DK158" s="30" t="str">
        <f t="shared" si="1871"/>
        <v/>
      </c>
      <c r="DL158" s="30" t="str">
        <f t="shared" si="1872"/>
        <v/>
      </c>
      <c r="DM158" s="30" t="str">
        <f t="shared" si="1873"/>
        <v/>
      </c>
      <c r="DN158" s="30" t="str">
        <f t="shared" si="1874"/>
        <v/>
      </c>
      <c r="DO158" s="30" t="str">
        <f t="shared" si="1875"/>
        <v/>
      </c>
      <c r="DP158" s="30" t="str">
        <f t="shared" si="1876"/>
        <v/>
      </c>
      <c r="DQ158" s="30" t="str">
        <f t="shared" si="1877"/>
        <v/>
      </c>
      <c r="DR158" s="30" t="str">
        <f t="shared" si="1878"/>
        <v/>
      </c>
      <c r="DS158" s="30" t="str">
        <f t="shared" si="1879"/>
        <v/>
      </c>
      <c r="DT158" s="30" t="str">
        <f t="shared" si="1880"/>
        <v/>
      </c>
      <c r="DU158" s="30" t="str">
        <f t="shared" si="1881"/>
        <v/>
      </c>
      <c r="DV158" s="30" t="str">
        <f t="shared" si="1882"/>
        <v/>
      </c>
      <c r="DW158" s="30" t="str">
        <f t="shared" si="1883"/>
        <v/>
      </c>
      <c r="DX158" s="30" t="str">
        <f t="shared" si="1884"/>
        <v/>
      </c>
      <c r="DY158" s="30" t="str">
        <f t="shared" si="1885"/>
        <v/>
      </c>
      <c r="DZ158" s="30" t="str">
        <f t="shared" si="1886"/>
        <v/>
      </c>
      <c r="EA158" s="30" t="str">
        <f t="shared" si="1887"/>
        <v/>
      </c>
      <c r="EB158" s="30" t="str">
        <f t="shared" si="1888"/>
        <v/>
      </c>
      <c r="EC158" s="30" t="str">
        <f t="shared" si="1889"/>
        <v/>
      </c>
      <c r="ED158" s="30" t="str">
        <f t="shared" si="1890"/>
        <v/>
      </c>
      <c r="EE158" s="30" t="str">
        <f t="shared" si="1891"/>
        <v/>
      </c>
      <c r="EF158" s="30" t="str">
        <f t="shared" si="1892"/>
        <v/>
      </c>
      <c r="EG158" s="30" t="str">
        <f t="shared" si="1893"/>
        <v/>
      </c>
      <c r="EH158" s="30" t="str">
        <f t="shared" si="1894"/>
        <v/>
      </c>
      <c r="EI158" s="30" t="str">
        <f t="shared" si="1895"/>
        <v/>
      </c>
      <c r="EJ158" s="30" t="str">
        <f t="shared" si="1896"/>
        <v/>
      </c>
      <c r="EK158" s="30" t="str">
        <f t="shared" si="1897"/>
        <v/>
      </c>
      <c r="EL158" s="30" t="str">
        <f t="shared" si="1898"/>
        <v/>
      </c>
      <c r="EM158" s="30" t="str">
        <f t="shared" si="1899"/>
        <v/>
      </c>
      <c r="EN158" s="30" t="str">
        <f t="shared" si="1900"/>
        <v/>
      </c>
      <c r="EO158" s="30" t="str">
        <f t="shared" si="1901"/>
        <v/>
      </c>
      <c r="EP158" s="30" t="str">
        <f t="shared" si="1902"/>
        <v/>
      </c>
      <c r="EQ158" s="30" t="str">
        <f t="shared" si="1903"/>
        <v/>
      </c>
      <c r="ER158" s="30" t="str">
        <f t="shared" si="1904"/>
        <v/>
      </c>
      <c r="ES158" s="30" t="str">
        <f t="shared" si="1905"/>
        <v/>
      </c>
      <c r="ET158" s="30" t="str">
        <f t="shared" si="1906"/>
        <v/>
      </c>
      <c r="EU158" s="30" t="str">
        <f t="shared" si="1907"/>
        <v/>
      </c>
      <c r="EV158" s="30" t="str">
        <f t="shared" si="1908"/>
        <v/>
      </c>
      <c r="EW158" s="30" t="str">
        <f t="shared" si="1909"/>
        <v/>
      </c>
      <c r="EX158" s="30" t="str">
        <f t="shared" si="1910"/>
        <v/>
      </c>
      <c r="EY158" s="30" t="str">
        <f t="shared" si="1911"/>
        <v/>
      </c>
      <c r="EZ158" s="30" t="str">
        <f t="shared" si="1912"/>
        <v/>
      </c>
      <c r="FA158" s="30" t="str">
        <f t="shared" si="1913"/>
        <v/>
      </c>
      <c r="FB158" s="30" t="str">
        <f t="shared" si="1914"/>
        <v/>
      </c>
      <c r="FC158" s="30" t="str">
        <f t="shared" si="1915"/>
        <v/>
      </c>
      <c r="FD158" s="30" t="str">
        <f t="shared" si="1916"/>
        <v/>
      </c>
      <c r="FE158" s="30" t="str">
        <f t="shared" si="1917"/>
        <v/>
      </c>
      <c r="FF158" s="30" t="str">
        <f t="shared" si="1918"/>
        <v/>
      </c>
      <c r="FG158" s="30" t="str">
        <f t="shared" si="1919"/>
        <v/>
      </c>
      <c r="FH158" s="30" t="str">
        <f t="shared" si="1920"/>
        <v/>
      </c>
      <c r="FI158" s="30" t="str">
        <f t="shared" si="1921"/>
        <v/>
      </c>
      <c r="FJ158" s="30" t="str">
        <f t="shared" si="1922"/>
        <v/>
      </c>
      <c r="FK158" s="30" t="str">
        <f t="shared" si="1923"/>
        <v/>
      </c>
      <c r="FL158" s="30" t="str">
        <f t="shared" si="1924"/>
        <v/>
      </c>
      <c r="FM158" s="30" t="str">
        <f t="shared" si="1925"/>
        <v/>
      </c>
      <c r="FN158" s="30" t="str">
        <f t="shared" si="1926"/>
        <v/>
      </c>
      <c r="FO158" s="30" t="str">
        <f t="shared" si="1927"/>
        <v/>
      </c>
      <c r="FP158" s="30" t="str">
        <f t="shared" si="1928"/>
        <v/>
      </c>
      <c r="FQ158" s="30" t="str">
        <f t="shared" si="1929"/>
        <v/>
      </c>
      <c r="FR158" s="30" t="str">
        <f t="shared" si="1930"/>
        <v/>
      </c>
      <c r="FS158" s="30" t="str">
        <f t="shared" si="1931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1856"/>
        <v>InitUnitState('',,,,,,,,,,)</v>
      </c>
      <c r="CO159" s="44" t="str">
        <f t="shared" si="1857"/>
        <v>InitUnitNormal('',,,,,,,,,,)</v>
      </c>
      <c r="CP159" s="44" t="str">
        <f t="shared" si="1858"/>
        <v>InitUnitMagic('',,,,,,,,,,)</v>
      </c>
      <c r="CQ159" s="44" t="str">
        <f t="shared" si="1859"/>
        <v>InitUnitAdd('',,,,,,,,,,)</v>
      </c>
      <c r="CR159" s="44" t="str">
        <f t="shared" si="1860"/>
        <v>InitEquipData('',,"",,,,,'','','','','','',"")</v>
      </c>
      <c r="CS159" s="44"/>
      <c r="CT159" s="44"/>
      <c r="CU159" s="45" t="str">
        <f t="shared" si="1861"/>
        <v>|n</v>
      </c>
      <c r="CV159" s="29"/>
      <c r="DB159" s="30" t="str">
        <f t="shared" si="1862"/>
        <v/>
      </c>
      <c r="DC159" s="30" t="str">
        <f t="shared" si="1863"/>
        <v/>
      </c>
      <c r="DD159" s="30" t="str">
        <f t="shared" si="1864"/>
        <v/>
      </c>
      <c r="DE159" s="30" t="str">
        <f t="shared" si="1865"/>
        <v/>
      </c>
      <c r="DF159" s="30" t="str">
        <f t="shared" si="1866"/>
        <v/>
      </c>
      <c r="DG159" s="30" t="str">
        <f t="shared" si="1867"/>
        <v/>
      </c>
      <c r="DH159" s="30" t="str">
        <f t="shared" si="1868"/>
        <v/>
      </c>
      <c r="DI159" s="30" t="str">
        <f t="shared" si="1869"/>
        <v/>
      </c>
      <c r="DJ159" s="30" t="str">
        <f t="shared" si="1870"/>
        <v/>
      </c>
      <c r="DK159" s="30" t="str">
        <f t="shared" si="1871"/>
        <v/>
      </c>
      <c r="DL159" s="30" t="str">
        <f t="shared" si="1872"/>
        <v/>
      </c>
      <c r="DM159" s="30" t="str">
        <f t="shared" si="1873"/>
        <v/>
      </c>
      <c r="DN159" s="30" t="str">
        <f t="shared" si="1874"/>
        <v/>
      </c>
      <c r="DO159" s="30" t="str">
        <f t="shared" si="1875"/>
        <v/>
      </c>
      <c r="DP159" s="30" t="str">
        <f t="shared" si="1876"/>
        <v/>
      </c>
      <c r="DQ159" s="30" t="str">
        <f t="shared" si="1877"/>
        <v/>
      </c>
      <c r="DR159" s="30" t="str">
        <f t="shared" si="1878"/>
        <v/>
      </c>
      <c r="DS159" s="30" t="str">
        <f t="shared" si="1879"/>
        <v/>
      </c>
      <c r="DT159" s="30" t="str">
        <f t="shared" si="1880"/>
        <v/>
      </c>
      <c r="DU159" s="30" t="str">
        <f t="shared" si="1881"/>
        <v/>
      </c>
      <c r="DV159" s="30" t="str">
        <f t="shared" si="1882"/>
        <v/>
      </c>
      <c r="DW159" s="30" t="str">
        <f t="shared" si="1883"/>
        <v/>
      </c>
      <c r="DX159" s="30" t="str">
        <f t="shared" si="1884"/>
        <v/>
      </c>
      <c r="DY159" s="30" t="str">
        <f t="shared" si="1885"/>
        <v/>
      </c>
      <c r="DZ159" s="30" t="str">
        <f t="shared" si="1886"/>
        <v/>
      </c>
      <c r="EA159" s="30" t="str">
        <f t="shared" si="1887"/>
        <v/>
      </c>
      <c r="EB159" s="30" t="str">
        <f t="shared" si="1888"/>
        <v/>
      </c>
      <c r="EC159" s="30" t="str">
        <f t="shared" si="1889"/>
        <v/>
      </c>
      <c r="ED159" s="30" t="str">
        <f t="shared" si="1890"/>
        <v/>
      </c>
      <c r="EE159" s="30" t="str">
        <f t="shared" si="1891"/>
        <v/>
      </c>
      <c r="EF159" s="30" t="str">
        <f t="shared" si="1892"/>
        <v/>
      </c>
      <c r="EG159" s="30" t="str">
        <f t="shared" si="1893"/>
        <v/>
      </c>
      <c r="EH159" s="30" t="str">
        <f t="shared" si="1894"/>
        <v/>
      </c>
      <c r="EI159" s="30" t="str">
        <f t="shared" si="1895"/>
        <v/>
      </c>
      <c r="EJ159" s="30" t="str">
        <f t="shared" si="1896"/>
        <v/>
      </c>
      <c r="EK159" s="30" t="str">
        <f t="shared" si="1897"/>
        <v/>
      </c>
      <c r="EL159" s="30" t="str">
        <f t="shared" si="1898"/>
        <v/>
      </c>
      <c r="EM159" s="30" t="str">
        <f t="shared" si="1899"/>
        <v/>
      </c>
      <c r="EN159" s="30" t="str">
        <f t="shared" si="1900"/>
        <v/>
      </c>
      <c r="EO159" s="30" t="str">
        <f t="shared" si="1901"/>
        <v/>
      </c>
      <c r="EP159" s="30" t="str">
        <f t="shared" si="1902"/>
        <v/>
      </c>
      <c r="EQ159" s="30" t="str">
        <f t="shared" si="1903"/>
        <v/>
      </c>
      <c r="ER159" s="30" t="str">
        <f t="shared" si="1904"/>
        <v/>
      </c>
      <c r="ES159" s="30" t="str">
        <f t="shared" si="1905"/>
        <v/>
      </c>
      <c r="ET159" s="30" t="str">
        <f t="shared" si="1906"/>
        <v/>
      </c>
      <c r="EU159" s="30" t="str">
        <f t="shared" si="1907"/>
        <v/>
      </c>
      <c r="EV159" s="30" t="str">
        <f t="shared" si="1908"/>
        <v/>
      </c>
      <c r="EW159" s="30" t="str">
        <f t="shared" si="1909"/>
        <v/>
      </c>
      <c r="EX159" s="30" t="str">
        <f t="shared" si="1910"/>
        <v/>
      </c>
      <c r="EY159" s="30" t="str">
        <f t="shared" si="1911"/>
        <v/>
      </c>
      <c r="EZ159" s="30" t="str">
        <f t="shared" si="1912"/>
        <v/>
      </c>
      <c r="FA159" s="30" t="str">
        <f t="shared" si="1913"/>
        <v/>
      </c>
      <c r="FB159" s="30" t="str">
        <f t="shared" si="1914"/>
        <v/>
      </c>
      <c r="FC159" s="30" t="str">
        <f t="shared" si="1915"/>
        <v/>
      </c>
      <c r="FD159" s="30" t="str">
        <f t="shared" si="1916"/>
        <v/>
      </c>
      <c r="FE159" s="30" t="str">
        <f t="shared" si="1917"/>
        <v/>
      </c>
      <c r="FF159" s="30" t="str">
        <f t="shared" si="1918"/>
        <v/>
      </c>
      <c r="FG159" s="30" t="str">
        <f t="shared" si="1919"/>
        <v/>
      </c>
      <c r="FH159" s="30" t="str">
        <f t="shared" si="1920"/>
        <v/>
      </c>
      <c r="FI159" s="30" t="str">
        <f t="shared" si="1921"/>
        <v/>
      </c>
      <c r="FJ159" s="30" t="str">
        <f t="shared" si="1922"/>
        <v/>
      </c>
      <c r="FK159" s="30" t="str">
        <f t="shared" si="1923"/>
        <v/>
      </c>
      <c r="FL159" s="30" t="str">
        <f t="shared" si="1924"/>
        <v/>
      </c>
      <c r="FM159" s="30" t="str">
        <f t="shared" si="1925"/>
        <v/>
      </c>
      <c r="FN159" s="30" t="str">
        <f t="shared" si="1926"/>
        <v/>
      </c>
      <c r="FO159" s="30" t="str">
        <f t="shared" si="1927"/>
        <v/>
      </c>
      <c r="FP159" s="30" t="str">
        <f t="shared" si="1928"/>
        <v/>
      </c>
      <c r="FQ159" s="30" t="str">
        <f t="shared" si="1929"/>
        <v/>
      </c>
      <c r="FR159" s="30" t="str">
        <f t="shared" si="1930"/>
        <v/>
      </c>
      <c r="FS159" s="30" t="str">
        <f t="shared" si="1931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1856"/>
        <v>InitUnitState('',,,,,,,,,,)</v>
      </c>
      <c r="CO160" s="44" t="str">
        <f t="shared" si="1857"/>
        <v>InitUnitNormal('',,,,,,,,,,)</v>
      </c>
      <c r="CP160" s="44" t="str">
        <f t="shared" si="1858"/>
        <v>InitUnitMagic('',,,,,,,,,,)</v>
      </c>
      <c r="CQ160" s="44" t="str">
        <f t="shared" si="1859"/>
        <v>InitUnitAdd('',,,,,,,,,,)</v>
      </c>
      <c r="CR160" s="44" t="str">
        <f t="shared" si="1860"/>
        <v>InitEquipData('',,"",,,,,'','','','','','',"")</v>
      </c>
      <c r="CS160" s="44"/>
      <c r="CT160" s="44"/>
      <c r="CU160" s="45" t="str">
        <f t="shared" si="1861"/>
        <v>|n</v>
      </c>
      <c r="CV160" s="29"/>
      <c r="DB160" s="30" t="str">
        <f t="shared" si="1862"/>
        <v/>
      </c>
      <c r="DC160" s="30" t="str">
        <f t="shared" si="1863"/>
        <v/>
      </c>
      <c r="DD160" s="30" t="str">
        <f t="shared" si="1864"/>
        <v/>
      </c>
      <c r="DE160" s="30" t="str">
        <f t="shared" si="1865"/>
        <v/>
      </c>
      <c r="DF160" s="30" t="str">
        <f t="shared" si="1866"/>
        <v/>
      </c>
      <c r="DG160" s="30" t="str">
        <f t="shared" si="1867"/>
        <v/>
      </c>
      <c r="DH160" s="30" t="str">
        <f t="shared" si="1868"/>
        <v/>
      </c>
      <c r="DI160" s="30" t="str">
        <f t="shared" si="1869"/>
        <v/>
      </c>
      <c r="DJ160" s="30" t="str">
        <f t="shared" si="1870"/>
        <v/>
      </c>
      <c r="DK160" s="30" t="str">
        <f t="shared" si="1871"/>
        <v/>
      </c>
      <c r="DL160" s="30" t="str">
        <f t="shared" si="1872"/>
        <v/>
      </c>
      <c r="DM160" s="30" t="str">
        <f t="shared" si="1873"/>
        <v/>
      </c>
      <c r="DN160" s="30" t="str">
        <f t="shared" si="1874"/>
        <v/>
      </c>
      <c r="DO160" s="30" t="str">
        <f t="shared" si="1875"/>
        <v/>
      </c>
      <c r="DP160" s="30" t="str">
        <f t="shared" si="1876"/>
        <v/>
      </c>
      <c r="DQ160" s="30" t="str">
        <f t="shared" si="1877"/>
        <v/>
      </c>
      <c r="DR160" s="30" t="str">
        <f t="shared" si="1878"/>
        <v/>
      </c>
      <c r="DS160" s="30" t="str">
        <f t="shared" si="1879"/>
        <v/>
      </c>
      <c r="DT160" s="30" t="str">
        <f t="shared" si="1880"/>
        <v/>
      </c>
      <c r="DU160" s="30" t="str">
        <f t="shared" si="1881"/>
        <v/>
      </c>
      <c r="DV160" s="30" t="str">
        <f t="shared" si="1882"/>
        <v/>
      </c>
      <c r="DW160" s="30" t="str">
        <f t="shared" si="1883"/>
        <v/>
      </c>
      <c r="DX160" s="30" t="str">
        <f t="shared" si="1884"/>
        <v/>
      </c>
      <c r="DY160" s="30" t="str">
        <f t="shared" si="1885"/>
        <v/>
      </c>
      <c r="DZ160" s="30" t="str">
        <f t="shared" si="1886"/>
        <v/>
      </c>
      <c r="EA160" s="30" t="str">
        <f t="shared" si="1887"/>
        <v/>
      </c>
      <c r="EB160" s="30" t="str">
        <f t="shared" si="1888"/>
        <v/>
      </c>
      <c r="EC160" s="30" t="str">
        <f t="shared" si="1889"/>
        <v/>
      </c>
      <c r="ED160" s="30" t="str">
        <f t="shared" si="1890"/>
        <v/>
      </c>
      <c r="EE160" s="30" t="str">
        <f t="shared" si="1891"/>
        <v/>
      </c>
      <c r="EF160" s="30" t="str">
        <f t="shared" si="1892"/>
        <v/>
      </c>
      <c r="EG160" s="30" t="str">
        <f t="shared" si="1893"/>
        <v/>
      </c>
      <c r="EH160" s="30" t="str">
        <f t="shared" si="1894"/>
        <v/>
      </c>
      <c r="EI160" s="30" t="str">
        <f t="shared" si="1895"/>
        <v/>
      </c>
      <c r="EJ160" s="30" t="str">
        <f t="shared" si="1896"/>
        <v/>
      </c>
      <c r="EK160" s="30" t="str">
        <f t="shared" si="1897"/>
        <v/>
      </c>
      <c r="EL160" s="30" t="str">
        <f t="shared" si="1898"/>
        <v/>
      </c>
      <c r="EM160" s="30" t="str">
        <f t="shared" si="1899"/>
        <v/>
      </c>
      <c r="EN160" s="30" t="str">
        <f t="shared" si="1900"/>
        <v/>
      </c>
      <c r="EO160" s="30" t="str">
        <f t="shared" si="1901"/>
        <v/>
      </c>
      <c r="EP160" s="30" t="str">
        <f t="shared" si="1902"/>
        <v/>
      </c>
      <c r="EQ160" s="30" t="str">
        <f t="shared" si="1903"/>
        <v/>
      </c>
      <c r="ER160" s="30" t="str">
        <f t="shared" si="1904"/>
        <v/>
      </c>
      <c r="ES160" s="30" t="str">
        <f t="shared" si="1905"/>
        <v/>
      </c>
      <c r="ET160" s="30" t="str">
        <f t="shared" si="1906"/>
        <v/>
      </c>
      <c r="EU160" s="30" t="str">
        <f t="shared" si="1907"/>
        <v/>
      </c>
      <c r="EV160" s="30" t="str">
        <f t="shared" si="1908"/>
        <v/>
      </c>
      <c r="EW160" s="30" t="str">
        <f t="shared" si="1909"/>
        <v/>
      </c>
      <c r="EX160" s="30" t="str">
        <f t="shared" si="1910"/>
        <v/>
      </c>
      <c r="EY160" s="30" t="str">
        <f t="shared" si="1911"/>
        <v/>
      </c>
      <c r="EZ160" s="30" t="str">
        <f t="shared" si="1912"/>
        <v/>
      </c>
      <c r="FA160" s="30" t="str">
        <f t="shared" si="1913"/>
        <v/>
      </c>
      <c r="FB160" s="30" t="str">
        <f t="shared" si="1914"/>
        <v/>
      </c>
      <c r="FC160" s="30" t="str">
        <f t="shared" si="1915"/>
        <v/>
      </c>
      <c r="FD160" s="30" t="str">
        <f t="shared" si="1916"/>
        <v/>
      </c>
      <c r="FE160" s="30" t="str">
        <f t="shared" si="1917"/>
        <v/>
      </c>
      <c r="FF160" s="30" t="str">
        <f t="shared" si="1918"/>
        <v/>
      </c>
      <c r="FG160" s="30" t="str">
        <f t="shared" si="1919"/>
        <v/>
      </c>
      <c r="FH160" s="30" t="str">
        <f t="shared" si="1920"/>
        <v/>
      </c>
      <c r="FI160" s="30" t="str">
        <f t="shared" si="1921"/>
        <v/>
      </c>
      <c r="FJ160" s="30" t="str">
        <f t="shared" si="1922"/>
        <v/>
      </c>
      <c r="FK160" s="30" t="str">
        <f t="shared" si="1923"/>
        <v/>
      </c>
      <c r="FL160" s="30" t="str">
        <f t="shared" si="1924"/>
        <v/>
      </c>
      <c r="FM160" s="30" t="str">
        <f t="shared" si="1925"/>
        <v/>
      </c>
      <c r="FN160" s="30" t="str">
        <f t="shared" si="1926"/>
        <v/>
      </c>
      <c r="FO160" s="30" t="str">
        <f t="shared" si="1927"/>
        <v/>
      </c>
      <c r="FP160" s="30" t="str">
        <f t="shared" si="1928"/>
        <v/>
      </c>
      <c r="FQ160" s="30" t="str">
        <f t="shared" si="1929"/>
        <v/>
      </c>
      <c r="FR160" s="30" t="str">
        <f t="shared" si="1930"/>
        <v/>
      </c>
      <c r="FS160" s="30" t="str">
        <f t="shared" si="1931"/>
        <v/>
      </c>
    </row>
    <row r="161" spans="1:175" ht="16.5">
      <c r="A161" s="5"/>
      <c r="B161" s="36"/>
      <c r="C161" s="5"/>
      <c r="E161" s="54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51"/>
      <c r="Q161" s="51"/>
      <c r="R161" s="51"/>
      <c r="S161" s="51"/>
      <c r="T161" s="104"/>
      <c r="U161" s="32"/>
      <c r="CU161" s="45" t="str">
        <f t="shared" si="1861"/>
        <v>|n</v>
      </c>
      <c r="CW161" s="24"/>
      <c r="CX161" s="24"/>
      <c r="CY161" s="24"/>
      <c r="CZ161" s="24"/>
      <c r="DA161" s="24"/>
      <c r="DB161" s="30" t="str">
        <f t="shared" si="1862"/>
        <v/>
      </c>
      <c r="DC161" s="30" t="str">
        <f t="shared" si="1863"/>
        <v/>
      </c>
      <c r="DD161" s="30" t="str">
        <f t="shared" si="1864"/>
        <v/>
      </c>
      <c r="DE161" s="30" t="str">
        <f t="shared" si="1865"/>
        <v/>
      </c>
      <c r="DF161" s="30" t="str">
        <f t="shared" si="1866"/>
        <v/>
      </c>
      <c r="DG161" s="30" t="str">
        <f t="shared" si="1867"/>
        <v/>
      </c>
      <c r="DH161" s="30" t="str">
        <f t="shared" si="1868"/>
        <v/>
      </c>
      <c r="DI161" s="30" t="str">
        <f t="shared" si="1869"/>
        <v/>
      </c>
      <c r="DJ161" s="30" t="str">
        <f t="shared" si="1870"/>
        <v/>
      </c>
      <c r="DK161" s="30" t="str">
        <f t="shared" si="1871"/>
        <v/>
      </c>
      <c r="DL161" s="30" t="str">
        <f t="shared" si="1872"/>
        <v/>
      </c>
      <c r="DM161" s="30" t="str">
        <f t="shared" si="1873"/>
        <v/>
      </c>
      <c r="DN161" s="30" t="str">
        <f t="shared" si="1874"/>
        <v/>
      </c>
      <c r="DO161" s="30" t="str">
        <f t="shared" si="1875"/>
        <v/>
      </c>
      <c r="DP161" s="30" t="str">
        <f t="shared" si="1876"/>
        <v/>
      </c>
      <c r="DQ161" s="30" t="str">
        <f t="shared" si="1877"/>
        <v/>
      </c>
      <c r="DR161" s="30" t="str">
        <f t="shared" si="1878"/>
        <v/>
      </c>
      <c r="DS161" s="30" t="str">
        <f t="shared" si="1879"/>
        <v/>
      </c>
      <c r="DT161" s="30" t="str">
        <f t="shared" si="1880"/>
        <v/>
      </c>
      <c r="DU161" s="30" t="str">
        <f t="shared" si="1881"/>
        <v/>
      </c>
      <c r="DV161" s="30" t="str">
        <f t="shared" si="1882"/>
        <v/>
      </c>
      <c r="DW161" s="30" t="str">
        <f t="shared" si="1883"/>
        <v/>
      </c>
      <c r="DX161" s="30" t="str">
        <f t="shared" si="1884"/>
        <v/>
      </c>
      <c r="DY161" s="30" t="str">
        <f t="shared" si="1885"/>
        <v/>
      </c>
      <c r="DZ161" s="30" t="str">
        <f t="shared" si="1886"/>
        <v/>
      </c>
      <c r="EA161" s="30" t="str">
        <f t="shared" si="1887"/>
        <v/>
      </c>
      <c r="EB161" s="30" t="str">
        <f t="shared" si="1888"/>
        <v/>
      </c>
      <c r="EC161" s="30" t="str">
        <f t="shared" si="1889"/>
        <v/>
      </c>
      <c r="ED161" s="30" t="str">
        <f t="shared" si="1890"/>
        <v/>
      </c>
      <c r="EE161" s="30" t="str">
        <f t="shared" si="1891"/>
        <v/>
      </c>
      <c r="EF161" s="30" t="str">
        <f t="shared" si="1892"/>
        <v/>
      </c>
      <c r="EG161" s="30" t="str">
        <f t="shared" si="1893"/>
        <v/>
      </c>
      <c r="EH161" s="30" t="str">
        <f t="shared" si="1894"/>
        <v/>
      </c>
      <c r="EI161" s="30" t="str">
        <f t="shared" si="1895"/>
        <v/>
      </c>
      <c r="EJ161" s="30" t="str">
        <f t="shared" si="1896"/>
        <v/>
      </c>
      <c r="EK161" s="30" t="str">
        <f t="shared" si="1897"/>
        <v/>
      </c>
      <c r="EL161" s="30" t="str">
        <f t="shared" si="1898"/>
        <v/>
      </c>
      <c r="EM161" s="30" t="str">
        <f t="shared" si="1899"/>
        <v/>
      </c>
      <c r="EN161" s="30" t="str">
        <f t="shared" si="1900"/>
        <v/>
      </c>
      <c r="EO161" s="30" t="str">
        <f t="shared" si="1901"/>
        <v/>
      </c>
      <c r="EP161" s="30" t="str">
        <f t="shared" si="1902"/>
        <v/>
      </c>
      <c r="EQ161" s="30" t="str">
        <f t="shared" si="1903"/>
        <v/>
      </c>
      <c r="ER161" s="30" t="str">
        <f t="shared" si="1904"/>
        <v/>
      </c>
      <c r="ES161" s="30" t="str">
        <f t="shared" si="1905"/>
        <v/>
      </c>
      <c r="ET161" s="30" t="str">
        <f t="shared" si="1906"/>
        <v/>
      </c>
      <c r="EU161" s="30" t="str">
        <f t="shared" si="1907"/>
        <v/>
      </c>
      <c r="EV161" s="30" t="str">
        <f t="shared" si="1908"/>
        <v/>
      </c>
      <c r="EW161" s="30" t="str">
        <f t="shared" si="1909"/>
        <v/>
      </c>
      <c r="EX161" s="30" t="str">
        <f t="shared" si="1910"/>
        <v/>
      </c>
      <c r="EY161" s="30" t="str">
        <f t="shared" si="1911"/>
        <v/>
      </c>
      <c r="EZ161" s="30" t="str">
        <f t="shared" si="1912"/>
        <v/>
      </c>
      <c r="FA161" s="30" t="str">
        <f t="shared" si="1913"/>
        <v/>
      </c>
      <c r="FB161" s="30" t="str">
        <f t="shared" si="1914"/>
        <v/>
      </c>
      <c r="FC161" s="30" t="str">
        <f t="shared" si="1915"/>
        <v/>
      </c>
      <c r="FD161" s="30" t="str">
        <f t="shared" si="1916"/>
        <v/>
      </c>
      <c r="FE161" s="30" t="str">
        <f t="shared" si="1917"/>
        <v/>
      </c>
      <c r="FF161" s="30" t="str">
        <f t="shared" si="1918"/>
        <v/>
      </c>
      <c r="FG161" s="30" t="str">
        <f t="shared" si="1919"/>
        <v/>
      </c>
      <c r="FH161" s="30" t="str">
        <f t="shared" si="1920"/>
        <v/>
      </c>
      <c r="FI161" s="30" t="str">
        <f t="shared" si="1921"/>
        <v/>
      </c>
      <c r="FJ161" s="30" t="str">
        <f t="shared" si="1922"/>
        <v/>
      </c>
      <c r="FK161" s="30" t="str">
        <f t="shared" si="1923"/>
        <v/>
      </c>
      <c r="FL161" s="30" t="str">
        <f t="shared" si="1924"/>
        <v/>
      </c>
      <c r="FM161" s="30" t="str">
        <f t="shared" si="1925"/>
        <v/>
      </c>
      <c r="FN161" s="30" t="str">
        <f t="shared" si="1926"/>
        <v/>
      </c>
      <c r="FO161" s="30" t="str">
        <f t="shared" si="1927"/>
        <v/>
      </c>
      <c r="FP161" s="30" t="str">
        <f t="shared" si="1928"/>
        <v/>
      </c>
      <c r="FQ161" s="30" t="str">
        <f t="shared" si="1929"/>
        <v/>
      </c>
      <c r="FR161" s="30" t="str">
        <f t="shared" si="1930"/>
        <v/>
      </c>
      <c r="FS161" s="30" t="str">
        <f t="shared" si="1931"/>
        <v/>
      </c>
    </row>
    <row r="162" spans="1:175" ht="16.5">
      <c r="A162" s="5"/>
      <c r="B162" s="36"/>
      <c r="C162" s="5"/>
      <c r="E162" s="54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51"/>
      <c r="Q162" s="51"/>
      <c r="R162" s="51"/>
      <c r="S162" s="51"/>
      <c r="T162" s="104"/>
      <c r="U162" s="32"/>
      <c r="CU162" s="45" t="str">
        <f t="shared" si="1861"/>
        <v>|n</v>
      </c>
      <c r="CW162" s="24"/>
      <c r="CX162" s="24"/>
      <c r="CY162" s="24"/>
      <c r="CZ162" s="24"/>
      <c r="DA162" s="24"/>
      <c r="DB162" s="30" t="str">
        <f t="shared" si="1862"/>
        <v/>
      </c>
      <c r="DC162" s="30" t="str">
        <f t="shared" si="1863"/>
        <v/>
      </c>
      <c r="DD162" s="30" t="str">
        <f t="shared" si="1864"/>
        <v/>
      </c>
      <c r="DE162" s="30" t="str">
        <f t="shared" si="1865"/>
        <v/>
      </c>
      <c r="DF162" s="30" t="str">
        <f t="shared" si="1866"/>
        <v/>
      </c>
      <c r="DG162" s="30" t="str">
        <f t="shared" si="1867"/>
        <v/>
      </c>
      <c r="DH162" s="30" t="str">
        <f t="shared" si="1868"/>
        <v/>
      </c>
      <c r="DI162" s="30" t="str">
        <f t="shared" si="1869"/>
        <v/>
      </c>
      <c r="DJ162" s="30" t="str">
        <f t="shared" si="1870"/>
        <v/>
      </c>
      <c r="DK162" s="30" t="str">
        <f t="shared" si="1871"/>
        <v/>
      </c>
      <c r="DL162" s="30" t="str">
        <f t="shared" si="1872"/>
        <v/>
      </c>
      <c r="DM162" s="30" t="str">
        <f t="shared" si="1873"/>
        <v/>
      </c>
      <c r="DN162" s="30" t="str">
        <f t="shared" si="1874"/>
        <v/>
      </c>
      <c r="DO162" s="30" t="str">
        <f t="shared" si="1875"/>
        <v/>
      </c>
      <c r="DP162" s="30" t="str">
        <f t="shared" si="1876"/>
        <v/>
      </c>
      <c r="DQ162" s="30" t="str">
        <f t="shared" si="1877"/>
        <v/>
      </c>
      <c r="DR162" s="30" t="str">
        <f t="shared" si="1878"/>
        <v/>
      </c>
      <c r="DS162" s="30" t="str">
        <f t="shared" si="1879"/>
        <v/>
      </c>
      <c r="DT162" s="30" t="str">
        <f t="shared" si="1880"/>
        <v/>
      </c>
      <c r="DU162" s="30" t="str">
        <f t="shared" si="1881"/>
        <v/>
      </c>
      <c r="DV162" s="30" t="str">
        <f t="shared" si="1882"/>
        <v/>
      </c>
      <c r="DW162" s="30" t="str">
        <f t="shared" si="1883"/>
        <v/>
      </c>
      <c r="DX162" s="30" t="str">
        <f t="shared" si="1884"/>
        <v/>
      </c>
      <c r="DY162" s="30" t="str">
        <f t="shared" si="1885"/>
        <v/>
      </c>
      <c r="DZ162" s="30" t="str">
        <f t="shared" si="1886"/>
        <v/>
      </c>
      <c r="EA162" s="30" t="str">
        <f t="shared" si="1887"/>
        <v/>
      </c>
      <c r="EB162" s="30" t="str">
        <f t="shared" si="1888"/>
        <v/>
      </c>
      <c r="EC162" s="30" t="str">
        <f t="shared" si="1889"/>
        <v/>
      </c>
      <c r="ED162" s="30" t="str">
        <f t="shared" si="1890"/>
        <v/>
      </c>
      <c r="EE162" s="30" t="str">
        <f t="shared" si="1891"/>
        <v/>
      </c>
      <c r="EF162" s="30" t="str">
        <f t="shared" si="1892"/>
        <v/>
      </c>
      <c r="EG162" s="30" t="str">
        <f t="shared" si="1893"/>
        <v/>
      </c>
      <c r="EH162" s="30" t="str">
        <f t="shared" si="1894"/>
        <v/>
      </c>
      <c r="EI162" s="30" t="str">
        <f t="shared" si="1895"/>
        <v/>
      </c>
      <c r="EJ162" s="30" t="str">
        <f t="shared" si="1896"/>
        <v/>
      </c>
      <c r="EK162" s="30" t="str">
        <f t="shared" si="1897"/>
        <v/>
      </c>
      <c r="EL162" s="30" t="str">
        <f t="shared" si="1898"/>
        <v/>
      </c>
      <c r="EM162" s="30" t="str">
        <f t="shared" si="1899"/>
        <v/>
      </c>
      <c r="EN162" s="30" t="str">
        <f t="shared" si="1900"/>
        <v/>
      </c>
      <c r="EO162" s="30" t="str">
        <f t="shared" si="1901"/>
        <v/>
      </c>
      <c r="EP162" s="30" t="str">
        <f t="shared" si="1902"/>
        <v/>
      </c>
      <c r="EQ162" s="30" t="str">
        <f t="shared" si="1903"/>
        <v/>
      </c>
      <c r="ER162" s="30" t="str">
        <f t="shared" si="1904"/>
        <v/>
      </c>
      <c r="ES162" s="30" t="str">
        <f t="shared" si="1905"/>
        <v/>
      </c>
      <c r="ET162" s="30" t="str">
        <f t="shared" si="1906"/>
        <v/>
      </c>
      <c r="EU162" s="30" t="str">
        <f t="shared" si="1907"/>
        <v/>
      </c>
      <c r="EV162" s="30" t="str">
        <f t="shared" si="1908"/>
        <v/>
      </c>
      <c r="EW162" s="30" t="str">
        <f t="shared" si="1909"/>
        <v/>
      </c>
      <c r="EX162" s="30" t="str">
        <f t="shared" si="1910"/>
        <v/>
      </c>
      <c r="EY162" s="30" t="str">
        <f t="shared" si="1911"/>
        <v/>
      </c>
      <c r="EZ162" s="30" t="str">
        <f t="shared" si="1912"/>
        <v/>
      </c>
      <c r="FA162" s="30" t="str">
        <f t="shared" si="1913"/>
        <v/>
      </c>
      <c r="FB162" s="30" t="str">
        <f t="shared" si="1914"/>
        <v/>
      </c>
      <c r="FC162" s="30" t="str">
        <f t="shared" si="1915"/>
        <v/>
      </c>
      <c r="FD162" s="30" t="str">
        <f t="shared" si="1916"/>
        <v/>
      </c>
      <c r="FE162" s="30" t="str">
        <f t="shared" si="1917"/>
        <v/>
      </c>
      <c r="FF162" s="30" t="str">
        <f t="shared" si="1918"/>
        <v/>
      </c>
      <c r="FG162" s="30" t="str">
        <f t="shared" si="1919"/>
        <v/>
      </c>
      <c r="FH162" s="30" t="str">
        <f t="shared" si="1920"/>
        <v/>
      </c>
      <c r="FI162" s="30" t="str">
        <f t="shared" si="1921"/>
        <v/>
      </c>
      <c r="FJ162" s="30" t="str">
        <f t="shared" si="1922"/>
        <v/>
      </c>
      <c r="FK162" s="30" t="str">
        <f t="shared" si="1923"/>
        <v/>
      </c>
      <c r="FL162" s="30" t="str">
        <f t="shared" si="1924"/>
        <v/>
      </c>
      <c r="FM162" s="30" t="str">
        <f t="shared" si="1925"/>
        <v/>
      </c>
      <c r="FN162" s="30" t="str">
        <f t="shared" si="1926"/>
        <v/>
      </c>
      <c r="FO162" s="30" t="str">
        <f t="shared" si="1927"/>
        <v/>
      </c>
      <c r="FP162" s="30" t="str">
        <f t="shared" si="1928"/>
        <v/>
      </c>
      <c r="FQ162" s="30" t="str">
        <f t="shared" si="1929"/>
        <v/>
      </c>
      <c r="FR162" s="30" t="str">
        <f t="shared" si="1930"/>
        <v/>
      </c>
      <c r="FS162" s="30" t="str">
        <f t="shared" si="1931"/>
        <v/>
      </c>
    </row>
    <row r="163" spans="1:175" ht="16.5">
      <c r="A163" s="5"/>
      <c r="B163" s="36"/>
      <c r="C163" s="5"/>
      <c r="E163" s="54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51"/>
      <c r="Q163" s="51"/>
      <c r="R163" s="51"/>
      <c r="S163" s="51"/>
      <c r="T163" s="104"/>
      <c r="U163" s="32"/>
      <c r="CU163" s="45" t="str">
        <f t="shared" si="1861"/>
        <v>|n</v>
      </c>
      <c r="CW163" s="24"/>
      <c r="CX163" s="24"/>
      <c r="CY163" s="24"/>
      <c r="CZ163" s="24"/>
      <c r="DA163" s="24"/>
      <c r="DB163" s="30" t="str">
        <f t="shared" si="1862"/>
        <v/>
      </c>
      <c r="DC163" s="30" t="str">
        <f t="shared" si="1863"/>
        <v/>
      </c>
      <c r="DD163" s="30" t="str">
        <f t="shared" si="1864"/>
        <v/>
      </c>
      <c r="DE163" s="30" t="str">
        <f t="shared" si="1865"/>
        <v/>
      </c>
      <c r="DF163" s="30" t="str">
        <f t="shared" si="1866"/>
        <v/>
      </c>
      <c r="DG163" s="30" t="str">
        <f t="shared" si="1867"/>
        <v/>
      </c>
      <c r="DH163" s="30" t="str">
        <f t="shared" si="1868"/>
        <v/>
      </c>
      <c r="DI163" s="30" t="str">
        <f t="shared" si="1869"/>
        <v/>
      </c>
      <c r="DJ163" s="30" t="str">
        <f t="shared" si="1870"/>
        <v/>
      </c>
      <c r="DK163" s="30" t="str">
        <f t="shared" si="1871"/>
        <v/>
      </c>
      <c r="DL163" s="30" t="str">
        <f t="shared" si="1872"/>
        <v/>
      </c>
      <c r="DM163" s="30" t="str">
        <f t="shared" si="1873"/>
        <v/>
      </c>
      <c r="DN163" s="30" t="str">
        <f t="shared" si="1874"/>
        <v/>
      </c>
      <c r="DO163" s="30" t="str">
        <f t="shared" si="1875"/>
        <v/>
      </c>
      <c r="DP163" s="30" t="str">
        <f t="shared" si="1876"/>
        <v/>
      </c>
      <c r="DQ163" s="30" t="str">
        <f t="shared" si="1877"/>
        <v/>
      </c>
      <c r="DR163" s="30" t="str">
        <f t="shared" si="1878"/>
        <v/>
      </c>
      <c r="DS163" s="30" t="str">
        <f t="shared" si="1879"/>
        <v/>
      </c>
      <c r="DT163" s="30" t="str">
        <f t="shared" si="1880"/>
        <v/>
      </c>
      <c r="DU163" s="30" t="str">
        <f t="shared" si="1881"/>
        <v/>
      </c>
      <c r="DV163" s="30" t="str">
        <f t="shared" si="1882"/>
        <v/>
      </c>
      <c r="DW163" s="30" t="str">
        <f t="shared" si="1883"/>
        <v/>
      </c>
      <c r="DX163" s="30" t="str">
        <f t="shared" si="1884"/>
        <v/>
      </c>
      <c r="DY163" s="30" t="str">
        <f t="shared" si="1885"/>
        <v/>
      </c>
      <c r="DZ163" s="30" t="str">
        <f t="shared" si="1886"/>
        <v/>
      </c>
      <c r="EA163" s="30" t="str">
        <f t="shared" si="1887"/>
        <v/>
      </c>
      <c r="EB163" s="30" t="str">
        <f t="shared" si="1888"/>
        <v/>
      </c>
      <c r="EC163" s="30" t="str">
        <f t="shared" si="1889"/>
        <v/>
      </c>
      <c r="ED163" s="30" t="str">
        <f t="shared" si="1890"/>
        <v/>
      </c>
      <c r="EE163" s="30" t="str">
        <f t="shared" si="1891"/>
        <v/>
      </c>
      <c r="EF163" s="30" t="str">
        <f t="shared" si="1892"/>
        <v/>
      </c>
      <c r="EG163" s="30" t="str">
        <f t="shared" si="1893"/>
        <v/>
      </c>
      <c r="EH163" s="30" t="str">
        <f t="shared" si="1894"/>
        <v/>
      </c>
      <c r="EI163" s="30" t="str">
        <f t="shared" si="1895"/>
        <v/>
      </c>
      <c r="EJ163" s="30" t="str">
        <f t="shared" si="1896"/>
        <v/>
      </c>
      <c r="EK163" s="30" t="str">
        <f t="shared" si="1897"/>
        <v/>
      </c>
      <c r="EL163" s="30" t="str">
        <f t="shared" si="1898"/>
        <v/>
      </c>
      <c r="EM163" s="30" t="str">
        <f t="shared" si="1899"/>
        <v/>
      </c>
      <c r="EN163" s="30" t="str">
        <f t="shared" si="1900"/>
        <v/>
      </c>
      <c r="EO163" s="30" t="str">
        <f t="shared" si="1901"/>
        <v/>
      </c>
      <c r="EP163" s="30" t="str">
        <f t="shared" si="1902"/>
        <v/>
      </c>
      <c r="EQ163" s="30" t="str">
        <f t="shared" si="1903"/>
        <v/>
      </c>
      <c r="ER163" s="30" t="str">
        <f t="shared" si="1904"/>
        <v/>
      </c>
      <c r="ES163" s="30" t="str">
        <f t="shared" si="1905"/>
        <v/>
      </c>
      <c r="ET163" s="30" t="str">
        <f t="shared" si="1906"/>
        <v/>
      </c>
      <c r="EU163" s="30" t="str">
        <f t="shared" si="1907"/>
        <v/>
      </c>
      <c r="EV163" s="30" t="str">
        <f t="shared" si="1908"/>
        <v/>
      </c>
      <c r="EW163" s="30" t="str">
        <f t="shared" si="1909"/>
        <v/>
      </c>
      <c r="EX163" s="30" t="str">
        <f t="shared" si="1910"/>
        <v/>
      </c>
      <c r="EY163" s="30" t="str">
        <f t="shared" si="1911"/>
        <v/>
      </c>
      <c r="EZ163" s="30" t="str">
        <f t="shared" si="1912"/>
        <v/>
      </c>
      <c r="FA163" s="30" t="str">
        <f t="shared" si="1913"/>
        <v/>
      </c>
      <c r="FB163" s="30" t="str">
        <f t="shared" si="1914"/>
        <v/>
      </c>
      <c r="FC163" s="30" t="str">
        <f t="shared" si="1915"/>
        <v/>
      </c>
      <c r="FD163" s="30" t="str">
        <f t="shared" si="1916"/>
        <v/>
      </c>
      <c r="FE163" s="30" t="str">
        <f t="shared" si="1917"/>
        <v/>
      </c>
      <c r="FF163" s="30" t="str">
        <f t="shared" si="1918"/>
        <v/>
      </c>
      <c r="FG163" s="30" t="str">
        <f t="shared" si="1919"/>
        <v/>
      </c>
      <c r="FH163" s="30" t="str">
        <f t="shared" si="1920"/>
        <v/>
      </c>
      <c r="FI163" s="30" t="str">
        <f t="shared" si="1921"/>
        <v/>
      </c>
      <c r="FJ163" s="30" t="str">
        <f t="shared" si="1922"/>
        <v/>
      </c>
      <c r="FK163" s="30" t="str">
        <f t="shared" si="1923"/>
        <v/>
      </c>
      <c r="FL163" s="30" t="str">
        <f t="shared" si="1924"/>
        <v/>
      </c>
      <c r="FM163" s="30" t="str">
        <f t="shared" si="1925"/>
        <v/>
      </c>
      <c r="FN163" s="30" t="str">
        <f t="shared" si="1926"/>
        <v/>
      </c>
      <c r="FO163" s="30" t="str">
        <f t="shared" si="1927"/>
        <v/>
      </c>
      <c r="FP163" s="30" t="str">
        <f t="shared" si="1928"/>
        <v/>
      </c>
      <c r="FQ163" s="30" t="str">
        <f t="shared" si="1929"/>
        <v/>
      </c>
      <c r="FR163" s="30" t="str">
        <f t="shared" si="1930"/>
        <v/>
      </c>
      <c r="FS163" s="30" t="str">
        <f t="shared" si="1931"/>
        <v/>
      </c>
    </row>
    <row r="164" spans="1:175" ht="16.5">
      <c r="A164" s="5"/>
      <c r="B164" s="36"/>
      <c r="C164" s="5"/>
      <c r="E164" s="54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51"/>
      <c r="Q164" s="51"/>
      <c r="R164" s="51"/>
      <c r="S164" s="51"/>
      <c r="T164" s="104"/>
      <c r="U164" s="32"/>
      <c r="CU164" s="45" t="str">
        <f t="shared" si="1861"/>
        <v>|n</v>
      </c>
      <c r="CW164" s="24"/>
      <c r="CX164" s="24"/>
      <c r="CY164" s="24"/>
      <c r="CZ164" s="24"/>
      <c r="DA164" s="24"/>
      <c r="DB164" s="30" t="str">
        <f t="shared" si="1862"/>
        <v/>
      </c>
      <c r="DC164" s="30" t="str">
        <f t="shared" si="1863"/>
        <v/>
      </c>
      <c r="DD164" s="30" t="str">
        <f t="shared" si="1864"/>
        <v/>
      </c>
      <c r="DE164" s="30" t="str">
        <f t="shared" si="1865"/>
        <v/>
      </c>
      <c r="DF164" s="30" t="str">
        <f t="shared" si="1866"/>
        <v/>
      </c>
      <c r="DG164" s="30" t="str">
        <f t="shared" si="1867"/>
        <v/>
      </c>
      <c r="DH164" s="30" t="str">
        <f t="shared" si="1868"/>
        <v/>
      </c>
      <c r="DI164" s="30" t="str">
        <f t="shared" si="1869"/>
        <v/>
      </c>
      <c r="DJ164" s="30" t="str">
        <f t="shared" si="1870"/>
        <v/>
      </c>
      <c r="DK164" s="30" t="str">
        <f t="shared" si="1871"/>
        <v/>
      </c>
      <c r="DL164" s="30" t="str">
        <f t="shared" si="1872"/>
        <v/>
      </c>
      <c r="DM164" s="30" t="str">
        <f t="shared" si="1873"/>
        <v/>
      </c>
      <c r="DN164" s="30" t="str">
        <f t="shared" si="1874"/>
        <v/>
      </c>
      <c r="DO164" s="30" t="str">
        <f t="shared" si="1875"/>
        <v/>
      </c>
      <c r="DP164" s="30" t="str">
        <f t="shared" si="1876"/>
        <v/>
      </c>
      <c r="DQ164" s="30" t="str">
        <f t="shared" si="1877"/>
        <v/>
      </c>
      <c r="DR164" s="30" t="str">
        <f t="shared" si="1878"/>
        <v/>
      </c>
      <c r="DS164" s="30" t="str">
        <f t="shared" si="1879"/>
        <v/>
      </c>
      <c r="DT164" s="30" t="str">
        <f t="shared" si="1880"/>
        <v/>
      </c>
      <c r="DU164" s="30" t="str">
        <f t="shared" si="1881"/>
        <v/>
      </c>
      <c r="DV164" s="30" t="str">
        <f t="shared" si="1882"/>
        <v/>
      </c>
      <c r="DW164" s="30" t="str">
        <f t="shared" si="1883"/>
        <v/>
      </c>
      <c r="DX164" s="30" t="str">
        <f t="shared" si="1884"/>
        <v/>
      </c>
      <c r="DY164" s="30" t="str">
        <f t="shared" si="1885"/>
        <v/>
      </c>
      <c r="DZ164" s="30" t="str">
        <f t="shared" si="1886"/>
        <v/>
      </c>
      <c r="EA164" s="30" t="str">
        <f t="shared" si="1887"/>
        <v/>
      </c>
      <c r="EB164" s="30" t="str">
        <f t="shared" si="1888"/>
        <v/>
      </c>
      <c r="EC164" s="30" t="str">
        <f t="shared" si="1889"/>
        <v/>
      </c>
      <c r="ED164" s="30" t="str">
        <f t="shared" si="1890"/>
        <v/>
      </c>
      <c r="EE164" s="30" t="str">
        <f t="shared" si="1891"/>
        <v/>
      </c>
      <c r="EF164" s="30" t="str">
        <f t="shared" si="1892"/>
        <v/>
      </c>
      <c r="EG164" s="30" t="str">
        <f t="shared" si="1893"/>
        <v/>
      </c>
      <c r="EH164" s="30" t="str">
        <f t="shared" si="1894"/>
        <v/>
      </c>
      <c r="EI164" s="30" t="str">
        <f t="shared" si="1895"/>
        <v/>
      </c>
      <c r="EJ164" s="30" t="str">
        <f t="shared" si="1896"/>
        <v/>
      </c>
      <c r="EK164" s="30" t="str">
        <f t="shared" si="1897"/>
        <v/>
      </c>
      <c r="EL164" s="30" t="str">
        <f t="shared" si="1898"/>
        <v/>
      </c>
      <c r="EM164" s="30" t="str">
        <f t="shared" si="1899"/>
        <v/>
      </c>
      <c r="EN164" s="30" t="str">
        <f t="shared" si="1900"/>
        <v/>
      </c>
      <c r="EO164" s="30" t="str">
        <f t="shared" si="1901"/>
        <v/>
      </c>
      <c r="EP164" s="30" t="str">
        <f t="shared" si="1902"/>
        <v/>
      </c>
      <c r="EQ164" s="30" t="str">
        <f t="shared" si="1903"/>
        <v/>
      </c>
      <c r="ER164" s="30" t="str">
        <f t="shared" si="1904"/>
        <v/>
      </c>
      <c r="ES164" s="30" t="str">
        <f t="shared" si="1905"/>
        <v/>
      </c>
      <c r="ET164" s="30" t="str">
        <f t="shared" si="1906"/>
        <v/>
      </c>
      <c r="EU164" s="30" t="str">
        <f t="shared" si="1907"/>
        <v/>
      </c>
      <c r="EV164" s="30" t="str">
        <f t="shared" si="1908"/>
        <v/>
      </c>
      <c r="EW164" s="30" t="str">
        <f t="shared" si="1909"/>
        <v/>
      </c>
      <c r="EX164" s="30" t="str">
        <f t="shared" si="1910"/>
        <v/>
      </c>
      <c r="EY164" s="30" t="str">
        <f t="shared" si="1911"/>
        <v/>
      </c>
      <c r="EZ164" s="30" t="str">
        <f t="shared" si="1912"/>
        <v/>
      </c>
      <c r="FA164" s="30" t="str">
        <f t="shared" si="1913"/>
        <v/>
      </c>
      <c r="FB164" s="30" t="str">
        <f t="shared" si="1914"/>
        <v/>
      </c>
      <c r="FC164" s="30" t="str">
        <f t="shared" si="1915"/>
        <v/>
      </c>
      <c r="FD164" s="30" t="str">
        <f t="shared" si="1916"/>
        <v/>
      </c>
      <c r="FE164" s="30" t="str">
        <f t="shared" si="1917"/>
        <v/>
      </c>
      <c r="FF164" s="30" t="str">
        <f t="shared" si="1918"/>
        <v/>
      </c>
      <c r="FG164" s="30" t="str">
        <f t="shared" si="1919"/>
        <v/>
      </c>
      <c r="FH164" s="30" t="str">
        <f t="shared" si="1920"/>
        <v/>
      </c>
      <c r="FI164" s="30" t="str">
        <f t="shared" si="1921"/>
        <v/>
      </c>
      <c r="FJ164" s="30" t="str">
        <f t="shared" si="1922"/>
        <v/>
      </c>
      <c r="FK164" s="30" t="str">
        <f t="shared" si="1923"/>
        <v/>
      </c>
      <c r="FL164" s="30" t="str">
        <f t="shared" si="1924"/>
        <v/>
      </c>
      <c r="FM164" s="30" t="str">
        <f t="shared" si="1925"/>
        <v/>
      </c>
      <c r="FN164" s="30" t="str">
        <f t="shared" si="1926"/>
        <v/>
      </c>
      <c r="FO164" s="30" t="str">
        <f t="shared" si="1927"/>
        <v/>
      </c>
      <c r="FP164" s="30" t="str">
        <f t="shared" si="1928"/>
        <v/>
      </c>
      <c r="FQ164" s="30" t="str">
        <f t="shared" si="1929"/>
        <v/>
      </c>
      <c r="FR164" s="30" t="str">
        <f t="shared" si="1930"/>
        <v/>
      </c>
      <c r="FS164" s="30" t="str">
        <f t="shared" si="1931"/>
        <v/>
      </c>
    </row>
    <row r="165" spans="1:175" ht="16.5">
      <c r="A165" s="5"/>
      <c r="B165" s="36"/>
      <c r="C165" s="5"/>
      <c r="E165" s="54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51"/>
      <c r="Q165" s="51"/>
      <c r="R165" s="51"/>
      <c r="S165" s="51"/>
      <c r="T165" s="104"/>
      <c r="U165" s="32"/>
      <c r="CU165" s="45" t="str">
        <f t="shared" si="1861"/>
        <v>|n</v>
      </c>
      <c r="CW165" s="24"/>
      <c r="CX165" s="24"/>
      <c r="CY165" s="24"/>
      <c r="CZ165" s="24"/>
      <c r="DA165" s="24"/>
      <c r="DB165" s="30" t="str">
        <f t="shared" si="1862"/>
        <v/>
      </c>
      <c r="DC165" s="30" t="str">
        <f t="shared" si="1863"/>
        <v/>
      </c>
      <c r="DD165" s="30" t="str">
        <f t="shared" si="1864"/>
        <v/>
      </c>
      <c r="DE165" s="30" t="str">
        <f t="shared" si="1865"/>
        <v/>
      </c>
      <c r="DF165" s="30" t="str">
        <f t="shared" si="1866"/>
        <v/>
      </c>
      <c r="DG165" s="30" t="str">
        <f t="shared" si="1867"/>
        <v/>
      </c>
      <c r="DH165" s="30" t="str">
        <f t="shared" si="1868"/>
        <v/>
      </c>
      <c r="DI165" s="30" t="str">
        <f t="shared" si="1869"/>
        <v/>
      </c>
      <c r="DJ165" s="30" t="str">
        <f t="shared" si="1870"/>
        <v/>
      </c>
      <c r="DK165" s="30" t="str">
        <f t="shared" si="1871"/>
        <v/>
      </c>
      <c r="DL165" s="30" t="str">
        <f t="shared" si="1872"/>
        <v/>
      </c>
      <c r="DM165" s="30" t="str">
        <f t="shared" si="1873"/>
        <v/>
      </c>
      <c r="DN165" s="30" t="str">
        <f t="shared" si="1874"/>
        <v/>
      </c>
      <c r="DO165" s="30" t="str">
        <f t="shared" si="1875"/>
        <v/>
      </c>
      <c r="DP165" s="30" t="str">
        <f t="shared" si="1876"/>
        <v/>
      </c>
      <c r="DQ165" s="30" t="str">
        <f t="shared" si="1877"/>
        <v/>
      </c>
      <c r="DR165" s="30" t="str">
        <f t="shared" si="1878"/>
        <v/>
      </c>
      <c r="DS165" s="30" t="str">
        <f t="shared" si="1879"/>
        <v/>
      </c>
      <c r="DT165" s="30" t="str">
        <f t="shared" si="1880"/>
        <v/>
      </c>
      <c r="DU165" s="30" t="str">
        <f t="shared" si="1881"/>
        <v/>
      </c>
      <c r="DV165" s="30" t="str">
        <f t="shared" si="1882"/>
        <v/>
      </c>
      <c r="DW165" s="30" t="str">
        <f t="shared" si="1883"/>
        <v/>
      </c>
      <c r="DX165" s="30" t="str">
        <f t="shared" si="1884"/>
        <v/>
      </c>
      <c r="DY165" s="30" t="str">
        <f t="shared" si="1885"/>
        <v/>
      </c>
      <c r="DZ165" s="30" t="str">
        <f t="shared" si="1886"/>
        <v/>
      </c>
      <c r="EA165" s="30" t="str">
        <f t="shared" si="1887"/>
        <v/>
      </c>
      <c r="EB165" s="30" t="str">
        <f t="shared" si="1888"/>
        <v/>
      </c>
      <c r="EC165" s="30" t="str">
        <f t="shared" si="1889"/>
        <v/>
      </c>
      <c r="ED165" s="30" t="str">
        <f t="shared" si="1890"/>
        <v/>
      </c>
      <c r="EE165" s="30" t="str">
        <f t="shared" si="1891"/>
        <v/>
      </c>
      <c r="EF165" s="30" t="str">
        <f t="shared" si="1892"/>
        <v/>
      </c>
      <c r="EG165" s="30" t="str">
        <f t="shared" si="1893"/>
        <v/>
      </c>
      <c r="EH165" s="30" t="str">
        <f t="shared" si="1894"/>
        <v/>
      </c>
      <c r="EI165" s="30" t="str">
        <f t="shared" si="1895"/>
        <v/>
      </c>
      <c r="EJ165" s="30" t="str">
        <f t="shared" si="1896"/>
        <v/>
      </c>
      <c r="EK165" s="30" t="str">
        <f t="shared" si="1897"/>
        <v/>
      </c>
      <c r="EL165" s="30" t="str">
        <f t="shared" si="1898"/>
        <v/>
      </c>
      <c r="EM165" s="30" t="str">
        <f t="shared" si="1899"/>
        <v/>
      </c>
      <c r="EN165" s="30" t="str">
        <f t="shared" si="1900"/>
        <v/>
      </c>
      <c r="EO165" s="30" t="str">
        <f t="shared" si="1901"/>
        <v/>
      </c>
      <c r="EP165" s="30" t="str">
        <f t="shared" si="1902"/>
        <v/>
      </c>
      <c r="EQ165" s="30" t="str">
        <f t="shared" si="1903"/>
        <v/>
      </c>
      <c r="ER165" s="30" t="str">
        <f t="shared" si="1904"/>
        <v/>
      </c>
      <c r="ES165" s="30" t="str">
        <f t="shared" si="1905"/>
        <v/>
      </c>
      <c r="ET165" s="30" t="str">
        <f t="shared" si="1906"/>
        <v/>
      </c>
      <c r="EU165" s="30" t="str">
        <f t="shared" si="1907"/>
        <v/>
      </c>
      <c r="EV165" s="30" t="str">
        <f t="shared" si="1908"/>
        <v/>
      </c>
      <c r="EW165" s="30" t="str">
        <f t="shared" si="1909"/>
        <v/>
      </c>
      <c r="EX165" s="30" t="str">
        <f t="shared" si="1910"/>
        <v/>
      </c>
      <c r="EY165" s="30" t="str">
        <f t="shared" si="1911"/>
        <v/>
      </c>
      <c r="EZ165" s="30" t="str">
        <f t="shared" si="1912"/>
        <v/>
      </c>
      <c r="FA165" s="30" t="str">
        <f t="shared" si="1913"/>
        <v/>
      </c>
      <c r="FB165" s="30" t="str">
        <f t="shared" si="1914"/>
        <v/>
      </c>
      <c r="FC165" s="30" t="str">
        <f t="shared" si="1915"/>
        <v/>
      </c>
      <c r="FD165" s="30" t="str">
        <f t="shared" si="1916"/>
        <v/>
      </c>
      <c r="FE165" s="30" t="str">
        <f t="shared" si="1917"/>
        <v/>
      </c>
      <c r="FF165" s="30" t="str">
        <f t="shared" si="1918"/>
        <v/>
      </c>
      <c r="FG165" s="30" t="str">
        <f t="shared" si="1919"/>
        <v/>
      </c>
      <c r="FH165" s="30" t="str">
        <f t="shared" si="1920"/>
        <v/>
      </c>
      <c r="FI165" s="30" t="str">
        <f t="shared" si="1921"/>
        <v/>
      </c>
      <c r="FJ165" s="30" t="str">
        <f t="shared" si="1922"/>
        <v/>
      </c>
      <c r="FK165" s="30" t="str">
        <f t="shared" si="1923"/>
        <v/>
      </c>
      <c r="FL165" s="30" t="str">
        <f t="shared" si="1924"/>
        <v/>
      </c>
      <c r="FM165" s="30" t="str">
        <f t="shared" si="1925"/>
        <v/>
      </c>
      <c r="FN165" s="30" t="str">
        <f t="shared" si="1926"/>
        <v/>
      </c>
      <c r="FO165" s="30" t="str">
        <f t="shared" si="1927"/>
        <v/>
      </c>
      <c r="FP165" s="30" t="str">
        <f t="shared" si="1928"/>
        <v/>
      </c>
      <c r="FQ165" s="30" t="str">
        <f t="shared" si="1929"/>
        <v/>
      </c>
      <c r="FR165" s="30" t="str">
        <f t="shared" si="1930"/>
        <v/>
      </c>
      <c r="FS165" s="30" t="str">
        <f t="shared" si="1931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1861"/>
        <v>|n</v>
      </c>
      <c r="CW166" s="24"/>
      <c r="CX166" s="24"/>
      <c r="CY166" s="24"/>
      <c r="CZ166" s="24"/>
      <c r="DA166" s="24"/>
      <c r="DB166" s="30" t="str">
        <f t="shared" si="1862"/>
        <v/>
      </c>
      <c r="DC166" s="30" t="str">
        <f t="shared" si="1863"/>
        <v/>
      </c>
      <c r="DD166" s="30" t="str">
        <f t="shared" si="1864"/>
        <v/>
      </c>
      <c r="DE166" s="30" t="str">
        <f t="shared" si="1865"/>
        <v/>
      </c>
      <c r="DF166" s="30" t="str">
        <f t="shared" si="1866"/>
        <v/>
      </c>
      <c r="DG166" s="30" t="str">
        <f t="shared" si="1867"/>
        <v/>
      </c>
      <c r="DH166" s="30" t="str">
        <f t="shared" si="1868"/>
        <v/>
      </c>
      <c r="DI166" s="30" t="str">
        <f t="shared" si="1869"/>
        <v/>
      </c>
      <c r="DJ166" s="30" t="str">
        <f t="shared" si="1870"/>
        <v/>
      </c>
      <c r="DK166" s="30" t="str">
        <f t="shared" si="1871"/>
        <v/>
      </c>
      <c r="DL166" s="30" t="str">
        <f t="shared" si="1872"/>
        <v/>
      </c>
      <c r="DM166" s="30" t="str">
        <f t="shared" si="1873"/>
        <v/>
      </c>
      <c r="DN166" s="30" t="str">
        <f t="shared" si="1874"/>
        <v/>
      </c>
      <c r="DO166" s="30" t="str">
        <f t="shared" si="1875"/>
        <v/>
      </c>
      <c r="DP166" s="30" t="str">
        <f t="shared" si="1876"/>
        <v/>
      </c>
      <c r="DQ166" s="30" t="str">
        <f t="shared" si="1877"/>
        <v/>
      </c>
      <c r="DR166" s="30" t="str">
        <f t="shared" si="1878"/>
        <v/>
      </c>
      <c r="DS166" s="30" t="str">
        <f t="shared" si="1879"/>
        <v/>
      </c>
      <c r="DT166" s="30" t="str">
        <f t="shared" si="1880"/>
        <v/>
      </c>
      <c r="DU166" s="30" t="str">
        <f t="shared" si="1881"/>
        <v/>
      </c>
      <c r="DV166" s="30" t="str">
        <f t="shared" si="1882"/>
        <v/>
      </c>
      <c r="DW166" s="30" t="str">
        <f t="shared" si="1883"/>
        <v/>
      </c>
      <c r="DX166" s="30" t="str">
        <f t="shared" si="1884"/>
        <v/>
      </c>
      <c r="DY166" s="30" t="str">
        <f t="shared" si="1885"/>
        <v/>
      </c>
      <c r="DZ166" s="30" t="str">
        <f t="shared" si="1886"/>
        <v/>
      </c>
      <c r="EA166" s="30" t="str">
        <f t="shared" si="1887"/>
        <v/>
      </c>
      <c r="EB166" s="30" t="str">
        <f t="shared" si="1888"/>
        <v/>
      </c>
      <c r="EC166" s="30" t="str">
        <f t="shared" si="1889"/>
        <v/>
      </c>
      <c r="ED166" s="30" t="str">
        <f t="shared" si="1890"/>
        <v/>
      </c>
      <c r="EE166" s="30" t="str">
        <f t="shared" si="1891"/>
        <v/>
      </c>
      <c r="EF166" s="30" t="str">
        <f t="shared" si="1892"/>
        <v/>
      </c>
      <c r="EG166" s="30" t="str">
        <f t="shared" si="1893"/>
        <v/>
      </c>
      <c r="EH166" s="30" t="str">
        <f t="shared" si="1894"/>
        <v/>
      </c>
      <c r="EI166" s="30" t="str">
        <f t="shared" si="1895"/>
        <v/>
      </c>
      <c r="EJ166" s="30" t="str">
        <f t="shared" si="1896"/>
        <v/>
      </c>
      <c r="EK166" s="30" t="str">
        <f t="shared" si="1897"/>
        <v/>
      </c>
      <c r="EL166" s="30" t="str">
        <f t="shared" si="1898"/>
        <v/>
      </c>
      <c r="EM166" s="30" t="str">
        <f t="shared" si="1899"/>
        <v/>
      </c>
      <c r="EN166" s="30" t="str">
        <f t="shared" si="1900"/>
        <v/>
      </c>
      <c r="EO166" s="30" t="str">
        <f t="shared" si="1901"/>
        <v/>
      </c>
      <c r="EP166" s="30" t="str">
        <f t="shared" si="1902"/>
        <v/>
      </c>
      <c r="EQ166" s="30" t="str">
        <f t="shared" si="1903"/>
        <v/>
      </c>
      <c r="ER166" s="30" t="str">
        <f t="shared" si="1904"/>
        <v/>
      </c>
      <c r="ES166" s="30" t="str">
        <f t="shared" si="1905"/>
        <v/>
      </c>
      <c r="ET166" s="30" t="str">
        <f t="shared" si="1906"/>
        <v/>
      </c>
      <c r="EU166" s="30" t="str">
        <f t="shared" si="1907"/>
        <v/>
      </c>
      <c r="EV166" s="30" t="str">
        <f t="shared" si="1908"/>
        <v/>
      </c>
      <c r="EW166" s="30" t="str">
        <f t="shared" si="1909"/>
        <v/>
      </c>
      <c r="EX166" s="30" t="str">
        <f t="shared" si="1910"/>
        <v/>
      </c>
      <c r="EY166" s="30" t="str">
        <f t="shared" si="1911"/>
        <v/>
      </c>
      <c r="EZ166" s="30" t="str">
        <f t="shared" si="1912"/>
        <v/>
      </c>
      <c r="FA166" s="30" t="str">
        <f t="shared" si="1913"/>
        <v/>
      </c>
      <c r="FB166" s="30" t="str">
        <f t="shared" si="1914"/>
        <v/>
      </c>
      <c r="FC166" s="30" t="str">
        <f t="shared" si="1915"/>
        <v/>
      </c>
      <c r="FD166" s="30" t="str">
        <f t="shared" si="1916"/>
        <v/>
      </c>
      <c r="FE166" s="30" t="str">
        <f t="shared" si="1917"/>
        <v/>
      </c>
      <c r="FF166" s="30" t="str">
        <f t="shared" si="1918"/>
        <v/>
      </c>
      <c r="FG166" s="30" t="str">
        <f t="shared" si="1919"/>
        <v/>
      </c>
      <c r="FH166" s="30" t="str">
        <f t="shared" si="1920"/>
        <v/>
      </c>
      <c r="FI166" s="30" t="str">
        <f t="shared" si="1921"/>
        <v/>
      </c>
      <c r="FJ166" s="30" t="str">
        <f t="shared" si="1922"/>
        <v/>
      </c>
      <c r="FK166" s="30" t="str">
        <f t="shared" si="1923"/>
        <v/>
      </c>
      <c r="FL166" s="30" t="str">
        <f t="shared" si="1924"/>
        <v/>
      </c>
      <c r="FM166" s="30" t="str">
        <f t="shared" si="1925"/>
        <v/>
      </c>
      <c r="FN166" s="30" t="str">
        <f t="shared" si="1926"/>
        <v/>
      </c>
      <c r="FO166" s="30" t="str">
        <f t="shared" si="1927"/>
        <v/>
      </c>
      <c r="FP166" s="30" t="str">
        <f t="shared" si="1928"/>
        <v/>
      </c>
      <c r="FQ166" s="30" t="str">
        <f t="shared" si="1929"/>
        <v/>
      </c>
      <c r="FR166" s="30" t="str">
        <f t="shared" si="1930"/>
        <v/>
      </c>
      <c r="FS166" s="30" t="str">
        <f t="shared" si="1931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3"/>
      <c r="U167" s="32"/>
      <c r="CU167" s="45" t="str">
        <f t="shared" si="1861"/>
        <v>|n</v>
      </c>
      <c r="CW167" s="24"/>
      <c r="CX167" s="24"/>
      <c r="CY167" s="24"/>
      <c r="CZ167" s="24"/>
      <c r="DA167" s="24"/>
      <c r="DB167" s="30" t="str">
        <f t="shared" si="1862"/>
        <v/>
      </c>
      <c r="DC167" s="30" t="str">
        <f t="shared" si="1863"/>
        <v/>
      </c>
      <c r="DD167" s="30" t="str">
        <f t="shared" si="1864"/>
        <v/>
      </c>
      <c r="DE167" s="30" t="str">
        <f t="shared" si="1865"/>
        <v/>
      </c>
      <c r="DF167" s="30" t="str">
        <f t="shared" si="1866"/>
        <v/>
      </c>
      <c r="DG167" s="30" t="str">
        <f t="shared" si="1867"/>
        <v/>
      </c>
      <c r="DH167" s="30" t="str">
        <f t="shared" si="1868"/>
        <v/>
      </c>
      <c r="DI167" s="30" t="str">
        <f t="shared" si="1869"/>
        <v/>
      </c>
      <c r="DJ167" s="30" t="str">
        <f t="shared" si="1870"/>
        <v/>
      </c>
      <c r="DK167" s="30" t="str">
        <f t="shared" si="1871"/>
        <v/>
      </c>
      <c r="DL167" s="30" t="str">
        <f t="shared" si="1872"/>
        <v/>
      </c>
      <c r="DM167" s="30" t="str">
        <f t="shared" si="1873"/>
        <v/>
      </c>
      <c r="DN167" s="30" t="str">
        <f t="shared" si="1874"/>
        <v/>
      </c>
      <c r="DO167" s="30" t="str">
        <f t="shared" si="1875"/>
        <v/>
      </c>
      <c r="DP167" s="30" t="str">
        <f t="shared" si="1876"/>
        <v/>
      </c>
      <c r="DQ167" s="30" t="str">
        <f t="shared" si="1877"/>
        <v/>
      </c>
      <c r="DR167" s="30" t="str">
        <f t="shared" si="1878"/>
        <v/>
      </c>
      <c r="DS167" s="30" t="str">
        <f t="shared" si="1879"/>
        <v/>
      </c>
      <c r="DT167" s="30" t="str">
        <f t="shared" si="1880"/>
        <v/>
      </c>
      <c r="DU167" s="30" t="str">
        <f t="shared" si="1881"/>
        <v/>
      </c>
      <c r="DV167" s="30" t="str">
        <f t="shared" si="1882"/>
        <v/>
      </c>
      <c r="DW167" s="30" t="str">
        <f t="shared" si="1883"/>
        <v/>
      </c>
      <c r="DX167" s="30" t="str">
        <f t="shared" si="1884"/>
        <v/>
      </c>
      <c r="DY167" s="30" t="str">
        <f t="shared" si="1885"/>
        <v/>
      </c>
      <c r="DZ167" s="30" t="str">
        <f t="shared" si="1886"/>
        <v/>
      </c>
      <c r="EA167" s="30" t="str">
        <f t="shared" si="1887"/>
        <v/>
      </c>
      <c r="EB167" s="30" t="str">
        <f t="shared" si="1888"/>
        <v/>
      </c>
      <c r="EC167" s="30" t="str">
        <f t="shared" si="1889"/>
        <v/>
      </c>
      <c r="ED167" s="30" t="str">
        <f t="shared" si="1890"/>
        <v/>
      </c>
      <c r="EE167" s="30" t="str">
        <f t="shared" si="1891"/>
        <v/>
      </c>
      <c r="EF167" s="30" t="str">
        <f t="shared" si="1892"/>
        <v/>
      </c>
      <c r="EG167" s="30" t="str">
        <f t="shared" si="1893"/>
        <v/>
      </c>
      <c r="EH167" s="30" t="str">
        <f t="shared" si="1894"/>
        <v/>
      </c>
      <c r="EI167" s="30" t="str">
        <f t="shared" si="1895"/>
        <v/>
      </c>
      <c r="EJ167" s="30" t="str">
        <f t="shared" si="1896"/>
        <v/>
      </c>
      <c r="EK167" s="30" t="str">
        <f t="shared" si="1897"/>
        <v/>
      </c>
      <c r="EL167" s="30" t="str">
        <f t="shared" si="1898"/>
        <v/>
      </c>
      <c r="EM167" s="30" t="str">
        <f t="shared" si="1899"/>
        <v/>
      </c>
      <c r="EN167" s="30" t="str">
        <f t="shared" si="1900"/>
        <v/>
      </c>
      <c r="EO167" s="30" t="str">
        <f t="shared" si="1901"/>
        <v/>
      </c>
      <c r="EP167" s="30" t="str">
        <f t="shared" si="1902"/>
        <v/>
      </c>
      <c r="EQ167" s="30" t="str">
        <f t="shared" si="1903"/>
        <v/>
      </c>
      <c r="ER167" s="30" t="str">
        <f t="shared" si="1904"/>
        <v/>
      </c>
      <c r="ES167" s="30" t="str">
        <f t="shared" si="1905"/>
        <v/>
      </c>
      <c r="ET167" s="30" t="str">
        <f t="shared" si="1906"/>
        <v/>
      </c>
      <c r="EU167" s="30" t="str">
        <f t="shared" si="1907"/>
        <v/>
      </c>
      <c r="EV167" s="30" t="str">
        <f t="shared" si="1908"/>
        <v/>
      </c>
      <c r="EW167" s="30" t="str">
        <f t="shared" si="1909"/>
        <v/>
      </c>
      <c r="EX167" s="30" t="str">
        <f t="shared" si="1910"/>
        <v/>
      </c>
      <c r="EY167" s="30" t="str">
        <f t="shared" si="1911"/>
        <v/>
      </c>
      <c r="EZ167" s="30" t="str">
        <f t="shared" si="1912"/>
        <v/>
      </c>
      <c r="FA167" s="30" t="str">
        <f t="shared" si="1913"/>
        <v/>
      </c>
      <c r="FB167" s="30" t="str">
        <f t="shared" si="1914"/>
        <v/>
      </c>
      <c r="FC167" s="30" t="str">
        <f t="shared" si="1915"/>
        <v/>
      </c>
      <c r="FD167" s="30" t="str">
        <f t="shared" si="1916"/>
        <v/>
      </c>
      <c r="FE167" s="30" t="str">
        <f t="shared" si="1917"/>
        <v/>
      </c>
      <c r="FF167" s="30" t="str">
        <f t="shared" si="1918"/>
        <v/>
      </c>
      <c r="FG167" s="30" t="str">
        <f t="shared" si="1919"/>
        <v/>
      </c>
      <c r="FH167" s="30" t="str">
        <f t="shared" si="1920"/>
        <v/>
      </c>
      <c r="FI167" s="30" t="str">
        <f t="shared" si="1921"/>
        <v/>
      </c>
      <c r="FJ167" s="30" t="str">
        <f t="shared" si="1922"/>
        <v/>
      </c>
      <c r="FK167" s="30" t="str">
        <f t="shared" si="1923"/>
        <v/>
      </c>
      <c r="FL167" s="30" t="str">
        <f t="shared" si="1924"/>
        <v/>
      </c>
      <c r="FM167" s="30" t="str">
        <f t="shared" si="1925"/>
        <v/>
      </c>
      <c r="FN167" s="30" t="str">
        <f t="shared" si="1926"/>
        <v/>
      </c>
      <c r="FO167" s="30" t="str">
        <f t="shared" si="1927"/>
        <v/>
      </c>
      <c r="FP167" s="30" t="str">
        <f t="shared" si="1928"/>
        <v/>
      </c>
      <c r="FQ167" s="30" t="str">
        <f t="shared" si="1929"/>
        <v/>
      </c>
      <c r="FR167" s="30" t="str">
        <f t="shared" si="1930"/>
        <v/>
      </c>
      <c r="FS167" s="30" t="str">
        <f t="shared" si="1931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3"/>
      <c r="U168" s="32"/>
      <c r="CU168" s="45" t="str">
        <f t="shared" si="1861"/>
        <v>|n</v>
      </c>
      <c r="CW168" s="24"/>
      <c r="CX168" s="24"/>
      <c r="CY168" s="24"/>
      <c r="CZ168" s="24"/>
      <c r="DA168" s="24"/>
      <c r="DB168" s="30" t="str">
        <f t="shared" si="1862"/>
        <v/>
      </c>
      <c r="DC168" s="30" t="str">
        <f t="shared" si="1863"/>
        <v/>
      </c>
      <c r="DD168" s="30" t="str">
        <f t="shared" si="1864"/>
        <v/>
      </c>
      <c r="DE168" s="30" t="str">
        <f t="shared" si="1865"/>
        <v/>
      </c>
      <c r="DF168" s="30" t="str">
        <f t="shared" si="1866"/>
        <v/>
      </c>
      <c r="DG168" s="30" t="str">
        <f t="shared" si="1867"/>
        <v/>
      </c>
      <c r="DH168" s="30" t="str">
        <f t="shared" si="1868"/>
        <v/>
      </c>
      <c r="DI168" s="30" t="str">
        <f t="shared" si="1869"/>
        <v/>
      </c>
      <c r="DJ168" s="30" t="str">
        <f t="shared" si="1870"/>
        <v/>
      </c>
      <c r="DK168" s="30" t="str">
        <f t="shared" si="1871"/>
        <v/>
      </c>
      <c r="DL168" s="30" t="str">
        <f t="shared" si="1872"/>
        <v/>
      </c>
      <c r="DM168" s="30" t="str">
        <f t="shared" si="1873"/>
        <v/>
      </c>
      <c r="DN168" s="30" t="str">
        <f t="shared" si="1874"/>
        <v/>
      </c>
      <c r="DO168" s="30" t="str">
        <f t="shared" si="1875"/>
        <v/>
      </c>
      <c r="DP168" s="30" t="str">
        <f t="shared" si="1876"/>
        <v/>
      </c>
      <c r="DQ168" s="30" t="str">
        <f t="shared" si="1877"/>
        <v/>
      </c>
      <c r="DR168" s="30" t="str">
        <f t="shared" si="1878"/>
        <v/>
      </c>
      <c r="DS168" s="30" t="str">
        <f t="shared" si="1879"/>
        <v/>
      </c>
      <c r="DT168" s="30" t="str">
        <f t="shared" si="1880"/>
        <v/>
      </c>
      <c r="DU168" s="30" t="str">
        <f t="shared" si="1881"/>
        <v/>
      </c>
      <c r="DV168" s="30" t="str">
        <f t="shared" si="1882"/>
        <v/>
      </c>
      <c r="DW168" s="30" t="str">
        <f t="shared" si="1883"/>
        <v/>
      </c>
      <c r="DX168" s="30" t="str">
        <f t="shared" si="1884"/>
        <v/>
      </c>
      <c r="DY168" s="30" t="str">
        <f t="shared" si="1885"/>
        <v/>
      </c>
      <c r="DZ168" s="30" t="str">
        <f t="shared" si="1886"/>
        <v/>
      </c>
      <c r="EA168" s="30" t="str">
        <f t="shared" si="1887"/>
        <v/>
      </c>
      <c r="EB168" s="30" t="str">
        <f t="shared" si="1888"/>
        <v/>
      </c>
      <c r="EC168" s="30" t="str">
        <f t="shared" si="1889"/>
        <v/>
      </c>
      <c r="ED168" s="30" t="str">
        <f t="shared" si="1890"/>
        <v/>
      </c>
      <c r="EE168" s="30" t="str">
        <f t="shared" si="1891"/>
        <v/>
      </c>
      <c r="EF168" s="30" t="str">
        <f t="shared" si="1892"/>
        <v/>
      </c>
      <c r="EG168" s="30" t="str">
        <f t="shared" si="1893"/>
        <v/>
      </c>
      <c r="EH168" s="30" t="str">
        <f t="shared" si="1894"/>
        <v/>
      </c>
      <c r="EI168" s="30" t="str">
        <f t="shared" si="1895"/>
        <v/>
      </c>
      <c r="EJ168" s="30" t="str">
        <f t="shared" si="1896"/>
        <v/>
      </c>
      <c r="EK168" s="30" t="str">
        <f t="shared" si="1897"/>
        <v/>
      </c>
      <c r="EL168" s="30" t="str">
        <f t="shared" si="1898"/>
        <v/>
      </c>
      <c r="EM168" s="30" t="str">
        <f t="shared" si="1899"/>
        <v/>
      </c>
      <c r="EN168" s="30" t="str">
        <f t="shared" si="1900"/>
        <v/>
      </c>
      <c r="EO168" s="30" t="str">
        <f t="shared" si="1901"/>
        <v/>
      </c>
      <c r="EP168" s="30" t="str">
        <f t="shared" si="1902"/>
        <v/>
      </c>
      <c r="EQ168" s="30" t="str">
        <f t="shared" si="1903"/>
        <v/>
      </c>
      <c r="ER168" s="30" t="str">
        <f t="shared" si="1904"/>
        <v/>
      </c>
      <c r="ES168" s="30" t="str">
        <f t="shared" si="1905"/>
        <v/>
      </c>
      <c r="ET168" s="30" t="str">
        <f t="shared" si="1906"/>
        <v/>
      </c>
      <c r="EU168" s="30" t="str">
        <f t="shared" si="1907"/>
        <v/>
      </c>
      <c r="EV168" s="30" t="str">
        <f t="shared" si="1908"/>
        <v/>
      </c>
      <c r="EW168" s="30" t="str">
        <f t="shared" si="1909"/>
        <v/>
      </c>
      <c r="EX168" s="30" t="str">
        <f t="shared" si="1910"/>
        <v/>
      </c>
      <c r="EY168" s="30" t="str">
        <f t="shared" si="1911"/>
        <v/>
      </c>
      <c r="EZ168" s="30" t="str">
        <f t="shared" si="1912"/>
        <v/>
      </c>
      <c r="FA168" s="30" t="str">
        <f t="shared" si="1913"/>
        <v/>
      </c>
      <c r="FB168" s="30" t="str">
        <f t="shared" si="1914"/>
        <v/>
      </c>
      <c r="FC168" s="30" t="str">
        <f t="shared" si="1915"/>
        <v/>
      </c>
      <c r="FD168" s="30" t="str">
        <f t="shared" si="1916"/>
        <v/>
      </c>
      <c r="FE168" s="30" t="str">
        <f t="shared" si="1917"/>
        <v/>
      </c>
      <c r="FF168" s="30" t="str">
        <f t="shared" si="1918"/>
        <v/>
      </c>
      <c r="FG168" s="30" t="str">
        <f t="shared" si="1919"/>
        <v/>
      </c>
      <c r="FH168" s="30" t="str">
        <f t="shared" si="1920"/>
        <v/>
      </c>
      <c r="FI168" s="30" t="str">
        <f t="shared" si="1921"/>
        <v/>
      </c>
      <c r="FJ168" s="30" t="str">
        <f t="shared" si="1922"/>
        <v/>
      </c>
      <c r="FK168" s="30" t="str">
        <f t="shared" si="1923"/>
        <v/>
      </c>
      <c r="FL168" s="30" t="str">
        <f t="shared" si="1924"/>
        <v/>
      </c>
      <c r="FM168" s="30" t="str">
        <f t="shared" si="1925"/>
        <v/>
      </c>
      <c r="FN168" s="30" t="str">
        <f t="shared" si="1926"/>
        <v/>
      </c>
      <c r="FO168" s="30" t="str">
        <f t="shared" si="1927"/>
        <v/>
      </c>
      <c r="FP168" s="30" t="str">
        <f t="shared" si="1928"/>
        <v/>
      </c>
      <c r="FQ168" s="30" t="str">
        <f t="shared" si="1929"/>
        <v/>
      </c>
      <c r="FR168" s="30" t="str">
        <f t="shared" si="1930"/>
        <v/>
      </c>
      <c r="FS168" s="30" t="str">
        <f t="shared" si="1931"/>
        <v/>
      </c>
    </row>
    <row r="169" spans="1:175">
      <c r="A169" s="66"/>
      <c r="B169" s="66"/>
      <c r="C169" s="66"/>
      <c r="E169" s="35"/>
      <c r="T169" s="100"/>
      <c r="U169" s="32"/>
      <c r="CU169" s="45" t="str">
        <f t="shared" si="1861"/>
        <v>|n</v>
      </c>
      <c r="CW169" s="24"/>
      <c r="CX169" s="24"/>
      <c r="CY169" s="24"/>
      <c r="CZ169" s="24"/>
      <c r="DA169" s="24"/>
      <c r="DB169" s="30" t="str">
        <f t="shared" si="1862"/>
        <v/>
      </c>
      <c r="DC169" s="30" t="str">
        <f t="shared" si="1863"/>
        <v/>
      </c>
      <c r="DD169" s="30" t="str">
        <f t="shared" si="1864"/>
        <v/>
      </c>
      <c r="DE169" s="30" t="str">
        <f t="shared" si="1865"/>
        <v/>
      </c>
      <c r="DF169" s="30" t="str">
        <f t="shared" si="1866"/>
        <v/>
      </c>
      <c r="DG169" s="30" t="str">
        <f t="shared" si="1867"/>
        <v/>
      </c>
      <c r="DH169" s="30" t="str">
        <f t="shared" si="1868"/>
        <v/>
      </c>
      <c r="DI169" s="30" t="str">
        <f t="shared" si="1869"/>
        <v/>
      </c>
      <c r="DJ169" s="30" t="str">
        <f t="shared" si="1870"/>
        <v/>
      </c>
      <c r="DK169" s="30" t="str">
        <f t="shared" si="1871"/>
        <v/>
      </c>
      <c r="DL169" s="30" t="str">
        <f t="shared" si="1872"/>
        <v/>
      </c>
      <c r="DM169" s="30" t="str">
        <f t="shared" si="1873"/>
        <v/>
      </c>
      <c r="DN169" s="30" t="str">
        <f t="shared" si="1874"/>
        <v/>
      </c>
      <c r="DO169" s="30" t="str">
        <f t="shared" si="1875"/>
        <v/>
      </c>
      <c r="DP169" s="30" t="str">
        <f t="shared" si="1876"/>
        <v/>
      </c>
      <c r="DQ169" s="30" t="str">
        <f t="shared" si="1877"/>
        <v/>
      </c>
      <c r="DR169" s="30" t="str">
        <f t="shared" si="1878"/>
        <v/>
      </c>
      <c r="DS169" s="30" t="str">
        <f t="shared" si="1879"/>
        <v/>
      </c>
      <c r="DT169" s="30" t="str">
        <f t="shared" si="1880"/>
        <v/>
      </c>
      <c r="DU169" s="30" t="str">
        <f t="shared" si="1881"/>
        <v/>
      </c>
      <c r="DV169" s="30" t="str">
        <f t="shared" si="1882"/>
        <v/>
      </c>
      <c r="DW169" s="30" t="str">
        <f t="shared" si="1883"/>
        <v/>
      </c>
      <c r="DX169" s="30" t="str">
        <f t="shared" si="1884"/>
        <v/>
      </c>
      <c r="DY169" s="30" t="str">
        <f t="shared" si="1885"/>
        <v/>
      </c>
      <c r="DZ169" s="30" t="str">
        <f t="shared" si="1886"/>
        <v/>
      </c>
      <c r="EA169" s="30" t="str">
        <f t="shared" si="1887"/>
        <v/>
      </c>
      <c r="EB169" s="30" t="str">
        <f t="shared" si="1888"/>
        <v/>
      </c>
      <c r="EC169" s="30" t="str">
        <f t="shared" si="1889"/>
        <v/>
      </c>
      <c r="ED169" s="30" t="str">
        <f t="shared" si="1890"/>
        <v/>
      </c>
      <c r="EE169" s="30" t="str">
        <f t="shared" si="1891"/>
        <v/>
      </c>
      <c r="EF169" s="30" t="str">
        <f t="shared" si="1892"/>
        <v/>
      </c>
      <c r="EG169" s="30" t="str">
        <f t="shared" si="1893"/>
        <v/>
      </c>
      <c r="EH169" s="30" t="str">
        <f t="shared" si="1894"/>
        <v/>
      </c>
      <c r="EI169" s="30" t="str">
        <f t="shared" si="1895"/>
        <v/>
      </c>
      <c r="EJ169" s="30" t="str">
        <f t="shared" si="1896"/>
        <v/>
      </c>
      <c r="EK169" s="30" t="str">
        <f t="shared" si="1897"/>
        <v/>
      </c>
      <c r="EL169" s="30" t="str">
        <f t="shared" si="1898"/>
        <v/>
      </c>
      <c r="EM169" s="30" t="str">
        <f t="shared" si="1899"/>
        <v/>
      </c>
      <c r="EN169" s="30" t="str">
        <f t="shared" si="1900"/>
        <v/>
      </c>
      <c r="EO169" s="30" t="str">
        <f t="shared" si="1901"/>
        <v/>
      </c>
      <c r="EP169" s="30" t="str">
        <f t="shared" si="1902"/>
        <v/>
      </c>
      <c r="EQ169" s="30" t="str">
        <f t="shared" si="1903"/>
        <v/>
      </c>
      <c r="ER169" s="30" t="str">
        <f t="shared" si="1904"/>
        <v/>
      </c>
      <c r="ES169" s="30" t="str">
        <f t="shared" si="1905"/>
        <v/>
      </c>
      <c r="ET169" s="30" t="str">
        <f t="shared" si="1906"/>
        <v/>
      </c>
      <c r="EU169" s="30" t="str">
        <f t="shared" si="1907"/>
        <v/>
      </c>
      <c r="EV169" s="30" t="str">
        <f t="shared" si="1908"/>
        <v/>
      </c>
      <c r="EW169" s="30" t="str">
        <f t="shared" si="1909"/>
        <v/>
      </c>
      <c r="EX169" s="30" t="str">
        <f t="shared" si="1910"/>
        <v/>
      </c>
      <c r="EY169" s="30" t="str">
        <f t="shared" si="1911"/>
        <v/>
      </c>
      <c r="EZ169" s="30" t="str">
        <f t="shared" si="1912"/>
        <v/>
      </c>
      <c r="FA169" s="30" t="str">
        <f t="shared" si="1913"/>
        <v/>
      </c>
      <c r="FB169" s="30" t="str">
        <f t="shared" si="1914"/>
        <v/>
      </c>
      <c r="FC169" s="30" t="str">
        <f t="shared" si="1915"/>
        <v/>
      </c>
      <c r="FD169" s="30" t="str">
        <f t="shared" si="1916"/>
        <v/>
      </c>
      <c r="FE169" s="30" t="str">
        <f t="shared" si="1917"/>
        <v/>
      </c>
      <c r="FF169" s="30" t="str">
        <f t="shared" si="1918"/>
        <v/>
      </c>
      <c r="FG169" s="30" t="str">
        <f t="shared" si="1919"/>
        <v/>
      </c>
      <c r="FH169" s="30" t="str">
        <f t="shared" si="1920"/>
        <v/>
      </c>
      <c r="FI169" s="30" t="str">
        <f t="shared" si="1921"/>
        <v/>
      </c>
      <c r="FJ169" s="30" t="str">
        <f t="shared" si="1922"/>
        <v/>
      </c>
      <c r="FK169" s="30" t="str">
        <f t="shared" si="1923"/>
        <v/>
      </c>
      <c r="FL169" s="30" t="str">
        <f t="shared" si="1924"/>
        <v/>
      </c>
      <c r="FM169" s="30" t="str">
        <f t="shared" si="1925"/>
        <v/>
      </c>
      <c r="FN169" s="30" t="str">
        <f t="shared" si="1926"/>
        <v/>
      </c>
      <c r="FO169" s="30" t="str">
        <f t="shared" si="1927"/>
        <v/>
      </c>
      <c r="FP169" s="30" t="str">
        <f t="shared" si="1928"/>
        <v/>
      </c>
      <c r="FQ169" s="30" t="str">
        <f t="shared" si="1929"/>
        <v/>
      </c>
      <c r="FR169" s="30" t="str">
        <f t="shared" si="1930"/>
        <v/>
      </c>
      <c r="FS169" s="30" t="str">
        <f t="shared" si="1931"/>
        <v/>
      </c>
    </row>
    <row r="170" spans="1:175">
      <c r="A170" s="66"/>
      <c r="B170" s="66"/>
      <c r="C170" s="66"/>
      <c r="E170" s="35"/>
      <c r="T170" s="100"/>
      <c r="U170" s="32"/>
      <c r="CU170" s="45" t="str">
        <f t="shared" si="1861"/>
        <v>|n</v>
      </c>
      <c r="CW170" s="24"/>
      <c r="CX170" s="24"/>
      <c r="CY170" s="24"/>
      <c r="CZ170" s="24"/>
      <c r="DA170" s="24"/>
      <c r="DB170" s="30" t="str">
        <f t="shared" si="1862"/>
        <v/>
      </c>
      <c r="DC170" s="30" t="str">
        <f t="shared" si="1863"/>
        <v/>
      </c>
      <c r="DD170" s="30" t="str">
        <f t="shared" si="1864"/>
        <v/>
      </c>
      <c r="DE170" s="30" t="str">
        <f t="shared" si="1865"/>
        <v/>
      </c>
      <c r="DF170" s="30" t="str">
        <f t="shared" si="1866"/>
        <v/>
      </c>
      <c r="DG170" s="30" t="str">
        <f t="shared" si="1867"/>
        <v/>
      </c>
      <c r="DH170" s="30" t="str">
        <f t="shared" si="1868"/>
        <v/>
      </c>
      <c r="DI170" s="30" t="str">
        <f t="shared" si="1869"/>
        <v/>
      </c>
      <c r="DJ170" s="30" t="str">
        <f t="shared" si="1870"/>
        <v/>
      </c>
      <c r="DK170" s="30" t="str">
        <f t="shared" si="1871"/>
        <v/>
      </c>
      <c r="DL170" s="30" t="str">
        <f t="shared" si="1872"/>
        <v/>
      </c>
      <c r="DM170" s="30" t="str">
        <f t="shared" si="1873"/>
        <v/>
      </c>
      <c r="DN170" s="30" t="str">
        <f t="shared" si="1874"/>
        <v/>
      </c>
      <c r="DO170" s="30" t="str">
        <f t="shared" si="1875"/>
        <v/>
      </c>
      <c r="DP170" s="30" t="str">
        <f t="shared" si="1876"/>
        <v/>
      </c>
      <c r="DQ170" s="30" t="str">
        <f t="shared" si="1877"/>
        <v/>
      </c>
      <c r="DR170" s="30" t="str">
        <f t="shared" si="1878"/>
        <v/>
      </c>
      <c r="DS170" s="30" t="str">
        <f t="shared" si="1879"/>
        <v/>
      </c>
      <c r="DT170" s="30" t="str">
        <f t="shared" si="1880"/>
        <v/>
      </c>
      <c r="DU170" s="30" t="str">
        <f t="shared" si="1881"/>
        <v/>
      </c>
      <c r="DV170" s="30" t="str">
        <f t="shared" si="1882"/>
        <v/>
      </c>
      <c r="DW170" s="30" t="str">
        <f t="shared" si="1883"/>
        <v/>
      </c>
      <c r="DX170" s="30" t="str">
        <f t="shared" si="1884"/>
        <v/>
      </c>
      <c r="DY170" s="30" t="str">
        <f t="shared" si="1885"/>
        <v/>
      </c>
      <c r="DZ170" s="30" t="str">
        <f t="shared" si="1886"/>
        <v/>
      </c>
      <c r="EA170" s="30" t="str">
        <f t="shared" si="1887"/>
        <v/>
      </c>
      <c r="EB170" s="30" t="str">
        <f t="shared" si="1888"/>
        <v/>
      </c>
      <c r="EC170" s="30" t="str">
        <f t="shared" si="1889"/>
        <v/>
      </c>
      <c r="ED170" s="30" t="str">
        <f t="shared" si="1890"/>
        <v/>
      </c>
      <c r="EE170" s="30" t="str">
        <f t="shared" si="1891"/>
        <v/>
      </c>
      <c r="EF170" s="30" t="str">
        <f t="shared" si="1892"/>
        <v/>
      </c>
      <c r="EG170" s="30" t="str">
        <f t="shared" si="1893"/>
        <v/>
      </c>
      <c r="EH170" s="30" t="str">
        <f t="shared" si="1894"/>
        <v/>
      </c>
      <c r="EI170" s="30" t="str">
        <f t="shared" si="1895"/>
        <v/>
      </c>
      <c r="EJ170" s="30" t="str">
        <f t="shared" si="1896"/>
        <v/>
      </c>
      <c r="EK170" s="30" t="str">
        <f t="shared" si="1897"/>
        <v/>
      </c>
      <c r="EL170" s="30" t="str">
        <f t="shared" si="1898"/>
        <v/>
      </c>
      <c r="EM170" s="30" t="str">
        <f t="shared" si="1899"/>
        <v/>
      </c>
      <c r="EN170" s="30" t="str">
        <f t="shared" si="1900"/>
        <v/>
      </c>
      <c r="EO170" s="30" t="str">
        <f t="shared" si="1901"/>
        <v/>
      </c>
      <c r="EP170" s="30" t="str">
        <f t="shared" si="1902"/>
        <v/>
      </c>
      <c r="EQ170" s="30" t="str">
        <f t="shared" si="1903"/>
        <v/>
      </c>
      <c r="ER170" s="30" t="str">
        <f t="shared" si="1904"/>
        <v/>
      </c>
      <c r="ES170" s="30" t="str">
        <f t="shared" si="1905"/>
        <v/>
      </c>
      <c r="ET170" s="30" t="str">
        <f t="shared" si="1906"/>
        <v/>
      </c>
      <c r="EU170" s="30" t="str">
        <f t="shared" si="1907"/>
        <v/>
      </c>
      <c r="EV170" s="30" t="str">
        <f t="shared" si="1908"/>
        <v/>
      </c>
      <c r="EW170" s="30" t="str">
        <f t="shared" si="1909"/>
        <v/>
      </c>
      <c r="EX170" s="30" t="str">
        <f t="shared" si="1910"/>
        <v/>
      </c>
      <c r="EY170" s="30" t="str">
        <f t="shared" si="1911"/>
        <v/>
      </c>
      <c r="EZ170" s="30" t="str">
        <f t="shared" si="1912"/>
        <v/>
      </c>
      <c r="FA170" s="30" t="str">
        <f t="shared" si="1913"/>
        <v/>
      </c>
      <c r="FB170" s="30" t="str">
        <f t="shared" si="1914"/>
        <v/>
      </c>
      <c r="FC170" s="30" t="str">
        <f t="shared" si="1915"/>
        <v/>
      </c>
      <c r="FD170" s="30" t="str">
        <f t="shared" si="1916"/>
        <v/>
      </c>
      <c r="FE170" s="30" t="str">
        <f t="shared" si="1917"/>
        <v/>
      </c>
      <c r="FF170" s="30" t="str">
        <f t="shared" si="1918"/>
        <v/>
      </c>
      <c r="FG170" s="30" t="str">
        <f t="shared" si="1919"/>
        <v/>
      </c>
      <c r="FH170" s="30" t="str">
        <f t="shared" si="1920"/>
        <v/>
      </c>
      <c r="FI170" s="30" t="str">
        <f t="shared" si="1921"/>
        <v/>
      </c>
      <c r="FJ170" s="30" t="str">
        <f t="shared" si="1922"/>
        <v/>
      </c>
      <c r="FK170" s="30" t="str">
        <f t="shared" si="1923"/>
        <v/>
      </c>
      <c r="FL170" s="30" t="str">
        <f t="shared" si="1924"/>
        <v/>
      </c>
      <c r="FM170" s="30" t="str">
        <f t="shared" si="1925"/>
        <v/>
      </c>
      <c r="FN170" s="30" t="str">
        <f t="shared" si="1926"/>
        <v/>
      </c>
      <c r="FO170" s="30" t="str">
        <f t="shared" si="1927"/>
        <v/>
      </c>
      <c r="FP170" s="30" t="str">
        <f t="shared" si="1928"/>
        <v/>
      </c>
      <c r="FQ170" s="30" t="str">
        <f t="shared" si="1929"/>
        <v/>
      </c>
      <c r="FR170" s="30" t="str">
        <f t="shared" si="1930"/>
        <v/>
      </c>
      <c r="FS170" s="30" t="str">
        <f t="shared" si="1931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>"InitUnitState('"&amp;B171&amp;"',"&amp;V171&amp;","&amp;W171&amp;","&amp;X171&amp;","&amp;Y171&amp;","&amp;Z171&amp;","&amp;AA171&amp;","&amp;AB171&amp;","&amp;AC171&amp;","&amp;AD171&amp;","&amp;AE171&amp;")"</f>
        <v>InitUnitState('',,,,,,,,,,)</v>
      </c>
      <c r="CO171" s="44" t="str">
        <f>"InitUnitNormal('"&amp;B171&amp;"',"&amp;AF171&amp;","&amp;AG171&amp;","&amp;AH171&amp;","&amp;AI171&amp;","&amp;AJ171&amp;","&amp;AK171&amp;","&amp;AL171&amp;","&amp;AM171&amp;","&amp;AN171&amp;","&amp;AO171&amp;")"</f>
        <v>InitUnitNormal('',,,,,,,,,,)</v>
      </c>
      <c r="CP171" s="44" t="str">
        <f>"InitUnitMagic('"&amp;B171&amp;"',"&amp;AP171&amp;","&amp;AQ171&amp;","&amp;AR171&amp;","&amp;AS171&amp;","&amp;AT171&amp;","&amp;AU171&amp;","&amp;AV171&amp;","&amp;AW171&amp;","&amp;BI171&amp;","&amp;BJ171&amp;")"</f>
        <v>InitUnitMagic('',,,,,,,,,,)</v>
      </c>
      <c r="CQ171" s="44" t="str">
        <f>"InitUnitAdd('"&amp;B171&amp;"',"&amp;BK171&amp;","&amp;BL171&amp;","&amp;BM171&amp;","&amp;BN171&amp;","&amp;BO171&amp;","&amp;BP171&amp;","&amp;BQ171&amp;","&amp;BR171&amp;","&amp;BS171&amp;","&amp;BT171&amp;")"</f>
        <v>InitUnitAdd('',,,,,,,,,,)</v>
      </c>
      <c r="CR171" s="44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InitEquipData('',,"",,,,,'','','','','','',"")</v>
      </c>
      <c r="CS171" s="44"/>
      <c r="CT171" s="44"/>
      <c r="CU171" s="45" t="str">
        <f t="shared" si="1861"/>
        <v>|n</v>
      </c>
      <c r="CV171" s="29"/>
      <c r="DB171" s="30" t="str">
        <f t="shared" si="1862"/>
        <v/>
      </c>
      <c r="DC171" s="30" t="str">
        <f t="shared" si="1863"/>
        <v/>
      </c>
      <c r="DD171" s="30" t="str">
        <f t="shared" si="1864"/>
        <v/>
      </c>
      <c r="DE171" s="30" t="str">
        <f t="shared" si="1865"/>
        <v/>
      </c>
      <c r="DF171" s="30" t="str">
        <f t="shared" si="1866"/>
        <v/>
      </c>
      <c r="DG171" s="30" t="str">
        <f t="shared" si="1867"/>
        <v/>
      </c>
      <c r="DH171" s="30" t="str">
        <f t="shared" si="1868"/>
        <v/>
      </c>
      <c r="DI171" s="30" t="str">
        <f t="shared" si="1869"/>
        <v/>
      </c>
      <c r="DJ171" s="30" t="str">
        <f t="shared" si="1870"/>
        <v/>
      </c>
      <c r="DK171" s="30" t="str">
        <f t="shared" si="1871"/>
        <v/>
      </c>
      <c r="DL171" s="30" t="str">
        <f t="shared" si="1872"/>
        <v/>
      </c>
      <c r="DM171" s="30" t="str">
        <f t="shared" si="1873"/>
        <v/>
      </c>
      <c r="DN171" s="30" t="str">
        <f t="shared" si="1874"/>
        <v/>
      </c>
      <c r="DO171" s="30" t="str">
        <f t="shared" si="1875"/>
        <v/>
      </c>
      <c r="DP171" s="30" t="str">
        <f t="shared" si="1876"/>
        <v/>
      </c>
      <c r="DQ171" s="30" t="str">
        <f t="shared" si="1877"/>
        <v/>
      </c>
      <c r="DR171" s="30" t="str">
        <f t="shared" si="1878"/>
        <v/>
      </c>
      <c r="DS171" s="30" t="str">
        <f t="shared" si="1879"/>
        <v/>
      </c>
      <c r="DT171" s="30" t="str">
        <f t="shared" si="1880"/>
        <v/>
      </c>
      <c r="DU171" s="30" t="str">
        <f t="shared" si="1881"/>
        <v/>
      </c>
      <c r="DV171" s="30" t="str">
        <f t="shared" si="1882"/>
        <v/>
      </c>
      <c r="DW171" s="30" t="str">
        <f t="shared" si="1883"/>
        <v/>
      </c>
      <c r="DX171" s="30" t="str">
        <f t="shared" si="1884"/>
        <v/>
      </c>
      <c r="DY171" s="30" t="str">
        <f t="shared" si="1885"/>
        <v/>
      </c>
      <c r="DZ171" s="30" t="str">
        <f t="shared" si="1886"/>
        <v/>
      </c>
      <c r="EA171" s="30" t="str">
        <f t="shared" si="1887"/>
        <v/>
      </c>
      <c r="EB171" s="30" t="str">
        <f t="shared" si="1888"/>
        <v/>
      </c>
      <c r="EC171" s="30" t="str">
        <f t="shared" si="1889"/>
        <v/>
      </c>
      <c r="ED171" s="30" t="str">
        <f t="shared" si="1890"/>
        <v/>
      </c>
      <c r="EE171" s="30" t="str">
        <f t="shared" si="1891"/>
        <v/>
      </c>
      <c r="EF171" s="30" t="str">
        <f t="shared" si="1892"/>
        <v/>
      </c>
      <c r="EG171" s="30" t="str">
        <f t="shared" si="1893"/>
        <v/>
      </c>
      <c r="EH171" s="30" t="str">
        <f t="shared" si="1894"/>
        <v/>
      </c>
      <c r="EI171" s="30" t="str">
        <f t="shared" si="1895"/>
        <v/>
      </c>
      <c r="EJ171" s="30" t="str">
        <f t="shared" si="1896"/>
        <v/>
      </c>
      <c r="EK171" s="30" t="str">
        <f t="shared" si="1897"/>
        <v/>
      </c>
      <c r="EL171" s="30" t="str">
        <f t="shared" si="1898"/>
        <v/>
      </c>
      <c r="EM171" s="30" t="str">
        <f t="shared" si="1899"/>
        <v/>
      </c>
      <c r="EN171" s="30" t="str">
        <f t="shared" si="1900"/>
        <v/>
      </c>
      <c r="EO171" s="30" t="str">
        <f t="shared" si="1901"/>
        <v/>
      </c>
      <c r="EP171" s="30" t="str">
        <f t="shared" si="1902"/>
        <v/>
      </c>
      <c r="EQ171" s="30" t="str">
        <f t="shared" si="1903"/>
        <v/>
      </c>
      <c r="ER171" s="30" t="str">
        <f t="shared" si="1904"/>
        <v/>
      </c>
      <c r="ES171" s="30" t="str">
        <f t="shared" si="1905"/>
        <v/>
      </c>
      <c r="ET171" s="30" t="str">
        <f t="shared" si="1906"/>
        <v/>
      </c>
      <c r="EU171" s="30" t="str">
        <f t="shared" si="1907"/>
        <v/>
      </c>
      <c r="EV171" s="30" t="str">
        <f t="shared" si="1908"/>
        <v/>
      </c>
      <c r="EW171" s="30" t="str">
        <f t="shared" si="1909"/>
        <v/>
      </c>
      <c r="EX171" s="30" t="str">
        <f t="shared" si="1910"/>
        <v/>
      </c>
      <c r="EY171" s="30" t="str">
        <f t="shared" si="1911"/>
        <v/>
      </c>
      <c r="EZ171" s="30" t="str">
        <f t="shared" si="1912"/>
        <v/>
      </c>
      <c r="FA171" s="30" t="str">
        <f t="shared" si="1913"/>
        <v/>
      </c>
      <c r="FB171" s="30" t="str">
        <f t="shared" si="1914"/>
        <v/>
      </c>
      <c r="FC171" s="30" t="str">
        <f t="shared" si="1915"/>
        <v/>
      </c>
      <c r="FD171" s="30" t="str">
        <f t="shared" si="1916"/>
        <v/>
      </c>
      <c r="FE171" s="30" t="str">
        <f t="shared" si="1917"/>
        <v/>
      </c>
      <c r="FF171" s="30" t="str">
        <f t="shared" si="1918"/>
        <v/>
      </c>
      <c r="FG171" s="30" t="str">
        <f t="shared" si="1919"/>
        <v/>
      </c>
      <c r="FH171" s="30" t="str">
        <f t="shared" si="1920"/>
        <v/>
      </c>
      <c r="FI171" s="30" t="str">
        <f t="shared" si="1921"/>
        <v/>
      </c>
      <c r="FJ171" s="30" t="str">
        <f t="shared" si="1922"/>
        <v/>
      </c>
      <c r="FK171" s="30" t="str">
        <f t="shared" si="1923"/>
        <v/>
      </c>
      <c r="FL171" s="30" t="str">
        <f t="shared" si="1924"/>
        <v/>
      </c>
      <c r="FM171" s="30" t="str">
        <f t="shared" si="1925"/>
        <v/>
      </c>
      <c r="FN171" s="30" t="str">
        <f t="shared" si="1926"/>
        <v/>
      </c>
      <c r="FO171" s="30" t="str">
        <f t="shared" si="1927"/>
        <v/>
      </c>
      <c r="FP171" s="30" t="str">
        <f t="shared" si="1928"/>
        <v/>
      </c>
      <c r="FQ171" s="30" t="str">
        <f t="shared" si="1929"/>
        <v/>
      </c>
      <c r="FR171" s="30" t="str">
        <f t="shared" si="1930"/>
        <v/>
      </c>
      <c r="FS171" s="30" t="str">
        <f t="shared" si="1931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>"InitUnitState('"&amp;B172&amp;"',"&amp;V172&amp;","&amp;W172&amp;","&amp;X172&amp;","&amp;Y172&amp;","&amp;Z172&amp;","&amp;AA172&amp;","&amp;AB172&amp;","&amp;AC172&amp;","&amp;AD172&amp;","&amp;AE172&amp;")"</f>
        <v>InitUnitState('',,,,,,,,,,)</v>
      </c>
      <c r="CO172" s="44" t="str">
        <f>"InitUnitNormal('"&amp;B172&amp;"',"&amp;AF172&amp;","&amp;AG172&amp;","&amp;AH172&amp;","&amp;AI172&amp;","&amp;AJ172&amp;","&amp;AK172&amp;","&amp;AL172&amp;","&amp;AM172&amp;","&amp;AN172&amp;","&amp;AO172&amp;")"</f>
        <v>InitUnitNormal('',,,,,,,,,,)</v>
      </c>
      <c r="CP172" s="44" t="str">
        <f>"InitUnitMagic('"&amp;B172&amp;"',"&amp;AP172&amp;","&amp;AQ172&amp;","&amp;AR172&amp;","&amp;AS172&amp;","&amp;AT172&amp;","&amp;AU172&amp;","&amp;AV172&amp;","&amp;AW172&amp;","&amp;BI172&amp;","&amp;BJ172&amp;")"</f>
        <v>InitUnitMagic('',,,,,,,,,,)</v>
      </c>
      <c r="CQ172" s="44" t="str">
        <f>"InitUnitAdd('"&amp;B172&amp;"',"&amp;BK172&amp;","&amp;BL172&amp;","&amp;BM172&amp;","&amp;BN172&amp;","&amp;BO172&amp;","&amp;BP172&amp;","&amp;BQ172&amp;","&amp;BR172&amp;","&amp;BS172&amp;","&amp;BT172&amp;")"</f>
        <v>InitUnitAdd('',,,,,,,,,,)</v>
      </c>
      <c r="CR172" s="44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InitEquipData('',,"",,,,,'','','','','','',"")</v>
      </c>
      <c r="CS172" s="44"/>
      <c r="CT172" s="44"/>
      <c r="CU172" s="45" t="str">
        <f t="shared" si="1861"/>
        <v>|n</v>
      </c>
      <c r="CV172" s="29"/>
      <c r="DB172" s="30" t="str">
        <f t="shared" si="1862"/>
        <v/>
      </c>
      <c r="DC172" s="30" t="str">
        <f t="shared" si="1863"/>
        <v/>
      </c>
      <c r="DD172" s="30" t="str">
        <f t="shared" si="1864"/>
        <v/>
      </c>
      <c r="DE172" s="30" t="str">
        <f t="shared" si="1865"/>
        <v/>
      </c>
      <c r="DF172" s="30" t="str">
        <f t="shared" si="1866"/>
        <v/>
      </c>
      <c r="DG172" s="30" t="str">
        <f t="shared" si="1867"/>
        <v/>
      </c>
      <c r="DH172" s="30" t="str">
        <f t="shared" si="1868"/>
        <v/>
      </c>
      <c r="DI172" s="30" t="str">
        <f t="shared" si="1869"/>
        <v/>
      </c>
      <c r="DJ172" s="30" t="str">
        <f t="shared" si="1870"/>
        <v/>
      </c>
      <c r="DK172" s="30" t="str">
        <f t="shared" si="1871"/>
        <v/>
      </c>
      <c r="DL172" s="30" t="str">
        <f t="shared" si="1872"/>
        <v/>
      </c>
      <c r="DM172" s="30" t="str">
        <f t="shared" si="1873"/>
        <v/>
      </c>
      <c r="DN172" s="30" t="str">
        <f t="shared" si="1874"/>
        <v/>
      </c>
      <c r="DO172" s="30" t="str">
        <f t="shared" si="1875"/>
        <v/>
      </c>
      <c r="DP172" s="30" t="str">
        <f t="shared" si="1876"/>
        <v/>
      </c>
      <c r="DQ172" s="30" t="str">
        <f t="shared" si="1877"/>
        <v/>
      </c>
      <c r="DR172" s="30" t="str">
        <f t="shared" si="1878"/>
        <v/>
      </c>
      <c r="DS172" s="30" t="str">
        <f t="shared" si="1879"/>
        <v/>
      </c>
      <c r="DT172" s="30" t="str">
        <f t="shared" si="1880"/>
        <v/>
      </c>
      <c r="DU172" s="30" t="str">
        <f t="shared" si="1881"/>
        <v/>
      </c>
      <c r="DV172" s="30" t="str">
        <f t="shared" si="1882"/>
        <v/>
      </c>
      <c r="DW172" s="30" t="str">
        <f t="shared" si="1883"/>
        <v/>
      </c>
      <c r="DX172" s="30" t="str">
        <f t="shared" si="1884"/>
        <v/>
      </c>
      <c r="DY172" s="30" t="str">
        <f t="shared" si="1885"/>
        <v/>
      </c>
      <c r="DZ172" s="30" t="str">
        <f t="shared" si="1886"/>
        <v/>
      </c>
      <c r="EA172" s="30" t="str">
        <f t="shared" si="1887"/>
        <v/>
      </c>
      <c r="EB172" s="30" t="str">
        <f t="shared" si="1888"/>
        <v/>
      </c>
      <c r="EC172" s="30" t="str">
        <f t="shared" si="1889"/>
        <v/>
      </c>
      <c r="ED172" s="30" t="str">
        <f t="shared" si="1890"/>
        <v/>
      </c>
      <c r="EE172" s="30" t="str">
        <f t="shared" si="1891"/>
        <v/>
      </c>
      <c r="EF172" s="30" t="str">
        <f t="shared" si="1892"/>
        <v/>
      </c>
      <c r="EG172" s="30" t="str">
        <f t="shared" si="1893"/>
        <v/>
      </c>
      <c r="EH172" s="30" t="str">
        <f t="shared" si="1894"/>
        <v/>
      </c>
      <c r="EI172" s="30" t="str">
        <f t="shared" si="1895"/>
        <v/>
      </c>
      <c r="EJ172" s="30" t="str">
        <f t="shared" si="1896"/>
        <v/>
      </c>
      <c r="EK172" s="30" t="str">
        <f t="shared" si="1897"/>
        <v/>
      </c>
      <c r="EL172" s="30" t="str">
        <f t="shared" si="1898"/>
        <v/>
      </c>
      <c r="EM172" s="30" t="str">
        <f t="shared" si="1899"/>
        <v/>
      </c>
      <c r="EN172" s="30" t="str">
        <f t="shared" si="1900"/>
        <v/>
      </c>
      <c r="EO172" s="30" t="str">
        <f t="shared" si="1901"/>
        <v/>
      </c>
      <c r="EP172" s="30" t="str">
        <f t="shared" si="1902"/>
        <v/>
      </c>
      <c r="EQ172" s="30" t="str">
        <f t="shared" si="1903"/>
        <v/>
      </c>
      <c r="ER172" s="30" t="str">
        <f t="shared" si="1904"/>
        <v/>
      </c>
      <c r="ES172" s="30" t="str">
        <f t="shared" si="1905"/>
        <v/>
      </c>
      <c r="ET172" s="30" t="str">
        <f t="shared" si="1906"/>
        <v/>
      </c>
      <c r="EU172" s="30" t="str">
        <f t="shared" si="1907"/>
        <v/>
      </c>
      <c r="EV172" s="30" t="str">
        <f t="shared" si="1908"/>
        <v/>
      </c>
      <c r="EW172" s="30" t="str">
        <f t="shared" si="1909"/>
        <v/>
      </c>
      <c r="EX172" s="30" t="str">
        <f t="shared" si="1910"/>
        <v/>
      </c>
      <c r="EY172" s="30" t="str">
        <f t="shared" si="1911"/>
        <v/>
      </c>
      <c r="EZ172" s="30" t="str">
        <f t="shared" si="1912"/>
        <v/>
      </c>
      <c r="FA172" s="30" t="str">
        <f t="shared" si="1913"/>
        <v/>
      </c>
      <c r="FB172" s="30" t="str">
        <f t="shared" si="1914"/>
        <v/>
      </c>
      <c r="FC172" s="30" t="str">
        <f t="shared" si="1915"/>
        <v/>
      </c>
      <c r="FD172" s="30" t="str">
        <f t="shared" si="1916"/>
        <v/>
      </c>
      <c r="FE172" s="30" t="str">
        <f t="shared" si="1917"/>
        <v/>
      </c>
      <c r="FF172" s="30" t="str">
        <f t="shared" si="1918"/>
        <v/>
      </c>
      <c r="FG172" s="30" t="str">
        <f t="shared" si="1919"/>
        <v/>
      </c>
      <c r="FH172" s="30" t="str">
        <f t="shared" si="1920"/>
        <v/>
      </c>
      <c r="FI172" s="30" t="str">
        <f t="shared" si="1921"/>
        <v/>
      </c>
      <c r="FJ172" s="30" t="str">
        <f t="shared" si="1922"/>
        <v/>
      </c>
      <c r="FK172" s="30" t="str">
        <f t="shared" si="1923"/>
        <v/>
      </c>
      <c r="FL172" s="30" t="str">
        <f t="shared" si="1924"/>
        <v/>
      </c>
      <c r="FM172" s="30" t="str">
        <f t="shared" si="1925"/>
        <v/>
      </c>
      <c r="FN172" s="30" t="str">
        <f t="shared" si="1926"/>
        <v/>
      </c>
      <c r="FO172" s="30" t="str">
        <f t="shared" si="1927"/>
        <v/>
      </c>
      <c r="FP172" s="30" t="str">
        <f t="shared" si="1928"/>
        <v/>
      </c>
      <c r="FQ172" s="30" t="str">
        <f t="shared" si="1929"/>
        <v/>
      </c>
      <c r="FR172" s="30" t="str">
        <f t="shared" si="1930"/>
        <v/>
      </c>
      <c r="FS172" s="30" t="str">
        <f t="shared" si="1931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>"InitUnitState('"&amp;B173&amp;"',"&amp;V173&amp;","&amp;W173&amp;","&amp;X173&amp;","&amp;Y173&amp;","&amp;Z173&amp;","&amp;AA173&amp;","&amp;AB173&amp;","&amp;AC173&amp;","&amp;AD173&amp;","&amp;AE173&amp;")"</f>
        <v>InitUnitState('',,,,,,,,,,)</v>
      </c>
      <c r="CO173" s="44" t="str">
        <f>"InitUnitNormal('"&amp;B173&amp;"',"&amp;AF173&amp;","&amp;AG173&amp;","&amp;AH173&amp;","&amp;AI173&amp;","&amp;AJ173&amp;","&amp;AK173&amp;","&amp;AL173&amp;","&amp;AM173&amp;","&amp;AN173&amp;","&amp;AO173&amp;")"</f>
        <v>InitUnitNormal('',,,,,,,,,,)</v>
      </c>
      <c r="CP173" s="44" t="str">
        <f>"InitUnitMagic('"&amp;B173&amp;"',"&amp;AP173&amp;","&amp;AQ173&amp;","&amp;AR173&amp;","&amp;AS173&amp;","&amp;AT173&amp;","&amp;AU173&amp;","&amp;AV173&amp;","&amp;AW173&amp;","&amp;BI173&amp;","&amp;BJ173&amp;")"</f>
        <v>InitUnitMagic('',,,,,,,,,,)</v>
      </c>
      <c r="CQ173" s="44" t="str">
        <f>"InitUnitAdd('"&amp;B173&amp;"',"&amp;BK173&amp;","&amp;BL173&amp;","&amp;BM173&amp;","&amp;BN173&amp;","&amp;BO173&amp;","&amp;BP173&amp;","&amp;BQ173&amp;","&amp;BR173&amp;","&amp;BS173&amp;","&amp;BT173&amp;")"</f>
        <v>InitUnitAdd('',,,,,,,,,,)</v>
      </c>
      <c r="CR173" s="44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InitEquipData('',,"",,,,,'','','','','','',"")</v>
      </c>
      <c r="CS173" s="44"/>
      <c r="CT173" s="44"/>
      <c r="CU173" s="45" t="str">
        <f t="shared" si="1861"/>
        <v>|n</v>
      </c>
      <c r="CV173" s="29"/>
      <c r="DB173" s="30" t="str">
        <f t="shared" si="1862"/>
        <v/>
      </c>
      <c r="DC173" s="30" t="str">
        <f t="shared" si="1863"/>
        <v/>
      </c>
      <c r="DD173" s="30" t="str">
        <f t="shared" si="1864"/>
        <v/>
      </c>
      <c r="DE173" s="30" t="str">
        <f t="shared" si="1865"/>
        <v/>
      </c>
      <c r="DF173" s="30" t="str">
        <f t="shared" si="1866"/>
        <v/>
      </c>
      <c r="DG173" s="30" t="str">
        <f t="shared" si="1867"/>
        <v/>
      </c>
      <c r="DH173" s="30" t="str">
        <f t="shared" si="1868"/>
        <v/>
      </c>
      <c r="DI173" s="30" t="str">
        <f t="shared" si="1869"/>
        <v/>
      </c>
      <c r="DJ173" s="30" t="str">
        <f t="shared" si="1870"/>
        <v/>
      </c>
      <c r="DK173" s="30" t="str">
        <f t="shared" si="1871"/>
        <v/>
      </c>
      <c r="DL173" s="30" t="str">
        <f t="shared" si="1872"/>
        <v/>
      </c>
      <c r="DM173" s="30" t="str">
        <f t="shared" si="1873"/>
        <v/>
      </c>
      <c r="DN173" s="30" t="str">
        <f t="shared" si="1874"/>
        <v/>
      </c>
      <c r="DO173" s="30" t="str">
        <f t="shared" si="1875"/>
        <v/>
      </c>
      <c r="DP173" s="30" t="str">
        <f t="shared" si="1876"/>
        <v/>
      </c>
      <c r="DQ173" s="30" t="str">
        <f t="shared" si="1877"/>
        <v/>
      </c>
      <c r="DR173" s="30" t="str">
        <f t="shared" si="1878"/>
        <v/>
      </c>
      <c r="DS173" s="30" t="str">
        <f t="shared" si="1879"/>
        <v/>
      </c>
      <c r="DT173" s="30" t="str">
        <f t="shared" si="1880"/>
        <v/>
      </c>
      <c r="DU173" s="30" t="str">
        <f t="shared" si="1881"/>
        <v/>
      </c>
      <c r="DV173" s="30" t="str">
        <f t="shared" si="1882"/>
        <v/>
      </c>
      <c r="DW173" s="30" t="str">
        <f t="shared" si="1883"/>
        <v/>
      </c>
      <c r="DX173" s="30" t="str">
        <f t="shared" si="1884"/>
        <v/>
      </c>
      <c r="DY173" s="30" t="str">
        <f t="shared" si="1885"/>
        <v/>
      </c>
      <c r="DZ173" s="30" t="str">
        <f t="shared" si="1886"/>
        <v/>
      </c>
      <c r="EA173" s="30" t="str">
        <f t="shared" si="1887"/>
        <v/>
      </c>
      <c r="EB173" s="30" t="str">
        <f t="shared" si="1888"/>
        <v/>
      </c>
      <c r="EC173" s="30" t="str">
        <f t="shared" si="1889"/>
        <v/>
      </c>
      <c r="ED173" s="30" t="str">
        <f t="shared" si="1890"/>
        <v/>
      </c>
      <c r="EE173" s="30" t="str">
        <f t="shared" si="1891"/>
        <v/>
      </c>
      <c r="EF173" s="30" t="str">
        <f t="shared" si="1892"/>
        <v/>
      </c>
      <c r="EG173" s="30" t="str">
        <f t="shared" si="1893"/>
        <v/>
      </c>
      <c r="EH173" s="30" t="str">
        <f t="shared" si="1894"/>
        <v/>
      </c>
      <c r="EI173" s="30" t="str">
        <f t="shared" si="1895"/>
        <v/>
      </c>
      <c r="EJ173" s="30" t="str">
        <f t="shared" si="1896"/>
        <v/>
      </c>
      <c r="EK173" s="30" t="str">
        <f t="shared" si="1897"/>
        <v/>
      </c>
      <c r="EL173" s="30" t="str">
        <f t="shared" si="1898"/>
        <v/>
      </c>
      <c r="EM173" s="30" t="str">
        <f t="shared" si="1899"/>
        <v/>
      </c>
      <c r="EN173" s="30" t="str">
        <f t="shared" si="1900"/>
        <v/>
      </c>
      <c r="EO173" s="30" t="str">
        <f t="shared" si="1901"/>
        <v/>
      </c>
      <c r="EP173" s="30" t="str">
        <f t="shared" si="1902"/>
        <v/>
      </c>
      <c r="EQ173" s="30" t="str">
        <f t="shared" si="1903"/>
        <v/>
      </c>
      <c r="ER173" s="30" t="str">
        <f t="shared" si="1904"/>
        <v/>
      </c>
      <c r="ES173" s="30" t="str">
        <f t="shared" si="1905"/>
        <v/>
      </c>
      <c r="ET173" s="30" t="str">
        <f t="shared" si="1906"/>
        <v/>
      </c>
      <c r="EU173" s="30" t="str">
        <f t="shared" si="1907"/>
        <v/>
      </c>
      <c r="EV173" s="30" t="str">
        <f t="shared" si="1908"/>
        <v/>
      </c>
      <c r="EW173" s="30" t="str">
        <f t="shared" si="1909"/>
        <v/>
      </c>
      <c r="EX173" s="30" t="str">
        <f t="shared" si="1910"/>
        <v/>
      </c>
      <c r="EY173" s="30" t="str">
        <f t="shared" si="1911"/>
        <v/>
      </c>
      <c r="EZ173" s="30" t="str">
        <f t="shared" si="1912"/>
        <v/>
      </c>
      <c r="FA173" s="30" t="str">
        <f t="shared" si="1913"/>
        <v/>
      </c>
      <c r="FB173" s="30" t="str">
        <f t="shared" si="1914"/>
        <v/>
      </c>
      <c r="FC173" s="30" t="str">
        <f t="shared" si="1915"/>
        <v/>
      </c>
      <c r="FD173" s="30" t="str">
        <f t="shared" si="1916"/>
        <v/>
      </c>
      <c r="FE173" s="30" t="str">
        <f t="shared" si="1917"/>
        <v/>
      </c>
      <c r="FF173" s="30" t="str">
        <f t="shared" si="1918"/>
        <v/>
      </c>
      <c r="FG173" s="30" t="str">
        <f t="shared" si="1919"/>
        <v/>
      </c>
      <c r="FH173" s="30" t="str">
        <f t="shared" si="1920"/>
        <v/>
      </c>
      <c r="FI173" s="30" t="str">
        <f t="shared" si="1921"/>
        <v/>
      </c>
      <c r="FJ173" s="30" t="str">
        <f t="shared" si="1922"/>
        <v/>
      </c>
      <c r="FK173" s="30" t="str">
        <f t="shared" si="1923"/>
        <v/>
      </c>
      <c r="FL173" s="30" t="str">
        <f t="shared" si="1924"/>
        <v/>
      </c>
      <c r="FM173" s="30" t="str">
        <f t="shared" si="1925"/>
        <v/>
      </c>
      <c r="FN173" s="30" t="str">
        <f t="shared" si="1926"/>
        <v/>
      </c>
      <c r="FO173" s="30" t="str">
        <f t="shared" si="1927"/>
        <v/>
      </c>
      <c r="FP173" s="30" t="str">
        <f t="shared" si="1928"/>
        <v/>
      </c>
      <c r="FQ173" s="30" t="str">
        <f t="shared" si="1929"/>
        <v/>
      </c>
      <c r="FR173" s="30" t="str">
        <f t="shared" si="1930"/>
        <v/>
      </c>
      <c r="FS173" s="30" t="str">
        <f t="shared" si="1931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>"InitUnitState('"&amp;B174&amp;"',"&amp;V174&amp;","&amp;W174&amp;","&amp;X174&amp;","&amp;Y174&amp;","&amp;Z174&amp;","&amp;AA174&amp;","&amp;AB174&amp;","&amp;AC174&amp;","&amp;AD174&amp;","&amp;AE174&amp;")"</f>
        <v>InitUnitState('',,,,,,,,,,)</v>
      </c>
      <c r="CO174" s="44" t="str">
        <f>"InitUnitNormal('"&amp;B174&amp;"',"&amp;AF174&amp;","&amp;AG174&amp;","&amp;AH174&amp;","&amp;AI174&amp;","&amp;AJ174&amp;","&amp;AK174&amp;","&amp;AL174&amp;","&amp;AM174&amp;","&amp;AN174&amp;","&amp;AO174&amp;")"</f>
        <v>InitUnitNormal('',,,,,,,,,,)</v>
      </c>
      <c r="CP174" s="44" t="str">
        <f>"InitUnitMagic('"&amp;B174&amp;"',"&amp;AP174&amp;","&amp;AQ174&amp;","&amp;AR174&amp;","&amp;AS174&amp;","&amp;AT174&amp;","&amp;AU174&amp;","&amp;AV174&amp;","&amp;AW174&amp;","&amp;BI174&amp;","&amp;BJ174&amp;")"</f>
        <v>InitUnitMagic('',,,,,,,,,,)</v>
      </c>
      <c r="CQ174" s="44" t="str">
        <f>"InitUnitAdd('"&amp;B174&amp;"',"&amp;BK174&amp;","&amp;BL174&amp;","&amp;BM174&amp;","&amp;BN174&amp;","&amp;BO174&amp;","&amp;BP174&amp;","&amp;BQ174&amp;","&amp;BR174&amp;","&amp;BS174&amp;","&amp;BT174&amp;")"</f>
        <v>InitUnitAdd('',,,,,,,,,,)</v>
      </c>
      <c r="CR174" s="44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InitEquipData('',,"",,,,,'','','','','','',"")</v>
      </c>
      <c r="CS174" s="44"/>
      <c r="CT174" s="44"/>
      <c r="CU174" s="45" t="str">
        <f t="shared" si="1861"/>
        <v>|n</v>
      </c>
      <c r="CV174" s="29"/>
      <c r="DB174" s="30" t="str">
        <f t="shared" si="1862"/>
        <v/>
      </c>
      <c r="DC174" s="30" t="str">
        <f t="shared" si="1863"/>
        <v/>
      </c>
      <c r="DD174" s="30" t="str">
        <f t="shared" si="1864"/>
        <v/>
      </c>
      <c r="DE174" s="30" t="str">
        <f t="shared" si="1865"/>
        <v/>
      </c>
      <c r="DF174" s="30" t="str">
        <f t="shared" si="1866"/>
        <v/>
      </c>
      <c r="DG174" s="30" t="str">
        <f t="shared" si="1867"/>
        <v/>
      </c>
      <c r="DH174" s="30" t="str">
        <f t="shared" si="1868"/>
        <v/>
      </c>
      <c r="DI174" s="30" t="str">
        <f t="shared" si="1869"/>
        <v/>
      </c>
      <c r="DJ174" s="30" t="str">
        <f t="shared" si="1870"/>
        <v/>
      </c>
      <c r="DK174" s="30" t="str">
        <f t="shared" si="1871"/>
        <v/>
      </c>
      <c r="DL174" s="30" t="str">
        <f t="shared" si="1872"/>
        <v/>
      </c>
      <c r="DM174" s="30" t="str">
        <f t="shared" si="1873"/>
        <v/>
      </c>
      <c r="DN174" s="30" t="str">
        <f t="shared" si="1874"/>
        <v/>
      </c>
      <c r="DO174" s="30" t="str">
        <f t="shared" si="1875"/>
        <v/>
      </c>
      <c r="DP174" s="30" t="str">
        <f t="shared" si="1876"/>
        <v/>
      </c>
      <c r="DQ174" s="30" t="str">
        <f t="shared" si="1877"/>
        <v/>
      </c>
      <c r="DR174" s="30" t="str">
        <f t="shared" si="1878"/>
        <v/>
      </c>
      <c r="DS174" s="30" t="str">
        <f t="shared" si="1879"/>
        <v/>
      </c>
      <c r="DT174" s="30" t="str">
        <f t="shared" si="1880"/>
        <v/>
      </c>
      <c r="DU174" s="30" t="str">
        <f t="shared" si="1881"/>
        <v/>
      </c>
      <c r="DV174" s="30" t="str">
        <f t="shared" si="1882"/>
        <v/>
      </c>
      <c r="DW174" s="30" t="str">
        <f t="shared" si="1883"/>
        <v/>
      </c>
      <c r="DX174" s="30" t="str">
        <f t="shared" si="1884"/>
        <v/>
      </c>
      <c r="DY174" s="30" t="str">
        <f t="shared" si="1885"/>
        <v/>
      </c>
      <c r="DZ174" s="30" t="str">
        <f t="shared" si="1886"/>
        <v/>
      </c>
      <c r="EA174" s="30" t="str">
        <f t="shared" si="1887"/>
        <v/>
      </c>
      <c r="EB174" s="30" t="str">
        <f t="shared" si="1888"/>
        <v/>
      </c>
      <c r="EC174" s="30" t="str">
        <f t="shared" si="1889"/>
        <v/>
      </c>
      <c r="ED174" s="30" t="str">
        <f t="shared" si="1890"/>
        <v/>
      </c>
      <c r="EE174" s="30" t="str">
        <f t="shared" si="1891"/>
        <v/>
      </c>
      <c r="EF174" s="30" t="str">
        <f t="shared" si="1892"/>
        <v/>
      </c>
      <c r="EG174" s="30" t="str">
        <f t="shared" si="1893"/>
        <v/>
      </c>
      <c r="EH174" s="30" t="str">
        <f t="shared" si="1894"/>
        <v/>
      </c>
      <c r="EI174" s="30" t="str">
        <f t="shared" si="1895"/>
        <v/>
      </c>
      <c r="EJ174" s="30" t="str">
        <f t="shared" si="1896"/>
        <v/>
      </c>
      <c r="EK174" s="30" t="str">
        <f t="shared" si="1897"/>
        <v/>
      </c>
      <c r="EL174" s="30" t="str">
        <f t="shared" si="1898"/>
        <v/>
      </c>
      <c r="EM174" s="30" t="str">
        <f t="shared" si="1899"/>
        <v/>
      </c>
      <c r="EN174" s="30" t="str">
        <f t="shared" si="1900"/>
        <v/>
      </c>
      <c r="EO174" s="30" t="str">
        <f t="shared" si="1901"/>
        <v/>
      </c>
      <c r="EP174" s="30" t="str">
        <f t="shared" si="1902"/>
        <v/>
      </c>
      <c r="EQ174" s="30" t="str">
        <f t="shared" si="1903"/>
        <v/>
      </c>
      <c r="ER174" s="30" t="str">
        <f t="shared" si="1904"/>
        <v/>
      </c>
      <c r="ES174" s="30" t="str">
        <f t="shared" si="1905"/>
        <v/>
      </c>
      <c r="ET174" s="30" t="str">
        <f t="shared" si="1906"/>
        <v/>
      </c>
      <c r="EU174" s="30" t="str">
        <f t="shared" si="1907"/>
        <v/>
      </c>
      <c r="EV174" s="30" t="str">
        <f t="shared" si="1908"/>
        <v/>
      </c>
      <c r="EW174" s="30" t="str">
        <f t="shared" si="1909"/>
        <v/>
      </c>
      <c r="EX174" s="30" t="str">
        <f t="shared" si="1910"/>
        <v/>
      </c>
      <c r="EY174" s="30" t="str">
        <f t="shared" si="1911"/>
        <v/>
      </c>
      <c r="EZ174" s="30" t="str">
        <f t="shared" si="1912"/>
        <v/>
      </c>
      <c r="FA174" s="30" t="str">
        <f t="shared" si="1913"/>
        <v/>
      </c>
      <c r="FB174" s="30" t="str">
        <f t="shared" si="1914"/>
        <v/>
      </c>
      <c r="FC174" s="30" t="str">
        <f t="shared" si="1915"/>
        <v/>
      </c>
      <c r="FD174" s="30" t="str">
        <f t="shared" si="1916"/>
        <v/>
      </c>
      <c r="FE174" s="30" t="str">
        <f t="shared" si="1917"/>
        <v/>
      </c>
      <c r="FF174" s="30" t="str">
        <f t="shared" si="1918"/>
        <v/>
      </c>
      <c r="FG174" s="30" t="str">
        <f t="shared" si="1919"/>
        <v/>
      </c>
      <c r="FH174" s="30" t="str">
        <f t="shared" si="1920"/>
        <v/>
      </c>
      <c r="FI174" s="30" t="str">
        <f t="shared" si="1921"/>
        <v/>
      </c>
      <c r="FJ174" s="30" t="str">
        <f t="shared" si="1922"/>
        <v/>
      </c>
      <c r="FK174" s="30" t="str">
        <f t="shared" si="1923"/>
        <v/>
      </c>
      <c r="FL174" s="30" t="str">
        <f t="shared" si="1924"/>
        <v/>
      </c>
      <c r="FM174" s="30" t="str">
        <f t="shared" si="1925"/>
        <v/>
      </c>
      <c r="FN174" s="30" t="str">
        <f t="shared" si="1926"/>
        <v/>
      </c>
      <c r="FO174" s="30" t="str">
        <f t="shared" si="1927"/>
        <v/>
      </c>
      <c r="FP174" s="30" t="str">
        <f t="shared" si="1928"/>
        <v/>
      </c>
      <c r="FQ174" s="30" t="str">
        <f t="shared" si="1929"/>
        <v/>
      </c>
      <c r="FR174" s="30" t="str">
        <f t="shared" si="1930"/>
        <v/>
      </c>
      <c r="FS174" s="30" t="str">
        <f t="shared" si="1931"/>
        <v/>
      </c>
    </row>
    <row r="175" spans="1:175" ht="16.5">
      <c r="A175" s="5"/>
      <c r="B175" s="6"/>
      <c r="C175" s="5"/>
      <c r="E175" s="35"/>
      <c r="T175" s="105"/>
      <c r="U175" s="32"/>
      <c r="CU175" s="45" t="str">
        <f t="shared" si="1861"/>
        <v>|n</v>
      </c>
      <c r="CW175" s="24"/>
      <c r="CX175" s="24"/>
      <c r="CY175" s="24"/>
      <c r="CZ175" s="24"/>
      <c r="DA175" s="24"/>
      <c r="DB175" s="30" t="str">
        <f t="shared" si="1862"/>
        <v/>
      </c>
      <c r="DC175" s="30" t="str">
        <f t="shared" si="1863"/>
        <v/>
      </c>
      <c r="DD175" s="30" t="str">
        <f t="shared" si="1864"/>
        <v/>
      </c>
      <c r="DE175" s="30" t="str">
        <f t="shared" si="1865"/>
        <v/>
      </c>
      <c r="DF175" s="30" t="str">
        <f t="shared" si="1866"/>
        <v/>
      </c>
      <c r="DG175" s="30" t="str">
        <f t="shared" si="1867"/>
        <v/>
      </c>
      <c r="DH175" s="30" t="str">
        <f t="shared" si="1868"/>
        <v/>
      </c>
      <c r="DI175" s="30" t="str">
        <f t="shared" si="1869"/>
        <v/>
      </c>
      <c r="DJ175" s="30" t="str">
        <f t="shared" si="1870"/>
        <v/>
      </c>
      <c r="DK175" s="30" t="str">
        <f t="shared" si="1871"/>
        <v/>
      </c>
      <c r="DL175" s="30" t="str">
        <f t="shared" si="1872"/>
        <v/>
      </c>
      <c r="DM175" s="30" t="str">
        <f t="shared" si="1873"/>
        <v/>
      </c>
      <c r="DN175" s="30" t="str">
        <f t="shared" si="1874"/>
        <v/>
      </c>
      <c r="DO175" s="30" t="str">
        <f t="shared" si="1875"/>
        <v/>
      </c>
      <c r="DP175" s="30" t="str">
        <f t="shared" si="1876"/>
        <v/>
      </c>
      <c r="DQ175" s="30" t="str">
        <f t="shared" si="1877"/>
        <v/>
      </c>
      <c r="DR175" s="30" t="str">
        <f t="shared" si="1878"/>
        <v/>
      </c>
      <c r="DS175" s="30" t="str">
        <f t="shared" si="1879"/>
        <v/>
      </c>
      <c r="DT175" s="30" t="str">
        <f t="shared" si="1880"/>
        <v/>
      </c>
      <c r="DU175" s="30" t="str">
        <f t="shared" si="1881"/>
        <v/>
      </c>
      <c r="DV175" s="30" t="str">
        <f t="shared" si="1882"/>
        <v/>
      </c>
      <c r="DW175" s="30" t="str">
        <f t="shared" si="1883"/>
        <v/>
      </c>
      <c r="DX175" s="30" t="str">
        <f t="shared" si="1884"/>
        <v/>
      </c>
      <c r="DY175" s="30" t="str">
        <f t="shared" si="1885"/>
        <v/>
      </c>
      <c r="DZ175" s="30" t="str">
        <f t="shared" si="1886"/>
        <v/>
      </c>
      <c r="EA175" s="30" t="str">
        <f t="shared" si="1887"/>
        <v/>
      </c>
      <c r="EB175" s="30" t="str">
        <f t="shared" si="1888"/>
        <v/>
      </c>
      <c r="EC175" s="30" t="str">
        <f t="shared" si="1889"/>
        <v/>
      </c>
      <c r="ED175" s="30" t="str">
        <f t="shared" si="1890"/>
        <v/>
      </c>
      <c r="EE175" s="30" t="str">
        <f t="shared" si="1891"/>
        <v/>
      </c>
      <c r="EF175" s="30" t="str">
        <f t="shared" si="1892"/>
        <v/>
      </c>
      <c r="EG175" s="30" t="str">
        <f t="shared" si="1893"/>
        <v/>
      </c>
      <c r="EH175" s="30" t="str">
        <f t="shared" si="1894"/>
        <v/>
      </c>
      <c r="EI175" s="30" t="str">
        <f t="shared" si="1895"/>
        <v/>
      </c>
      <c r="EJ175" s="30" t="str">
        <f t="shared" si="1896"/>
        <v/>
      </c>
      <c r="EK175" s="30" t="str">
        <f t="shared" si="1897"/>
        <v/>
      </c>
      <c r="EL175" s="30" t="str">
        <f t="shared" si="1898"/>
        <v/>
      </c>
      <c r="EM175" s="30" t="str">
        <f t="shared" si="1899"/>
        <v/>
      </c>
      <c r="EN175" s="30" t="str">
        <f t="shared" si="1900"/>
        <v/>
      </c>
      <c r="EO175" s="30" t="str">
        <f t="shared" si="1901"/>
        <v/>
      </c>
      <c r="EP175" s="30" t="str">
        <f t="shared" si="1902"/>
        <v/>
      </c>
      <c r="EQ175" s="30" t="str">
        <f t="shared" si="1903"/>
        <v/>
      </c>
      <c r="ER175" s="30" t="str">
        <f t="shared" si="1904"/>
        <v/>
      </c>
      <c r="ES175" s="30" t="str">
        <f t="shared" si="1905"/>
        <v/>
      </c>
      <c r="ET175" s="30" t="str">
        <f t="shared" si="1906"/>
        <v/>
      </c>
      <c r="EU175" s="30" t="str">
        <f t="shared" si="1907"/>
        <v/>
      </c>
      <c r="EV175" s="30" t="str">
        <f t="shared" si="1908"/>
        <v/>
      </c>
      <c r="EW175" s="30" t="str">
        <f t="shared" si="1909"/>
        <v/>
      </c>
      <c r="EX175" s="30" t="str">
        <f t="shared" si="1910"/>
        <v/>
      </c>
      <c r="EY175" s="30" t="str">
        <f t="shared" si="1911"/>
        <v/>
      </c>
      <c r="EZ175" s="30" t="str">
        <f t="shared" si="1912"/>
        <v/>
      </c>
      <c r="FA175" s="30" t="str">
        <f t="shared" si="1913"/>
        <v/>
      </c>
      <c r="FB175" s="30" t="str">
        <f t="shared" si="1914"/>
        <v/>
      </c>
      <c r="FC175" s="30" t="str">
        <f t="shared" si="1915"/>
        <v/>
      </c>
      <c r="FD175" s="30" t="str">
        <f t="shared" si="1916"/>
        <v/>
      </c>
      <c r="FE175" s="30" t="str">
        <f t="shared" si="1917"/>
        <v/>
      </c>
      <c r="FF175" s="30" t="str">
        <f t="shared" si="1918"/>
        <v/>
      </c>
      <c r="FG175" s="30" t="str">
        <f t="shared" si="1919"/>
        <v/>
      </c>
      <c r="FH175" s="30" t="str">
        <f t="shared" si="1920"/>
        <v/>
      </c>
      <c r="FI175" s="30" t="str">
        <f t="shared" si="1921"/>
        <v/>
      </c>
      <c r="FJ175" s="30" t="str">
        <f t="shared" si="1922"/>
        <v/>
      </c>
      <c r="FK175" s="30" t="str">
        <f t="shared" si="1923"/>
        <v/>
      </c>
      <c r="FL175" s="30" t="str">
        <f t="shared" si="1924"/>
        <v/>
      </c>
      <c r="FM175" s="30" t="str">
        <f t="shared" si="1925"/>
        <v/>
      </c>
      <c r="FN175" s="30" t="str">
        <f t="shared" si="1926"/>
        <v/>
      </c>
      <c r="FO175" s="30" t="str">
        <f t="shared" si="1927"/>
        <v/>
      </c>
      <c r="FP175" s="30" t="str">
        <f t="shared" si="1928"/>
        <v/>
      </c>
      <c r="FQ175" s="30" t="str">
        <f t="shared" si="1929"/>
        <v/>
      </c>
      <c r="FR175" s="30" t="str">
        <f t="shared" si="1930"/>
        <v/>
      </c>
      <c r="FS175" s="30" t="str">
        <f t="shared" si="1931"/>
        <v/>
      </c>
    </row>
    <row r="176" spans="1:175" ht="16.5">
      <c r="A176" s="5"/>
      <c r="B176" s="6"/>
      <c r="C176" s="5"/>
      <c r="E176" s="35"/>
      <c r="T176" s="105"/>
      <c r="U176" s="32"/>
      <c r="CU176" s="45" t="str">
        <f t="shared" si="1861"/>
        <v>|n</v>
      </c>
      <c r="CW176" s="24"/>
      <c r="CX176" s="24"/>
      <c r="CY176" s="24"/>
      <c r="CZ176" s="24"/>
      <c r="DA176" s="24"/>
      <c r="DB176" s="30" t="str">
        <f t="shared" si="1862"/>
        <v/>
      </c>
      <c r="DC176" s="30" t="str">
        <f t="shared" si="1863"/>
        <v/>
      </c>
      <c r="DD176" s="30" t="str">
        <f t="shared" si="1864"/>
        <v/>
      </c>
      <c r="DE176" s="30" t="str">
        <f t="shared" si="1865"/>
        <v/>
      </c>
      <c r="DF176" s="30" t="str">
        <f t="shared" si="1866"/>
        <v/>
      </c>
      <c r="DG176" s="30" t="str">
        <f t="shared" si="1867"/>
        <v/>
      </c>
      <c r="DH176" s="30" t="str">
        <f t="shared" si="1868"/>
        <v/>
      </c>
      <c r="DI176" s="30" t="str">
        <f t="shared" si="1869"/>
        <v/>
      </c>
      <c r="DJ176" s="30" t="str">
        <f t="shared" si="1870"/>
        <v/>
      </c>
      <c r="DK176" s="30" t="str">
        <f t="shared" si="1871"/>
        <v/>
      </c>
      <c r="DL176" s="30" t="str">
        <f t="shared" si="1872"/>
        <v/>
      </c>
      <c r="DM176" s="30" t="str">
        <f t="shared" si="1873"/>
        <v/>
      </c>
      <c r="DN176" s="30" t="str">
        <f t="shared" si="1874"/>
        <v/>
      </c>
      <c r="DO176" s="30" t="str">
        <f t="shared" si="1875"/>
        <v/>
      </c>
      <c r="DP176" s="30" t="str">
        <f t="shared" si="1876"/>
        <v/>
      </c>
      <c r="DQ176" s="30" t="str">
        <f t="shared" si="1877"/>
        <v/>
      </c>
      <c r="DR176" s="30" t="str">
        <f t="shared" si="1878"/>
        <v/>
      </c>
      <c r="DS176" s="30" t="str">
        <f t="shared" si="1879"/>
        <v/>
      </c>
      <c r="DT176" s="30" t="str">
        <f t="shared" si="1880"/>
        <v/>
      </c>
      <c r="DU176" s="30" t="str">
        <f t="shared" si="1881"/>
        <v/>
      </c>
      <c r="DV176" s="30" t="str">
        <f t="shared" si="1882"/>
        <v/>
      </c>
      <c r="DW176" s="30" t="str">
        <f t="shared" si="1883"/>
        <v/>
      </c>
      <c r="DX176" s="30" t="str">
        <f t="shared" si="1884"/>
        <v/>
      </c>
      <c r="DY176" s="30" t="str">
        <f t="shared" si="1885"/>
        <v/>
      </c>
      <c r="DZ176" s="30" t="str">
        <f t="shared" si="1886"/>
        <v/>
      </c>
      <c r="EA176" s="30" t="str">
        <f t="shared" si="1887"/>
        <v/>
      </c>
      <c r="EB176" s="30" t="str">
        <f t="shared" si="1888"/>
        <v/>
      </c>
      <c r="EC176" s="30" t="str">
        <f t="shared" si="1889"/>
        <v/>
      </c>
      <c r="ED176" s="30" t="str">
        <f t="shared" si="1890"/>
        <v/>
      </c>
      <c r="EE176" s="30" t="str">
        <f t="shared" si="1891"/>
        <v/>
      </c>
      <c r="EF176" s="30" t="str">
        <f t="shared" si="1892"/>
        <v/>
      </c>
      <c r="EG176" s="30" t="str">
        <f t="shared" si="1893"/>
        <v/>
      </c>
      <c r="EH176" s="30" t="str">
        <f t="shared" si="1894"/>
        <v/>
      </c>
      <c r="EI176" s="30" t="str">
        <f t="shared" si="1895"/>
        <v/>
      </c>
      <c r="EJ176" s="30" t="str">
        <f t="shared" si="1896"/>
        <v/>
      </c>
      <c r="EK176" s="30" t="str">
        <f t="shared" si="1897"/>
        <v/>
      </c>
      <c r="EL176" s="30" t="str">
        <f t="shared" si="1898"/>
        <v/>
      </c>
      <c r="EM176" s="30" t="str">
        <f t="shared" si="1899"/>
        <v/>
      </c>
      <c r="EN176" s="30" t="str">
        <f t="shared" si="1900"/>
        <v/>
      </c>
      <c r="EO176" s="30" t="str">
        <f t="shared" si="1901"/>
        <v/>
      </c>
      <c r="EP176" s="30" t="str">
        <f t="shared" si="1902"/>
        <v/>
      </c>
      <c r="EQ176" s="30" t="str">
        <f t="shared" si="1903"/>
        <v/>
      </c>
      <c r="ER176" s="30" t="str">
        <f t="shared" si="1904"/>
        <v/>
      </c>
      <c r="ES176" s="30" t="str">
        <f t="shared" si="1905"/>
        <v/>
      </c>
      <c r="ET176" s="30" t="str">
        <f t="shared" si="1906"/>
        <v/>
      </c>
      <c r="EU176" s="30" t="str">
        <f t="shared" si="1907"/>
        <v/>
      </c>
      <c r="EV176" s="30" t="str">
        <f t="shared" si="1908"/>
        <v/>
      </c>
      <c r="EW176" s="30" t="str">
        <f t="shared" si="1909"/>
        <v/>
      </c>
      <c r="EX176" s="30" t="str">
        <f t="shared" si="1910"/>
        <v/>
      </c>
      <c r="EY176" s="30" t="str">
        <f t="shared" si="1911"/>
        <v/>
      </c>
      <c r="EZ176" s="30" t="str">
        <f t="shared" si="1912"/>
        <v/>
      </c>
      <c r="FA176" s="30" t="str">
        <f t="shared" si="1913"/>
        <v/>
      </c>
      <c r="FB176" s="30" t="str">
        <f t="shared" si="1914"/>
        <v/>
      </c>
      <c r="FC176" s="30" t="str">
        <f t="shared" si="1915"/>
        <v/>
      </c>
      <c r="FD176" s="30" t="str">
        <f t="shared" si="1916"/>
        <v/>
      </c>
      <c r="FE176" s="30" t="str">
        <f t="shared" si="1917"/>
        <v/>
      </c>
      <c r="FF176" s="30" t="str">
        <f t="shared" si="1918"/>
        <v/>
      </c>
      <c r="FG176" s="30" t="str">
        <f t="shared" si="1919"/>
        <v/>
      </c>
      <c r="FH176" s="30" t="str">
        <f t="shared" si="1920"/>
        <v/>
      </c>
      <c r="FI176" s="30" t="str">
        <f t="shared" si="1921"/>
        <v/>
      </c>
      <c r="FJ176" s="30" t="str">
        <f t="shared" si="1922"/>
        <v/>
      </c>
      <c r="FK176" s="30" t="str">
        <f t="shared" si="1923"/>
        <v/>
      </c>
      <c r="FL176" s="30" t="str">
        <f t="shared" si="1924"/>
        <v/>
      </c>
      <c r="FM176" s="30" t="str">
        <f t="shared" si="1925"/>
        <v/>
      </c>
      <c r="FN176" s="30" t="str">
        <f t="shared" si="1926"/>
        <v/>
      </c>
      <c r="FO176" s="30" t="str">
        <f t="shared" si="1927"/>
        <v/>
      </c>
      <c r="FP176" s="30" t="str">
        <f t="shared" si="1928"/>
        <v/>
      </c>
      <c r="FQ176" s="30" t="str">
        <f t="shared" si="1929"/>
        <v/>
      </c>
      <c r="FR176" s="30" t="str">
        <f t="shared" si="1930"/>
        <v/>
      </c>
      <c r="FS176" s="30" t="str">
        <f t="shared" si="1931"/>
        <v/>
      </c>
    </row>
    <row r="177" spans="1:175" ht="16.5">
      <c r="A177" s="5"/>
      <c r="B177" s="6"/>
      <c r="C177" s="5"/>
      <c r="E177" s="35"/>
      <c r="T177" s="105"/>
      <c r="U177" s="32"/>
      <c r="CU177" s="45" t="str">
        <f t="shared" si="1861"/>
        <v>|n</v>
      </c>
      <c r="CW177" s="24"/>
      <c r="CX177" s="24"/>
      <c r="CY177" s="24"/>
      <c r="CZ177" s="24"/>
      <c r="DA177" s="24"/>
      <c r="DB177" s="30" t="str">
        <f t="shared" si="1862"/>
        <v/>
      </c>
      <c r="DC177" s="30" t="str">
        <f t="shared" si="1863"/>
        <v/>
      </c>
      <c r="DD177" s="30" t="str">
        <f t="shared" si="1864"/>
        <v/>
      </c>
      <c r="DE177" s="30" t="str">
        <f t="shared" si="1865"/>
        <v/>
      </c>
      <c r="DF177" s="30" t="str">
        <f t="shared" si="1866"/>
        <v/>
      </c>
      <c r="DG177" s="30" t="str">
        <f t="shared" si="1867"/>
        <v/>
      </c>
      <c r="DH177" s="30" t="str">
        <f t="shared" si="1868"/>
        <v/>
      </c>
      <c r="DI177" s="30" t="str">
        <f t="shared" si="1869"/>
        <v/>
      </c>
      <c r="DJ177" s="30" t="str">
        <f t="shared" si="1870"/>
        <v/>
      </c>
      <c r="DK177" s="30" t="str">
        <f t="shared" si="1871"/>
        <v/>
      </c>
      <c r="DL177" s="30" t="str">
        <f t="shared" si="1872"/>
        <v/>
      </c>
      <c r="DM177" s="30" t="str">
        <f t="shared" si="1873"/>
        <v/>
      </c>
      <c r="DN177" s="30" t="str">
        <f t="shared" si="1874"/>
        <v/>
      </c>
      <c r="DO177" s="30" t="str">
        <f t="shared" si="1875"/>
        <v/>
      </c>
      <c r="DP177" s="30" t="str">
        <f t="shared" si="1876"/>
        <v/>
      </c>
      <c r="DQ177" s="30" t="str">
        <f t="shared" si="1877"/>
        <v/>
      </c>
      <c r="DR177" s="30" t="str">
        <f t="shared" si="1878"/>
        <v/>
      </c>
      <c r="DS177" s="30" t="str">
        <f t="shared" si="1879"/>
        <v/>
      </c>
      <c r="DT177" s="30" t="str">
        <f t="shared" si="1880"/>
        <v/>
      </c>
      <c r="DU177" s="30" t="str">
        <f t="shared" si="1881"/>
        <v/>
      </c>
      <c r="DV177" s="30" t="str">
        <f t="shared" si="1882"/>
        <v/>
      </c>
      <c r="DW177" s="30" t="str">
        <f t="shared" si="1883"/>
        <v/>
      </c>
      <c r="DX177" s="30" t="str">
        <f t="shared" si="1884"/>
        <v/>
      </c>
      <c r="DY177" s="30" t="str">
        <f t="shared" si="1885"/>
        <v/>
      </c>
      <c r="DZ177" s="30" t="str">
        <f t="shared" si="1886"/>
        <v/>
      </c>
      <c r="EA177" s="30" t="str">
        <f t="shared" si="1887"/>
        <v/>
      </c>
      <c r="EB177" s="30" t="str">
        <f t="shared" si="1888"/>
        <v/>
      </c>
      <c r="EC177" s="30" t="str">
        <f t="shared" si="1889"/>
        <v/>
      </c>
      <c r="ED177" s="30" t="str">
        <f t="shared" si="1890"/>
        <v/>
      </c>
      <c r="EE177" s="30" t="str">
        <f t="shared" si="1891"/>
        <v/>
      </c>
      <c r="EF177" s="30" t="str">
        <f t="shared" si="1892"/>
        <v/>
      </c>
      <c r="EG177" s="30" t="str">
        <f t="shared" si="1893"/>
        <v/>
      </c>
      <c r="EH177" s="30" t="str">
        <f t="shared" si="1894"/>
        <v/>
      </c>
      <c r="EI177" s="30" t="str">
        <f t="shared" si="1895"/>
        <v/>
      </c>
      <c r="EJ177" s="30" t="str">
        <f t="shared" si="1896"/>
        <v/>
      </c>
      <c r="EK177" s="30" t="str">
        <f t="shared" si="1897"/>
        <v/>
      </c>
      <c r="EL177" s="30" t="str">
        <f t="shared" si="1898"/>
        <v/>
      </c>
      <c r="EM177" s="30" t="str">
        <f t="shared" si="1899"/>
        <v/>
      </c>
      <c r="EN177" s="30" t="str">
        <f t="shared" si="1900"/>
        <v/>
      </c>
      <c r="EO177" s="30" t="str">
        <f t="shared" si="1901"/>
        <v/>
      </c>
      <c r="EP177" s="30" t="str">
        <f t="shared" si="1902"/>
        <v/>
      </c>
      <c r="EQ177" s="30" t="str">
        <f t="shared" si="1903"/>
        <v/>
      </c>
      <c r="ER177" s="30" t="str">
        <f t="shared" si="1904"/>
        <v/>
      </c>
      <c r="ES177" s="30" t="str">
        <f t="shared" si="1905"/>
        <v/>
      </c>
      <c r="ET177" s="30" t="str">
        <f t="shared" si="1906"/>
        <v/>
      </c>
      <c r="EU177" s="30" t="str">
        <f t="shared" si="1907"/>
        <v/>
      </c>
      <c r="EV177" s="30" t="str">
        <f t="shared" si="1908"/>
        <v/>
      </c>
      <c r="EW177" s="30" t="str">
        <f t="shared" si="1909"/>
        <v/>
      </c>
      <c r="EX177" s="30" t="str">
        <f t="shared" si="1910"/>
        <v/>
      </c>
      <c r="EY177" s="30" t="str">
        <f t="shared" si="1911"/>
        <v/>
      </c>
      <c r="EZ177" s="30" t="str">
        <f t="shared" si="1912"/>
        <v/>
      </c>
      <c r="FA177" s="30" t="str">
        <f t="shared" si="1913"/>
        <v/>
      </c>
      <c r="FB177" s="30" t="str">
        <f t="shared" si="1914"/>
        <v/>
      </c>
      <c r="FC177" s="30" t="str">
        <f t="shared" si="1915"/>
        <v/>
      </c>
      <c r="FD177" s="30" t="str">
        <f t="shared" si="1916"/>
        <v/>
      </c>
      <c r="FE177" s="30" t="str">
        <f t="shared" si="1917"/>
        <v/>
      </c>
      <c r="FF177" s="30" t="str">
        <f t="shared" si="1918"/>
        <v/>
      </c>
      <c r="FG177" s="30" t="str">
        <f t="shared" si="1919"/>
        <v/>
      </c>
      <c r="FH177" s="30" t="str">
        <f t="shared" si="1920"/>
        <v/>
      </c>
      <c r="FI177" s="30" t="str">
        <f t="shared" si="1921"/>
        <v/>
      </c>
      <c r="FJ177" s="30" t="str">
        <f t="shared" si="1922"/>
        <v/>
      </c>
      <c r="FK177" s="30" t="str">
        <f t="shared" si="1923"/>
        <v/>
      </c>
      <c r="FL177" s="30" t="str">
        <f t="shared" si="1924"/>
        <v/>
      </c>
      <c r="FM177" s="30" t="str">
        <f t="shared" si="1925"/>
        <v/>
      </c>
      <c r="FN177" s="30" t="str">
        <f t="shared" si="1926"/>
        <v/>
      </c>
      <c r="FO177" s="30" t="str">
        <f t="shared" si="1927"/>
        <v/>
      </c>
      <c r="FP177" s="30" t="str">
        <f t="shared" si="1928"/>
        <v/>
      </c>
      <c r="FQ177" s="30" t="str">
        <f t="shared" si="1929"/>
        <v/>
      </c>
      <c r="FR177" s="30" t="str">
        <f t="shared" si="1930"/>
        <v/>
      </c>
      <c r="FS177" s="30" t="str">
        <f t="shared" si="1931"/>
        <v/>
      </c>
    </row>
    <row r="178" spans="1:175" ht="16.5">
      <c r="A178" s="5"/>
      <c r="B178" s="6"/>
      <c r="C178" s="5"/>
      <c r="E178" s="35"/>
      <c r="T178" s="105"/>
      <c r="U178" s="32"/>
      <c r="CU178" s="45" t="str">
        <f t="shared" si="1861"/>
        <v>|n</v>
      </c>
      <c r="CW178" s="24"/>
      <c r="CX178" s="24"/>
      <c r="CY178" s="24"/>
      <c r="CZ178" s="24"/>
      <c r="DA178" s="24"/>
      <c r="DB178" s="30" t="str">
        <f t="shared" si="1862"/>
        <v/>
      </c>
      <c r="DC178" s="30" t="str">
        <f t="shared" si="1863"/>
        <v/>
      </c>
      <c r="DD178" s="30" t="str">
        <f t="shared" si="1864"/>
        <v/>
      </c>
      <c r="DE178" s="30" t="str">
        <f t="shared" si="1865"/>
        <v/>
      </c>
      <c r="DF178" s="30" t="str">
        <f t="shared" si="1866"/>
        <v/>
      </c>
      <c r="DG178" s="30" t="str">
        <f t="shared" si="1867"/>
        <v/>
      </c>
      <c r="DH178" s="30" t="str">
        <f t="shared" si="1868"/>
        <v/>
      </c>
      <c r="DI178" s="30" t="str">
        <f t="shared" si="1869"/>
        <v/>
      </c>
      <c r="DJ178" s="30" t="str">
        <f t="shared" si="1870"/>
        <v/>
      </c>
      <c r="DK178" s="30" t="str">
        <f t="shared" si="1871"/>
        <v/>
      </c>
      <c r="DL178" s="30" t="str">
        <f t="shared" si="1872"/>
        <v/>
      </c>
      <c r="DM178" s="30" t="str">
        <f t="shared" si="1873"/>
        <v/>
      </c>
      <c r="DN178" s="30" t="str">
        <f t="shared" si="1874"/>
        <v/>
      </c>
      <c r="DO178" s="30" t="str">
        <f t="shared" si="1875"/>
        <v/>
      </c>
      <c r="DP178" s="30" t="str">
        <f t="shared" si="1876"/>
        <v/>
      </c>
      <c r="DQ178" s="30" t="str">
        <f t="shared" si="1877"/>
        <v/>
      </c>
      <c r="DR178" s="30" t="str">
        <f t="shared" si="1878"/>
        <v/>
      </c>
      <c r="DS178" s="30" t="str">
        <f t="shared" si="1879"/>
        <v/>
      </c>
      <c r="DT178" s="30" t="str">
        <f t="shared" si="1880"/>
        <v/>
      </c>
      <c r="DU178" s="30" t="str">
        <f t="shared" si="1881"/>
        <v/>
      </c>
      <c r="DV178" s="30" t="str">
        <f t="shared" si="1882"/>
        <v/>
      </c>
      <c r="DW178" s="30" t="str">
        <f t="shared" si="1883"/>
        <v/>
      </c>
      <c r="DX178" s="30" t="str">
        <f t="shared" si="1884"/>
        <v/>
      </c>
      <c r="DY178" s="30" t="str">
        <f t="shared" si="1885"/>
        <v/>
      </c>
      <c r="DZ178" s="30" t="str">
        <f t="shared" si="1886"/>
        <v/>
      </c>
      <c r="EA178" s="30" t="str">
        <f t="shared" si="1887"/>
        <v/>
      </c>
      <c r="EB178" s="30" t="str">
        <f t="shared" si="1888"/>
        <v/>
      </c>
      <c r="EC178" s="30" t="str">
        <f t="shared" si="1889"/>
        <v/>
      </c>
      <c r="ED178" s="30" t="str">
        <f t="shared" si="1890"/>
        <v/>
      </c>
      <c r="EE178" s="30" t="str">
        <f t="shared" si="1891"/>
        <v/>
      </c>
      <c r="EF178" s="30" t="str">
        <f t="shared" si="1892"/>
        <v/>
      </c>
      <c r="EG178" s="30" t="str">
        <f t="shared" si="1893"/>
        <v/>
      </c>
      <c r="EH178" s="30" t="str">
        <f t="shared" si="1894"/>
        <v/>
      </c>
      <c r="EI178" s="30" t="str">
        <f t="shared" si="1895"/>
        <v/>
      </c>
      <c r="EJ178" s="30" t="str">
        <f t="shared" si="1896"/>
        <v/>
      </c>
      <c r="EK178" s="30" t="str">
        <f t="shared" si="1897"/>
        <v/>
      </c>
      <c r="EL178" s="30" t="str">
        <f t="shared" si="1898"/>
        <v/>
      </c>
      <c r="EM178" s="30" t="str">
        <f t="shared" si="1899"/>
        <v/>
      </c>
      <c r="EN178" s="30" t="str">
        <f t="shared" si="1900"/>
        <v/>
      </c>
      <c r="EO178" s="30" t="str">
        <f t="shared" si="1901"/>
        <v/>
      </c>
      <c r="EP178" s="30" t="str">
        <f t="shared" si="1902"/>
        <v/>
      </c>
      <c r="EQ178" s="30" t="str">
        <f t="shared" si="1903"/>
        <v/>
      </c>
      <c r="ER178" s="30" t="str">
        <f t="shared" si="1904"/>
        <v/>
      </c>
      <c r="ES178" s="30" t="str">
        <f t="shared" si="1905"/>
        <v/>
      </c>
      <c r="ET178" s="30" t="str">
        <f t="shared" si="1906"/>
        <v/>
      </c>
      <c r="EU178" s="30" t="str">
        <f t="shared" si="1907"/>
        <v/>
      </c>
      <c r="EV178" s="30" t="str">
        <f t="shared" si="1908"/>
        <v/>
      </c>
      <c r="EW178" s="30" t="str">
        <f t="shared" si="1909"/>
        <v/>
      </c>
      <c r="EX178" s="30" t="str">
        <f t="shared" si="1910"/>
        <v/>
      </c>
      <c r="EY178" s="30" t="str">
        <f t="shared" si="1911"/>
        <v/>
      </c>
      <c r="EZ178" s="30" t="str">
        <f t="shared" si="1912"/>
        <v/>
      </c>
      <c r="FA178" s="30" t="str">
        <f t="shared" si="1913"/>
        <v/>
      </c>
      <c r="FB178" s="30" t="str">
        <f t="shared" si="1914"/>
        <v/>
      </c>
      <c r="FC178" s="30" t="str">
        <f t="shared" si="1915"/>
        <v/>
      </c>
      <c r="FD178" s="30" t="str">
        <f t="shared" si="1916"/>
        <v/>
      </c>
      <c r="FE178" s="30" t="str">
        <f t="shared" si="1917"/>
        <v/>
      </c>
      <c r="FF178" s="30" t="str">
        <f t="shared" si="1918"/>
        <v/>
      </c>
      <c r="FG178" s="30" t="str">
        <f t="shared" si="1919"/>
        <v/>
      </c>
      <c r="FH178" s="30" t="str">
        <f t="shared" si="1920"/>
        <v/>
      </c>
      <c r="FI178" s="30" t="str">
        <f t="shared" si="1921"/>
        <v/>
      </c>
      <c r="FJ178" s="30" t="str">
        <f t="shared" si="1922"/>
        <v/>
      </c>
      <c r="FK178" s="30" t="str">
        <f t="shared" si="1923"/>
        <v/>
      </c>
      <c r="FL178" s="30" t="str">
        <f t="shared" si="1924"/>
        <v/>
      </c>
      <c r="FM178" s="30" t="str">
        <f t="shared" si="1925"/>
        <v/>
      </c>
      <c r="FN178" s="30" t="str">
        <f t="shared" si="1926"/>
        <v/>
      </c>
      <c r="FO178" s="30" t="str">
        <f t="shared" si="1927"/>
        <v/>
      </c>
      <c r="FP178" s="30" t="str">
        <f t="shared" si="1928"/>
        <v/>
      </c>
      <c r="FQ178" s="30" t="str">
        <f t="shared" si="1929"/>
        <v/>
      </c>
      <c r="FR178" s="30" t="str">
        <f t="shared" si="1930"/>
        <v/>
      </c>
      <c r="FS178" s="30" t="str">
        <f t="shared" si="1931"/>
        <v/>
      </c>
    </row>
    <row r="179" spans="1:175" ht="16.5">
      <c r="A179" s="5"/>
      <c r="B179" s="6"/>
      <c r="C179" s="5"/>
      <c r="E179" s="35"/>
      <c r="T179" s="105"/>
      <c r="U179" s="32"/>
      <c r="CU179" s="45" t="str">
        <f t="shared" si="1861"/>
        <v>|n</v>
      </c>
      <c r="CW179" s="24"/>
      <c r="CX179" s="24"/>
      <c r="CY179" s="24"/>
      <c r="CZ179" s="24"/>
      <c r="DA179" s="24"/>
      <c r="DB179" s="30" t="str">
        <f t="shared" si="1862"/>
        <v/>
      </c>
      <c r="DC179" s="30" t="str">
        <f t="shared" si="1863"/>
        <v/>
      </c>
      <c r="DD179" s="30" t="str">
        <f t="shared" si="1864"/>
        <v/>
      </c>
      <c r="DE179" s="30" t="str">
        <f t="shared" si="1865"/>
        <v/>
      </c>
      <c r="DF179" s="30" t="str">
        <f t="shared" si="1866"/>
        <v/>
      </c>
      <c r="DG179" s="30" t="str">
        <f t="shared" si="1867"/>
        <v/>
      </c>
      <c r="DH179" s="30" t="str">
        <f t="shared" si="1868"/>
        <v/>
      </c>
      <c r="DI179" s="30" t="str">
        <f t="shared" si="1869"/>
        <v/>
      </c>
      <c r="DJ179" s="30" t="str">
        <f t="shared" si="1870"/>
        <v/>
      </c>
      <c r="DK179" s="30" t="str">
        <f t="shared" si="1871"/>
        <v/>
      </c>
      <c r="DL179" s="30" t="str">
        <f t="shared" si="1872"/>
        <v/>
      </c>
      <c r="DM179" s="30" t="str">
        <f t="shared" si="1873"/>
        <v/>
      </c>
      <c r="DN179" s="30" t="str">
        <f t="shared" si="1874"/>
        <v/>
      </c>
      <c r="DO179" s="30" t="str">
        <f t="shared" si="1875"/>
        <v/>
      </c>
      <c r="DP179" s="30" t="str">
        <f t="shared" si="1876"/>
        <v/>
      </c>
      <c r="DQ179" s="30" t="str">
        <f t="shared" si="1877"/>
        <v/>
      </c>
      <c r="DR179" s="30" t="str">
        <f t="shared" si="1878"/>
        <v/>
      </c>
      <c r="DS179" s="30" t="str">
        <f t="shared" si="1879"/>
        <v/>
      </c>
      <c r="DT179" s="30" t="str">
        <f t="shared" si="1880"/>
        <v/>
      </c>
      <c r="DU179" s="30" t="str">
        <f t="shared" si="1881"/>
        <v/>
      </c>
      <c r="DV179" s="30" t="str">
        <f t="shared" si="1882"/>
        <v/>
      </c>
      <c r="DW179" s="30" t="str">
        <f t="shared" si="1883"/>
        <v/>
      </c>
      <c r="DX179" s="30" t="str">
        <f t="shared" si="1884"/>
        <v/>
      </c>
      <c r="DY179" s="30" t="str">
        <f t="shared" si="1885"/>
        <v/>
      </c>
      <c r="DZ179" s="30" t="str">
        <f t="shared" si="1886"/>
        <v/>
      </c>
      <c r="EA179" s="30" t="str">
        <f t="shared" si="1887"/>
        <v/>
      </c>
      <c r="EB179" s="30" t="str">
        <f t="shared" si="1888"/>
        <v/>
      </c>
      <c r="EC179" s="30" t="str">
        <f t="shared" si="1889"/>
        <v/>
      </c>
      <c r="ED179" s="30" t="str">
        <f t="shared" si="1890"/>
        <v/>
      </c>
      <c r="EE179" s="30" t="str">
        <f t="shared" si="1891"/>
        <v/>
      </c>
      <c r="EF179" s="30" t="str">
        <f t="shared" si="1892"/>
        <v/>
      </c>
      <c r="EG179" s="30" t="str">
        <f t="shared" si="1893"/>
        <v/>
      </c>
      <c r="EH179" s="30" t="str">
        <f t="shared" si="1894"/>
        <v/>
      </c>
      <c r="EI179" s="30" t="str">
        <f t="shared" si="1895"/>
        <v/>
      </c>
      <c r="EJ179" s="30" t="str">
        <f t="shared" si="1896"/>
        <v/>
      </c>
      <c r="EK179" s="30" t="str">
        <f t="shared" si="1897"/>
        <v/>
      </c>
      <c r="EL179" s="30" t="str">
        <f t="shared" si="1898"/>
        <v/>
      </c>
      <c r="EM179" s="30" t="str">
        <f t="shared" si="1899"/>
        <v/>
      </c>
      <c r="EN179" s="30" t="str">
        <f t="shared" si="1900"/>
        <v/>
      </c>
      <c r="EO179" s="30" t="str">
        <f t="shared" si="1901"/>
        <v/>
      </c>
      <c r="EP179" s="30" t="str">
        <f t="shared" si="1902"/>
        <v/>
      </c>
      <c r="EQ179" s="30" t="str">
        <f t="shared" si="1903"/>
        <v/>
      </c>
      <c r="ER179" s="30" t="str">
        <f t="shared" si="1904"/>
        <v/>
      </c>
      <c r="ES179" s="30" t="str">
        <f t="shared" si="1905"/>
        <v/>
      </c>
      <c r="ET179" s="30" t="str">
        <f t="shared" si="1906"/>
        <v/>
      </c>
      <c r="EU179" s="30" t="str">
        <f t="shared" si="1907"/>
        <v/>
      </c>
      <c r="EV179" s="30" t="str">
        <f t="shared" si="1908"/>
        <v/>
      </c>
      <c r="EW179" s="30" t="str">
        <f t="shared" si="1909"/>
        <v/>
      </c>
      <c r="EX179" s="30" t="str">
        <f t="shared" si="1910"/>
        <v/>
      </c>
      <c r="EY179" s="30" t="str">
        <f t="shared" si="1911"/>
        <v/>
      </c>
      <c r="EZ179" s="30" t="str">
        <f t="shared" si="1912"/>
        <v/>
      </c>
      <c r="FA179" s="30" t="str">
        <f t="shared" si="1913"/>
        <v/>
      </c>
      <c r="FB179" s="30" t="str">
        <f t="shared" si="1914"/>
        <v/>
      </c>
      <c r="FC179" s="30" t="str">
        <f t="shared" si="1915"/>
        <v/>
      </c>
      <c r="FD179" s="30" t="str">
        <f t="shared" si="1916"/>
        <v/>
      </c>
      <c r="FE179" s="30" t="str">
        <f t="shared" si="1917"/>
        <v/>
      </c>
      <c r="FF179" s="30" t="str">
        <f t="shared" si="1918"/>
        <v/>
      </c>
      <c r="FG179" s="30" t="str">
        <f t="shared" si="1919"/>
        <v/>
      </c>
      <c r="FH179" s="30" t="str">
        <f t="shared" si="1920"/>
        <v/>
      </c>
      <c r="FI179" s="30" t="str">
        <f t="shared" si="1921"/>
        <v/>
      </c>
      <c r="FJ179" s="30" t="str">
        <f t="shared" si="1922"/>
        <v/>
      </c>
      <c r="FK179" s="30" t="str">
        <f t="shared" si="1923"/>
        <v/>
      </c>
      <c r="FL179" s="30" t="str">
        <f t="shared" si="1924"/>
        <v/>
      </c>
      <c r="FM179" s="30" t="str">
        <f t="shared" si="1925"/>
        <v/>
      </c>
      <c r="FN179" s="30" t="str">
        <f t="shared" si="1926"/>
        <v/>
      </c>
      <c r="FO179" s="30" t="str">
        <f t="shared" si="1927"/>
        <v/>
      </c>
      <c r="FP179" s="30" t="str">
        <f t="shared" si="1928"/>
        <v/>
      </c>
      <c r="FQ179" s="30" t="str">
        <f t="shared" si="1929"/>
        <v/>
      </c>
      <c r="FR179" s="30" t="str">
        <f t="shared" si="1930"/>
        <v/>
      </c>
      <c r="FS179" s="30" t="str">
        <f t="shared" si="1931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1861"/>
        <v>|n</v>
      </c>
      <c r="CW180" s="24"/>
      <c r="CX180" s="24"/>
      <c r="CY180" s="24"/>
      <c r="CZ180" s="24"/>
      <c r="DA180" s="24"/>
      <c r="DB180" s="30" t="str">
        <f t="shared" si="1862"/>
        <v/>
      </c>
      <c r="DC180" s="30" t="str">
        <f t="shared" si="1863"/>
        <v/>
      </c>
      <c r="DD180" s="30" t="str">
        <f t="shared" si="1864"/>
        <v/>
      </c>
      <c r="DE180" s="30" t="str">
        <f t="shared" si="1865"/>
        <v/>
      </c>
      <c r="DF180" s="30" t="str">
        <f t="shared" si="1866"/>
        <v/>
      </c>
      <c r="DG180" s="30" t="str">
        <f t="shared" si="1867"/>
        <v/>
      </c>
      <c r="DH180" s="30" t="str">
        <f t="shared" si="1868"/>
        <v/>
      </c>
      <c r="DI180" s="30" t="str">
        <f t="shared" si="1869"/>
        <v/>
      </c>
      <c r="DJ180" s="30" t="str">
        <f t="shared" si="1870"/>
        <v/>
      </c>
      <c r="DK180" s="30" t="str">
        <f t="shared" si="1871"/>
        <v/>
      </c>
      <c r="DL180" s="30" t="str">
        <f t="shared" si="1872"/>
        <v/>
      </c>
      <c r="DM180" s="30" t="str">
        <f t="shared" si="1873"/>
        <v/>
      </c>
      <c r="DN180" s="30" t="str">
        <f t="shared" si="1874"/>
        <v/>
      </c>
      <c r="DO180" s="30" t="str">
        <f t="shared" si="1875"/>
        <v/>
      </c>
      <c r="DP180" s="30" t="str">
        <f t="shared" si="1876"/>
        <v/>
      </c>
      <c r="DQ180" s="30" t="str">
        <f t="shared" si="1877"/>
        <v/>
      </c>
      <c r="DR180" s="30" t="str">
        <f t="shared" si="1878"/>
        <v/>
      </c>
      <c r="DS180" s="30" t="str">
        <f t="shared" si="1879"/>
        <v/>
      </c>
      <c r="DT180" s="30" t="str">
        <f t="shared" si="1880"/>
        <v/>
      </c>
      <c r="DU180" s="30" t="str">
        <f t="shared" si="1881"/>
        <v/>
      </c>
      <c r="DV180" s="30" t="str">
        <f t="shared" si="1882"/>
        <v/>
      </c>
      <c r="DW180" s="30" t="str">
        <f t="shared" si="1883"/>
        <v/>
      </c>
      <c r="DX180" s="30" t="str">
        <f t="shared" si="1884"/>
        <v/>
      </c>
      <c r="DY180" s="30" t="str">
        <f t="shared" si="1885"/>
        <v/>
      </c>
      <c r="DZ180" s="30" t="str">
        <f t="shared" si="1886"/>
        <v/>
      </c>
      <c r="EA180" s="30" t="str">
        <f t="shared" si="1887"/>
        <v/>
      </c>
      <c r="EB180" s="30" t="str">
        <f t="shared" si="1888"/>
        <v/>
      </c>
      <c r="EC180" s="30" t="str">
        <f t="shared" si="1889"/>
        <v/>
      </c>
      <c r="ED180" s="30" t="str">
        <f t="shared" si="1890"/>
        <v/>
      </c>
      <c r="EE180" s="30" t="str">
        <f t="shared" si="1891"/>
        <v/>
      </c>
      <c r="EF180" s="30" t="str">
        <f t="shared" si="1892"/>
        <v/>
      </c>
      <c r="EG180" s="30" t="str">
        <f t="shared" si="1893"/>
        <v/>
      </c>
      <c r="EH180" s="30" t="str">
        <f t="shared" si="1894"/>
        <v/>
      </c>
      <c r="EI180" s="30" t="str">
        <f t="shared" si="1895"/>
        <v/>
      </c>
      <c r="EJ180" s="30" t="str">
        <f t="shared" si="1896"/>
        <v/>
      </c>
      <c r="EK180" s="30" t="str">
        <f t="shared" si="1897"/>
        <v/>
      </c>
      <c r="EL180" s="30" t="str">
        <f t="shared" si="1898"/>
        <v/>
      </c>
      <c r="EM180" s="30" t="str">
        <f t="shared" si="1899"/>
        <v/>
      </c>
      <c r="EN180" s="30" t="str">
        <f t="shared" si="1900"/>
        <v/>
      </c>
      <c r="EO180" s="30" t="str">
        <f t="shared" si="1901"/>
        <v/>
      </c>
      <c r="EP180" s="30" t="str">
        <f t="shared" si="1902"/>
        <v/>
      </c>
      <c r="EQ180" s="30" t="str">
        <f t="shared" si="1903"/>
        <v/>
      </c>
      <c r="ER180" s="30" t="str">
        <f t="shared" si="1904"/>
        <v/>
      </c>
      <c r="ES180" s="30" t="str">
        <f t="shared" si="1905"/>
        <v/>
      </c>
      <c r="ET180" s="30" t="str">
        <f t="shared" si="1906"/>
        <v/>
      </c>
      <c r="EU180" s="30" t="str">
        <f t="shared" si="1907"/>
        <v/>
      </c>
      <c r="EV180" s="30" t="str">
        <f t="shared" si="1908"/>
        <v/>
      </c>
      <c r="EW180" s="30" t="str">
        <f t="shared" si="1909"/>
        <v/>
      </c>
      <c r="EX180" s="30" t="str">
        <f t="shared" si="1910"/>
        <v/>
      </c>
      <c r="EY180" s="30" t="str">
        <f t="shared" si="1911"/>
        <v/>
      </c>
      <c r="EZ180" s="30" t="str">
        <f t="shared" si="1912"/>
        <v/>
      </c>
      <c r="FA180" s="30" t="str">
        <f t="shared" si="1913"/>
        <v/>
      </c>
      <c r="FB180" s="30" t="str">
        <f t="shared" si="1914"/>
        <v/>
      </c>
      <c r="FC180" s="30" t="str">
        <f t="shared" si="1915"/>
        <v/>
      </c>
      <c r="FD180" s="30" t="str">
        <f t="shared" si="1916"/>
        <v/>
      </c>
      <c r="FE180" s="30" t="str">
        <f t="shared" si="1917"/>
        <v/>
      </c>
      <c r="FF180" s="30" t="str">
        <f t="shared" si="1918"/>
        <v/>
      </c>
      <c r="FG180" s="30" t="str">
        <f t="shared" si="1919"/>
        <v/>
      </c>
      <c r="FH180" s="30" t="str">
        <f t="shared" si="1920"/>
        <v/>
      </c>
      <c r="FI180" s="30" t="str">
        <f t="shared" si="1921"/>
        <v/>
      </c>
      <c r="FJ180" s="30" t="str">
        <f t="shared" si="1922"/>
        <v/>
      </c>
      <c r="FK180" s="30" t="str">
        <f t="shared" si="1923"/>
        <v/>
      </c>
      <c r="FL180" s="30" t="str">
        <f t="shared" si="1924"/>
        <v/>
      </c>
      <c r="FM180" s="30" t="str">
        <f t="shared" si="1925"/>
        <v/>
      </c>
      <c r="FN180" s="30" t="str">
        <f t="shared" si="1926"/>
        <v/>
      </c>
      <c r="FO180" s="30" t="str">
        <f t="shared" si="1927"/>
        <v/>
      </c>
      <c r="FP180" s="30" t="str">
        <f t="shared" si="1928"/>
        <v/>
      </c>
      <c r="FQ180" s="30" t="str">
        <f t="shared" si="1929"/>
        <v/>
      </c>
      <c r="FR180" s="30" t="str">
        <f t="shared" si="1930"/>
        <v/>
      </c>
      <c r="FS180" s="30" t="str">
        <f t="shared" si="1931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1861"/>
        <v>|n</v>
      </c>
      <c r="CW181" s="24"/>
      <c r="CX181" s="24"/>
      <c r="CY181" s="24"/>
      <c r="CZ181" s="24"/>
      <c r="DA181" s="24"/>
      <c r="DB181" s="30" t="str">
        <f t="shared" si="1862"/>
        <v/>
      </c>
      <c r="DC181" s="30" t="str">
        <f t="shared" si="1863"/>
        <v/>
      </c>
      <c r="DD181" s="30" t="str">
        <f t="shared" si="1864"/>
        <v/>
      </c>
      <c r="DE181" s="30" t="str">
        <f t="shared" si="1865"/>
        <v/>
      </c>
      <c r="DF181" s="30" t="str">
        <f t="shared" si="1866"/>
        <v/>
      </c>
      <c r="DG181" s="30" t="str">
        <f t="shared" si="1867"/>
        <v/>
      </c>
      <c r="DH181" s="30" t="str">
        <f t="shared" si="1868"/>
        <v/>
      </c>
      <c r="DI181" s="30" t="str">
        <f t="shared" si="1869"/>
        <v/>
      </c>
      <c r="DJ181" s="30" t="str">
        <f t="shared" si="1870"/>
        <v/>
      </c>
      <c r="DK181" s="30" t="str">
        <f t="shared" si="1871"/>
        <v/>
      </c>
      <c r="DL181" s="30" t="str">
        <f t="shared" si="1872"/>
        <v/>
      </c>
      <c r="DM181" s="30" t="str">
        <f t="shared" si="1873"/>
        <v/>
      </c>
      <c r="DN181" s="30" t="str">
        <f t="shared" si="1874"/>
        <v/>
      </c>
      <c r="DO181" s="30" t="str">
        <f t="shared" si="1875"/>
        <v/>
      </c>
      <c r="DP181" s="30" t="str">
        <f t="shared" si="1876"/>
        <v/>
      </c>
      <c r="DQ181" s="30" t="str">
        <f t="shared" si="1877"/>
        <v/>
      </c>
      <c r="DR181" s="30" t="str">
        <f t="shared" si="1878"/>
        <v/>
      </c>
      <c r="DS181" s="30" t="str">
        <f t="shared" si="1879"/>
        <v/>
      </c>
      <c r="DT181" s="30" t="str">
        <f t="shared" si="1880"/>
        <v/>
      </c>
      <c r="DU181" s="30" t="str">
        <f t="shared" si="1881"/>
        <v/>
      </c>
      <c r="DV181" s="30" t="str">
        <f t="shared" si="1882"/>
        <v/>
      </c>
      <c r="DW181" s="30" t="str">
        <f t="shared" si="1883"/>
        <v/>
      </c>
      <c r="DX181" s="30" t="str">
        <f t="shared" si="1884"/>
        <v/>
      </c>
      <c r="DY181" s="30" t="str">
        <f t="shared" si="1885"/>
        <v/>
      </c>
      <c r="DZ181" s="30" t="str">
        <f t="shared" si="1886"/>
        <v/>
      </c>
      <c r="EA181" s="30" t="str">
        <f t="shared" si="1887"/>
        <v/>
      </c>
      <c r="EB181" s="30" t="str">
        <f t="shared" si="1888"/>
        <v/>
      </c>
      <c r="EC181" s="30" t="str">
        <f t="shared" si="1889"/>
        <v/>
      </c>
      <c r="ED181" s="30" t="str">
        <f t="shared" si="1890"/>
        <v/>
      </c>
      <c r="EE181" s="30" t="str">
        <f t="shared" si="1891"/>
        <v/>
      </c>
      <c r="EF181" s="30" t="str">
        <f t="shared" si="1892"/>
        <v/>
      </c>
      <c r="EG181" s="30" t="str">
        <f t="shared" si="1893"/>
        <v/>
      </c>
      <c r="EH181" s="30" t="str">
        <f t="shared" si="1894"/>
        <v/>
      </c>
      <c r="EI181" s="30" t="str">
        <f t="shared" si="1895"/>
        <v/>
      </c>
      <c r="EJ181" s="30" t="str">
        <f t="shared" si="1896"/>
        <v/>
      </c>
      <c r="EK181" s="30" t="str">
        <f t="shared" si="1897"/>
        <v/>
      </c>
      <c r="EL181" s="30" t="str">
        <f t="shared" si="1898"/>
        <v/>
      </c>
      <c r="EM181" s="30" t="str">
        <f t="shared" si="1899"/>
        <v/>
      </c>
      <c r="EN181" s="30" t="str">
        <f t="shared" si="1900"/>
        <v/>
      </c>
      <c r="EO181" s="30" t="str">
        <f t="shared" si="1901"/>
        <v/>
      </c>
      <c r="EP181" s="30" t="str">
        <f t="shared" si="1902"/>
        <v/>
      </c>
      <c r="EQ181" s="30" t="str">
        <f t="shared" si="1903"/>
        <v/>
      </c>
      <c r="ER181" s="30" t="str">
        <f t="shared" si="1904"/>
        <v/>
      </c>
      <c r="ES181" s="30" t="str">
        <f t="shared" si="1905"/>
        <v/>
      </c>
      <c r="ET181" s="30" t="str">
        <f t="shared" si="1906"/>
        <v/>
      </c>
      <c r="EU181" s="30" t="str">
        <f t="shared" si="1907"/>
        <v/>
      </c>
      <c r="EV181" s="30" t="str">
        <f t="shared" si="1908"/>
        <v/>
      </c>
      <c r="EW181" s="30" t="str">
        <f t="shared" si="1909"/>
        <v/>
      </c>
      <c r="EX181" s="30" t="str">
        <f t="shared" si="1910"/>
        <v/>
      </c>
      <c r="EY181" s="30" t="str">
        <f t="shared" si="1911"/>
        <v/>
      </c>
      <c r="EZ181" s="30" t="str">
        <f t="shared" si="1912"/>
        <v/>
      </c>
      <c r="FA181" s="30" t="str">
        <f t="shared" si="1913"/>
        <v/>
      </c>
      <c r="FB181" s="30" t="str">
        <f t="shared" si="1914"/>
        <v/>
      </c>
      <c r="FC181" s="30" t="str">
        <f t="shared" si="1915"/>
        <v/>
      </c>
      <c r="FD181" s="30" t="str">
        <f t="shared" si="1916"/>
        <v/>
      </c>
      <c r="FE181" s="30" t="str">
        <f t="shared" si="1917"/>
        <v/>
      </c>
      <c r="FF181" s="30" t="str">
        <f t="shared" si="1918"/>
        <v/>
      </c>
      <c r="FG181" s="30" t="str">
        <f t="shared" si="1919"/>
        <v/>
      </c>
      <c r="FH181" s="30" t="str">
        <f t="shared" si="1920"/>
        <v/>
      </c>
      <c r="FI181" s="30" t="str">
        <f t="shared" si="1921"/>
        <v/>
      </c>
      <c r="FJ181" s="30" t="str">
        <f t="shared" si="1922"/>
        <v/>
      </c>
      <c r="FK181" s="30" t="str">
        <f t="shared" si="1923"/>
        <v/>
      </c>
      <c r="FL181" s="30" t="str">
        <f t="shared" si="1924"/>
        <v/>
      </c>
      <c r="FM181" s="30" t="str">
        <f t="shared" si="1925"/>
        <v/>
      </c>
      <c r="FN181" s="30" t="str">
        <f t="shared" si="1926"/>
        <v/>
      </c>
      <c r="FO181" s="30" t="str">
        <f t="shared" si="1927"/>
        <v/>
      </c>
      <c r="FP181" s="30" t="str">
        <f t="shared" si="1928"/>
        <v/>
      </c>
      <c r="FQ181" s="30" t="str">
        <f t="shared" si="1929"/>
        <v/>
      </c>
      <c r="FR181" s="30" t="str">
        <f t="shared" si="1930"/>
        <v/>
      </c>
      <c r="FS181" s="30" t="str">
        <f t="shared" si="1931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1861"/>
        <v>|n</v>
      </c>
      <c r="CW182" s="24"/>
      <c r="CX182" s="24"/>
      <c r="CY182" s="24"/>
      <c r="CZ182" s="24"/>
      <c r="DA182" s="24"/>
      <c r="DB182" s="30" t="str">
        <f t="shared" si="1862"/>
        <v/>
      </c>
      <c r="DC182" s="30" t="str">
        <f t="shared" si="1863"/>
        <v/>
      </c>
      <c r="DD182" s="30" t="str">
        <f t="shared" si="1864"/>
        <v/>
      </c>
      <c r="DE182" s="30" t="str">
        <f t="shared" si="1865"/>
        <v/>
      </c>
      <c r="DF182" s="30" t="str">
        <f t="shared" si="1866"/>
        <v/>
      </c>
      <c r="DG182" s="30" t="str">
        <f t="shared" si="1867"/>
        <v/>
      </c>
      <c r="DH182" s="30" t="str">
        <f t="shared" si="1868"/>
        <v/>
      </c>
      <c r="DI182" s="30" t="str">
        <f t="shared" si="1869"/>
        <v/>
      </c>
      <c r="DJ182" s="30" t="str">
        <f t="shared" si="1870"/>
        <v/>
      </c>
      <c r="DK182" s="30" t="str">
        <f t="shared" si="1871"/>
        <v/>
      </c>
      <c r="DL182" s="30" t="str">
        <f t="shared" si="1872"/>
        <v/>
      </c>
      <c r="DM182" s="30" t="str">
        <f t="shared" si="1873"/>
        <v/>
      </c>
      <c r="DN182" s="30" t="str">
        <f t="shared" si="1874"/>
        <v/>
      </c>
      <c r="DO182" s="30" t="str">
        <f t="shared" si="1875"/>
        <v/>
      </c>
      <c r="DP182" s="30" t="str">
        <f t="shared" si="1876"/>
        <v/>
      </c>
      <c r="DQ182" s="30" t="str">
        <f t="shared" si="1877"/>
        <v/>
      </c>
      <c r="DR182" s="30" t="str">
        <f t="shared" si="1878"/>
        <v/>
      </c>
      <c r="DS182" s="30" t="str">
        <f t="shared" si="1879"/>
        <v/>
      </c>
      <c r="DT182" s="30" t="str">
        <f t="shared" si="1880"/>
        <v/>
      </c>
      <c r="DU182" s="30" t="str">
        <f t="shared" si="1881"/>
        <v/>
      </c>
      <c r="DV182" s="30" t="str">
        <f t="shared" si="1882"/>
        <v/>
      </c>
      <c r="DW182" s="30" t="str">
        <f t="shared" si="1883"/>
        <v/>
      </c>
      <c r="DX182" s="30" t="str">
        <f t="shared" si="1884"/>
        <v/>
      </c>
      <c r="DY182" s="30" t="str">
        <f t="shared" si="1885"/>
        <v/>
      </c>
      <c r="DZ182" s="30" t="str">
        <f t="shared" si="1886"/>
        <v/>
      </c>
      <c r="EA182" s="30" t="str">
        <f t="shared" si="1887"/>
        <v/>
      </c>
      <c r="EB182" s="30" t="str">
        <f t="shared" si="1888"/>
        <v/>
      </c>
      <c r="EC182" s="30" t="str">
        <f t="shared" si="1889"/>
        <v/>
      </c>
      <c r="ED182" s="30" t="str">
        <f t="shared" si="1890"/>
        <v/>
      </c>
      <c r="EE182" s="30" t="str">
        <f t="shared" si="1891"/>
        <v/>
      </c>
      <c r="EF182" s="30" t="str">
        <f t="shared" si="1892"/>
        <v/>
      </c>
      <c r="EG182" s="30" t="str">
        <f t="shared" si="1893"/>
        <v/>
      </c>
      <c r="EH182" s="30" t="str">
        <f t="shared" si="1894"/>
        <v/>
      </c>
      <c r="EI182" s="30" t="str">
        <f t="shared" si="1895"/>
        <v/>
      </c>
      <c r="EJ182" s="30" t="str">
        <f t="shared" si="1896"/>
        <v/>
      </c>
      <c r="EK182" s="30" t="str">
        <f t="shared" si="1897"/>
        <v/>
      </c>
      <c r="EL182" s="30" t="str">
        <f t="shared" si="1898"/>
        <v/>
      </c>
      <c r="EM182" s="30" t="str">
        <f t="shared" si="1899"/>
        <v/>
      </c>
      <c r="EN182" s="30" t="str">
        <f t="shared" si="1900"/>
        <v/>
      </c>
      <c r="EO182" s="30" t="str">
        <f t="shared" si="1901"/>
        <v/>
      </c>
      <c r="EP182" s="30" t="str">
        <f t="shared" si="1902"/>
        <v/>
      </c>
      <c r="EQ182" s="30" t="str">
        <f t="shared" si="1903"/>
        <v/>
      </c>
      <c r="ER182" s="30" t="str">
        <f t="shared" si="1904"/>
        <v/>
      </c>
      <c r="ES182" s="30" t="str">
        <f t="shared" si="1905"/>
        <v/>
      </c>
      <c r="ET182" s="30" t="str">
        <f t="shared" si="1906"/>
        <v/>
      </c>
      <c r="EU182" s="30" t="str">
        <f t="shared" si="1907"/>
        <v/>
      </c>
      <c r="EV182" s="30" t="str">
        <f t="shared" si="1908"/>
        <v/>
      </c>
      <c r="EW182" s="30" t="str">
        <f t="shared" si="1909"/>
        <v/>
      </c>
      <c r="EX182" s="30" t="str">
        <f t="shared" si="1910"/>
        <v/>
      </c>
      <c r="EY182" s="30" t="str">
        <f t="shared" si="1911"/>
        <v/>
      </c>
      <c r="EZ182" s="30" t="str">
        <f t="shared" si="1912"/>
        <v/>
      </c>
      <c r="FA182" s="30" t="str">
        <f t="shared" si="1913"/>
        <v/>
      </c>
      <c r="FB182" s="30" t="str">
        <f t="shared" si="1914"/>
        <v/>
      </c>
      <c r="FC182" s="30" t="str">
        <f t="shared" si="1915"/>
        <v/>
      </c>
      <c r="FD182" s="30" t="str">
        <f t="shared" si="1916"/>
        <v/>
      </c>
      <c r="FE182" s="30" t="str">
        <f t="shared" si="1917"/>
        <v/>
      </c>
      <c r="FF182" s="30" t="str">
        <f t="shared" si="1918"/>
        <v/>
      </c>
      <c r="FG182" s="30" t="str">
        <f t="shared" si="1919"/>
        <v/>
      </c>
      <c r="FH182" s="30" t="str">
        <f t="shared" si="1920"/>
        <v/>
      </c>
      <c r="FI182" s="30" t="str">
        <f t="shared" si="1921"/>
        <v/>
      </c>
      <c r="FJ182" s="30" t="str">
        <f t="shared" si="1922"/>
        <v/>
      </c>
      <c r="FK182" s="30" t="str">
        <f t="shared" si="1923"/>
        <v/>
      </c>
      <c r="FL182" s="30" t="str">
        <f t="shared" si="1924"/>
        <v/>
      </c>
      <c r="FM182" s="30" t="str">
        <f t="shared" si="1925"/>
        <v/>
      </c>
      <c r="FN182" s="30" t="str">
        <f t="shared" si="1926"/>
        <v/>
      </c>
      <c r="FO182" s="30" t="str">
        <f t="shared" si="1927"/>
        <v/>
      </c>
      <c r="FP182" s="30" t="str">
        <f t="shared" si="1928"/>
        <v/>
      </c>
      <c r="FQ182" s="30" t="str">
        <f t="shared" si="1929"/>
        <v/>
      </c>
      <c r="FR182" s="30" t="str">
        <f t="shared" si="1930"/>
        <v/>
      </c>
      <c r="FS182" s="30" t="str">
        <f t="shared" si="1931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1861"/>
        <v>|n</v>
      </c>
      <c r="CW183" s="24"/>
      <c r="CX183" s="24"/>
      <c r="CY183" s="24"/>
      <c r="CZ183" s="24"/>
      <c r="DA183" s="24"/>
      <c r="DB183" s="30" t="str">
        <f t="shared" si="1862"/>
        <v/>
      </c>
      <c r="DC183" s="30" t="str">
        <f t="shared" si="1863"/>
        <v/>
      </c>
      <c r="DD183" s="30" t="str">
        <f t="shared" si="1864"/>
        <v/>
      </c>
      <c r="DE183" s="30" t="str">
        <f t="shared" si="1865"/>
        <v/>
      </c>
      <c r="DF183" s="30" t="str">
        <f t="shared" si="1866"/>
        <v/>
      </c>
      <c r="DG183" s="30" t="str">
        <f t="shared" si="1867"/>
        <v/>
      </c>
      <c r="DH183" s="30" t="str">
        <f t="shared" si="1868"/>
        <v/>
      </c>
      <c r="DI183" s="30" t="str">
        <f t="shared" si="1869"/>
        <v/>
      </c>
      <c r="DJ183" s="30" t="str">
        <f t="shared" si="1870"/>
        <v/>
      </c>
      <c r="DK183" s="30" t="str">
        <f t="shared" si="1871"/>
        <v/>
      </c>
      <c r="DL183" s="30" t="str">
        <f t="shared" si="1872"/>
        <v/>
      </c>
      <c r="DM183" s="30" t="str">
        <f t="shared" si="1873"/>
        <v/>
      </c>
      <c r="DN183" s="30" t="str">
        <f t="shared" si="1874"/>
        <v/>
      </c>
      <c r="DO183" s="30" t="str">
        <f t="shared" si="1875"/>
        <v/>
      </c>
      <c r="DP183" s="30" t="str">
        <f t="shared" si="1876"/>
        <v/>
      </c>
      <c r="DQ183" s="30" t="str">
        <f t="shared" si="1877"/>
        <v/>
      </c>
      <c r="DR183" s="30" t="str">
        <f t="shared" si="1878"/>
        <v/>
      </c>
      <c r="DS183" s="30" t="str">
        <f t="shared" si="1879"/>
        <v/>
      </c>
      <c r="DT183" s="30" t="str">
        <f t="shared" si="1880"/>
        <v/>
      </c>
      <c r="DU183" s="30" t="str">
        <f t="shared" si="1881"/>
        <v/>
      </c>
      <c r="DV183" s="30" t="str">
        <f t="shared" si="1882"/>
        <v/>
      </c>
      <c r="DW183" s="30" t="str">
        <f t="shared" si="1883"/>
        <v/>
      </c>
      <c r="DX183" s="30" t="str">
        <f t="shared" si="1884"/>
        <v/>
      </c>
      <c r="DY183" s="30" t="str">
        <f t="shared" si="1885"/>
        <v/>
      </c>
      <c r="DZ183" s="30" t="str">
        <f t="shared" si="1886"/>
        <v/>
      </c>
      <c r="EA183" s="30" t="str">
        <f t="shared" si="1887"/>
        <v/>
      </c>
      <c r="EB183" s="30" t="str">
        <f t="shared" si="1888"/>
        <v/>
      </c>
      <c r="EC183" s="30" t="str">
        <f t="shared" si="1889"/>
        <v/>
      </c>
      <c r="ED183" s="30" t="str">
        <f t="shared" si="1890"/>
        <v/>
      </c>
      <c r="EE183" s="30" t="str">
        <f t="shared" si="1891"/>
        <v/>
      </c>
      <c r="EF183" s="30" t="str">
        <f t="shared" si="1892"/>
        <v/>
      </c>
      <c r="EG183" s="30" t="str">
        <f t="shared" si="1893"/>
        <v/>
      </c>
      <c r="EH183" s="30" t="str">
        <f t="shared" si="1894"/>
        <v/>
      </c>
      <c r="EI183" s="30" t="str">
        <f t="shared" si="1895"/>
        <v/>
      </c>
      <c r="EJ183" s="30" t="str">
        <f t="shared" si="1896"/>
        <v/>
      </c>
      <c r="EK183" s="30" t="str">
        <f t="shared" si="1897"/>
        <v/>
      </c>
      <c r="EL183" s="30" t="str">
        <f t="shared" si="1898"/>
        <v/>
      </c>
      <c r="EM183" s="30" t="str">
        <f t="shared" si="1899"/>
        <v/>
      </c>
      <c r="EN183" s="30" t="str">
        <f t="shared" si="1900"/>
        <v/>
      </c>
      <c r="EO183" s="30" t="str">
        <f t="shared" si="1901"/>
        <v/>
      </c>
      <c r="EP183" s="30" t="str">
        <f t="shared" si="1902"/>
        <v/>
      </c>
      <c r="EQ183" s="30" t="str">
        <f t="shared" si="1903"/>
        <v/>
      </c>
      <c r="ER183" s="30" t="str">
        <f t="shared" si="1904"/>
        <v/>
      </c>
      <c r="ES183" s="30" t="str">
        <f t="shared" si="1905"/>
        <v/>
      </c>
      <c r="ET183" s="30" t="str">
        <f t="shared" si="1906"/>
        <v/>
      </c>
      <c r="EU183" s="30" t="str">
        <f t="shared" si="1907"/>
        <v/>
      </c>
      <c r="EV183" s="30" t="str">
        <f t="shared" si="1908"/>
        <v/>
      </c>
      <c r="EW183" s="30" t="str">
        <f t="shared" si="1909"/>
        <v/>
      </c>
      <c r="EX183" s="30" t="str">
        <f t="shared" si="1910"/>
        <v/>
      </c>
      <c r="EY183" s="30" t="str">
        <f t="shared" si="1911"/>
        <v/>
      </c>
      <c r="EZ183" s="30" t="str">
        <f t="shared" si="1912"/>
        <v/>
      </c>
      <c r="FA183" s="30" t="str">
        <f t="shared" si="1913"/>
        <v/>
      </c>
      <c r="FB183" s="30" t="str">
        <f t="shared" si="1914"/>
        <v/>
      </c>
      <c r="FC183" s="30" t="str">
        <f t="shared" si="1915"/>
        <v/>
      </c>
      <c r="FD183" s="30" t="str">
        <f t="shared" si="1916"/>
        <v/>
      </c>
      <c r="FE183" s="30" t="str">
        <f t="shared" si="1917"/>
        <v/>
      </c>
      <c r="FF183" s="30" t="str">
        <f t="shared" si="1918"/>
        <v/>
      </c>
      <c r="FG183" s="30" t="str">
        <f t="shared" si="1919"/>
        <v/>
      </c>
      <c r="FH183" s="30" t="str">
        <f t="shared" si="1920"/>
        <v/>
      </c>
      <c r="FI183" s="30" t="str">
        <f t="shared" si="1921"/>
        <v/>
      </c>
      <c r="FJ183" s="30" t="str">
        <f t="shared" si="1922"/>
        <v/>
      </c>
      <c r="FK183" s="30" t="str">
        <f t="shared" si="1923"/>
        <v/>
      </c>
      <c r="FL183" s="30" t="str">
        <f t="shared" si="1924"/>
        <v/>
      </c>
      <c r="FM183" s="30" t="str">
        <f t="shared" si="1925"/>
        <v/>
      </c>
      <c r="FN183" s="30" t="str">
        <f t="shared" si="1926"/>
        <v/>
      </c>
      <c r="FO183" s="30" t="str">
        <f t="shared" si="1927"/>
        <v/>
      </c>
      <c r="FP183" s="30" t="str">
        <f t="shared" si="1928"/>
        <v/>
      </c>
      <c r="FQ183" s="30" t="str">
        <f t="shared" si="1929"/>
        <v/>
      </c>
      <c r="FR183" s="30" t="str">
        <f t="shared" si="1930"/>
        <v/>
      </c>
      <c r="FS183" s="30" t="str">
        <f t="shared" si="1931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1861"/>
        <v>|n</v>
      </c>
      <c r="CW184" s="24"/>
      <c r="CX184" s="24"/>
      <c r="CY184" s="24"/>
      <c r="CZ184" s="24"/>
      <c r="DA184" s="24"/>
      <c r="DB184" s="30" t="str">
        <f t="shared" si="1862"/>
        <v/>
      </c>
      <c r="DC184" s="30" t="str">
        <f t="shared" si="1863"/>
        <v/>
      </c>
      <c r="DD184" s="30" t="str">
        <f t="shared" si="1864"/>
        <v/>
      </c>
      <c r="DE184" s="30" t="str">
        <f t="shared" si="1865"/>
        <v/>
      </c>
      <c r="DF184" s="30" t="str">
        <f t="shared" si="1866"/>
        <v/>
      </c>
      <c r="DG184" s="30" t="str">
        <f t="shared" si="1867"/>
        <v/>
      </c>
      <c r="DH184" s="30" t="str">
        <f t="shared" si="1868"/>
        <v/>
      </c>
      <c r="DI184" s="30" t="str">
        <f t="shared" si="1869"/>
        <v/>
      </c>
      <c r="DJ184" s="30" t="str">
        <f t="shared" si="1870"/>
        <v/>
      </c>
      <c r="DK184" s="30" t="str">
        <f t="shared" si="1871"/>
        <v/>
      </c>
      <c r="DL184" s="30" t="str">
        <f t="shared" si="1872"/>
        <v/>
      </c>
      <c r="DM184" s="30" t="str">
        <f t="shared" si="1873"/>
        <v/>
      </c>
      <c r="DN184" s="30" t="str">
        <f t="shared" si="1874"/>
        <v/>
      </c>
      <c r="DO184" s="30" t="str">
        <f t="shared" si="1875"/>
        <v/>
      </c>
      <c r="DP184" s="30" t="str">
        <f t="shared" si="1876"/>
        <v/>
      </c>
      <c r="DQ184" s="30" t="str">
        <f t="shared" si="1877"/>
        <v/>
      </c>
      <c r="DR184" s="30" t="str">
        <f t="shared" si="1878"/>
        <v/>
      </c>
      <c r="DS184" s="30" t="str">
        <f t="shared" si="1879"/>
        <v/>
      </c>
      <c r="DT184" s="30" t="str">
        <f t="shared" si="1880"/>
        <v/>
      </c>
      <c r="DU184" s="30" t="str">
        <f t="shared" si="1881"/>
        <v/>
      </c>
      <c r="DV184" s="30" t="str">
        <f t="shared" si="1882"/>
        <v/>
      </c>
      <c r="DW184" s="30" t="str">
        <f t="shared" si="1883"/>
        <v/>
      </c>
      <c r="DX184" s="30" t="str">
        <f t="shared" si="1884"/>
        <v/>
      </c>
      <c r="DY184" s="30" t="str">
        <f t="shared" si="1885"/>
        <v/>
      </c>
      <c r="DZ184" s="30" t="str">
        <f t="shared" si="1886"/>
        <v/>
      </c>
      <c r="EA184" s="30" t="str">
        <f t="shared" si="1887"/>
        <v/>
      </c>
      <c r="EB184" s="30" t="str">
        <f t="shared" si="1888"/>
        <v/>
      </c>
      <c r="EC184" s="30" t="str">
        <f t="shared" si="1889"/>
        <v/>
      </c>
      <c r="ED184" s="30" t="str">
        <f t="shared" si="1890"/>
        <v/>
      </c>
      <c r="EE184" s="30" t="str">
        <f t="shared" si="1891"/>
        <v/>
      </c>
      <c r="EF184" s="30" t="str">
        <f t="shared" si="1892"/>
        <v/>
      </c>
      <c r="EG184" s="30" t="str">
        <f t="shared" si="1893"/>
        <v/>
      </c>
      <c r="EH184" s="30" t="str">
        <f t="shared" si="1894"/>
        <v/>
      </c>
      <c r="EI184" s="30" t="str">
        <f t="shared" si="1895"/>
        <v/>
      </c>
      <c r="EJ184" s="30" t="str">
        <f t="shared" si="1896"/>
        <v/>
      </c>
      <c r="EK184" s="30" t="str">
        <f t="shared" si="1897"/>
        <v/>
      </c>
      <c r="EL184" s="30" t="str">
        <f t="shared" si="1898"/>
        <v/>
      </c>
      <c r="EM184" s="30" t="str">
        <f t="shared" si="1899"/>
        <v/>
      </c>
      <c r="EN184" s="30" t="str">
        <f t="shared" si="1900"/>
        <v/>
      </c>
      <c r="EO184" s="30" t="str">
        <f t="shared" si="1901"/>
        <v/>
      </c>
      <c r="EP184" s="30" t="str">
        <f t="shared" si="1902"/>
        <v/>
      </c>
      <c r="EQ184" s="30" t="str">
        <f t="shared" si="1903"/>
        <v/>
      </c>
      <c r="ER184" s="30" t="str">
        <f t="shared" si="1904"/>
        <v/>
      </c>
      <c r="ES184" s="30" t="str">
        <f t="shared" si="1905"/>
        <v/>
      </c>
      <c r="ET184" s="30" t="str">
        <f t="shared" si="1906"/>
        <v/>
      </c>
      <c r="EU184" s="30" t="str">
        <f t="shared" si="1907"/>
        <v/>
      </c>
      <c r="EV184" s="30" t="str">
        <f t="shared" si="1908"/>
        <v/>
      </c>
      <c r="EW184" s="30" t="str">
        <f t="shared" si="1909"/>
        <v/>
      </c>
      <c r="EX184" s="30" t="str">
        <f t="shared" si="1910"/>
        <v/>
      </c>
      <c r="EY184" s="30" t="str">
        <f t="shared" si="1911"/>
        <v/>
      </c>
      <c r="EZ184" s="30" t="str">
        <f t="shared" si="1912"/>
        <v/>
      </c>
      <c r="FA184" s="30" t="str">
        <f t="shared" si="1913"/>
        <v/>
      </c>
      <c r="FB184" s="30" t="str">
        <f t="shared" si="1914"/>
        <v/>
      </c>
      <c r="FC184" s="30" t="str">
        <f t="shared" si="1915"/>
        <v/>
      </c>
      <c r="FD184" s="30" t="str">
        <f t="shared" si="1916"/>
        <v/>
      </c>
      <c r="FE184" s="30" t="str">
        <f t="shared" si="1917"/>
        <v/>
      </c>
      <c r="FF184" s="30" t="str">
        <f t="shared" si="1918"/>
        <v/>
      </c>
      <c r="FG184" s="30" t="str">
        <f t="shared" si="1919"/>
        <v/>
      </c>
      <c r="FH184" s="30" t="str">
        <f t="shared" si="1920"/>
        <v/>
      </c>
      <c r="FI184" s="30" t="str">
        <f t="shared" si="1921"/>
        <v/>
      </c>
      <c r="FJ184" s="30" t="str">
        <f t="shared" si="1922"/>
        <v/>
      </c>
      <c r="FK184" s="30" t="str">
        <f t="shared" si="1923"/>
        <v/>
      </c>
      <c r="FL184" s="30" t="str">
        <f t="shared" si="1924"/>
        <v/>
      </c>
      <c r="FM184" s="30" t="str">
        <f t="shared" si="1925"/>
        <v/>
      </c>
      <c r="FN184" s="30" t="str">
        <f t="shared" si="1926"/>
        <v/>
      </c>
      <c r="FO184" s="30" t="str">
        <f t="shared" si="1927"/>
        <v/>
      </c>
      <c r="FP184" s="30" t="str">
        <f t="shared" si="1928"/>
        <v/>
      </c>
      <c r="FQ184" s="30" t="str">
        <f t="shared" si="1929"/>
        <v/>
      </c>
      <c r="FR184" s="30" t="str">
        <f t="shared" si="1930"/>
        <v/>
      </c>
      <c r="FS184" s="30" t="str">
        <f t="shared" si="1931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1861"/>
        <v>|n</v>
      </c>
      <c r="CW185" s="24"/>
      <c r="CX185" s="24"/>
      <c r="CY185" s="24"/>
      <c r="CZ185" s="24"/>
      <c r="DA185" s="24"/>
      <c r="DB185" s="30" t="str">
        <f t="shared" si="1862"/>
        <v/>
      </c>
      <c r="DC185" s="30" t="str">
        <f t="shared" si="1863"/>
        <v/>
      </c>
      <c r="DD185" s="30" t="str">
        <f t="shared" si="1864"/>
        <v/>
      </c>
      <c r="DE185" s="30" t="str">
        <f t="shared" si="1865"/>
        <v/>
      </c>
      <c r="DF185" s="30" t="str">
        <f t="shared" si="1866"/>
        <v/>
      </c>
      <c r="DG185" s="30" t="str">
        <f t="shared" si="1867"/>
        <v/>
      </c>
      <c r="DH185" s="30" t="str">
        <f t="shared" si="1868"/>
        <v/>
      </c>
      <c r="DI185" s="30" t="str">
        <f t="shared" si="1869"/>
        <v/>
      </c>
      <c r="DJ185" s="30" t="str">
        <f t="shared" si="1870"/>
        <v/>
      </c>
      <c r="DK185" s="30" t="str">
        <f t="shared" si="1871"/>
        <v/>
      </c>
      <c r="DL185" s="30" t="str">
        <f t="shared" si="1872"/>
        <v/>
      </c>
      <c r="DM185" s="30" t="str">
        <f t="shared" si="1873"/>
        <v/>
      </c>
      <c r="DN185" s="30" t="str">
        <f t="shared" si="1874"/>
        <v/>
      </c>
      <c r="DO185" s="30" t="str">
        <f t="shared" si="1875"/>
        <v/>
      </c>
      <c r="DP185" s="30" t="str">
        <f t="shared" si="1876"/>
        <v/>
      </c>
      <c r="DQ185" s="30" t="str">
        <f t="shared" si="1877"/>
        <v/>
      </c>
      <c r="DR185" s="30" t="str">
        <f t="shared" si="1878"/>
        <v/>
      </c>
      <c r="DS185" s="30" t="str">
        <f t="shared" si="1879"/>
        <v/>
      </c>
      <c r="DT185" s="30" t="str">
        <f t="shared" si="1880"/>
        <v/>
      </c>
      <c r="DU185" s="30" t="str">
        <f t="shared" si="1881"/>
        <v/>
      </c>
      <c r="DV185" s="30" t="str">
        <f t="shared" si="1882"/>
        <v/>
      </c>
      <c r="DW185" s="30" t="str">
        <f t="shared" si="1883"/>
        <v/>
      </c>
      <c r="DX185" s="30" t="str">
        <f t="shared" si="1884"/>
        <v/>
      </c>
      <c r="DY185" s="30" t="str">
        <f t="shared" si="1885"/>
        <v/>
      </c>
      <c r="DZ185" s="30" t="str">
        <f t="shared" si="1886"/>
        <v/>
      </c>
      <c r="EA185" s="30" t="str">
        <f t="shared" si="1887"/>
        <v/>
      </c>
      <c r="EB185" s="30" t="str">
        <f t="shared" si="1888"/>
        <v/>
      </c>
      <c r="EC185" s="30" t="str">
        <f t="shared" si="1889"/>
        <v/>
      </c>
      <c r="ED185" s="30" t="str">
        <f t="shared" si="1890"/>
        <v/>
      </c>
      <c r="EE185" s="30" t="str">
        <f t="shared" si="1891"/>
        <v/>
      </c>
      <c r="EF185" s="30" t="str">
        <f t="shared" si="1892"/>
        <v/>
      </c>
      <c r="EG185" s="30" t="str">
        <f t="shared" si="1893"/>
        <v/>
      </c>
      <c r="EH185" s="30" t="str">
        <f t="shared" si="1894"/>
        <v/>
      </c>
      <c r="EI185" s="30" t="str">
        <f t="shared" si="1895"/>
        <v/>
      </c>
      <c r="EJ185" s="30" t="str">
        <f t="shared" si="1896"/>
        <v/>
      </c>
      <c r="EK185" s="30" t="str">
        <f t="shared" si="1897"/>
        <v/>
      </c>
      <c r="EL185" s="30" t="str">
        <f t="shared" si="1898"/>
        <v/>
      </c>
      <c r="EM185" s="30" t="str">
        <f t="shared" si="1899"/>
        <v/>
      </c>
      <c r="EN185" s="30" t="str">
        <f t="shared" si="1900"/>
        <v/>
      </c>
      <c r="EO185" s="30" t="str">
        <f t="shared" si="1901"/>
        <v/>
      </c>
      <c r="EP185" s="30" t="str">
        <f t="shared" si="1902"/>
        <v/>
      </c>
      <c r="EQ185" s="30" t="str">
        <f t="shared" si="1903"/>
        <v/>
      </c>
      <c r="ER185" s="30" t="str">
        <f t="shared" si="1904"/>
        <v/>
      </c>
      <c r="ES185" s="30" t="str">
        <f t="shared" si="1905"/>
        <v/>
      </c>
      <c r="ET185" s="30" t="str">
        <f t="shared" si="1906"/>
        <v/>
      </c>
      <c r="EU185" s="30" t="str">
        <f t="shared" si="1907"/>
        <v/>
      </c>
      <c r="EV185" s="30" t="str">
        <f t="shared" si="1908"/>
        <v/>
      </c>
      <c r="EW185" s="30" t="str">
        <f t="shared" si="1909"/>
        <v/>
      </c>
      <c r="EX185" s="30" t="str">
        <f t="shared" si="1910"/>
        <v/>
      </c>
      <c r="EY185" s="30" t="str">
        <f t="shared" si="1911"/>
        <v/>
      </c>
      <c r="EZ185" s="30" t="str">
        <f t="shared" si="1912"/>
        <v/>
      </c>
      <c r="FA185" s="30" t="str">
        <f t="shared" si="1913"/>
        <v/>
      </c>
      <c r="FB185" s="30" t="str">
        <f t="shared" si="1914"/>
        <v/>
      </c>
      <c r="FC185" s="30" t="str">
        <f t="shared" si="1915"/>
        <v/>
      </c>
      <c r="FD185" s="30" t="str">
        <f t="shared" si="1916"/>
        <v/>
      </c>
      <c r="FE185" s="30" t="str">
        <f t="shared" si="1917"/>
        <v/>
      </c>
      <c r="FF185" s="30" t="str">
        <f t="shared" si="1918"/>
        <v/>
      </c>
      <c r="FG185" s="30" t="str">
        <f t="shared" si="1919"/>
        <v/>
      </c>
      <c r="FH185" s="30" t="str">
        <f t="shared" si="1920"/>
        <v/>
      </c>
      <c r="FI185" s="30" t="str">
        <f t="shared" si="1921"/>
        <v/>
      </c>
      <c r="FJ185" s="30" t="str">
        <f t="shared" si="1922"/>
        <v/>
      </c>
      <c r="FK185" s="30" t="str">
        <f t="shared" si="1923"/>
        <v/>
      </c>
      <c r="FL185" s="30" t="str">
        <f t="shared" si="1924"/>
        <v/>
      </c>
      <c r="FM185" s="30" t="str">
        <f t="shared" si="1925"/>
        <v/>
      </c>
      <c r="FN185" s="30" t="str">
        <f t="shared" si="1926"/>
        <v/>
      </c>
      <c r="FO185" s="30" t="str">
        <f t="shared" si="1927"/>
        <v/>
      </c>
      <c r="FP185" s="30" t="str">
        <f t="shared" si="1928"/>
        <v/>
      </c>
      <c r="FQ185" s="30" t="str">
        <f t="shared" si="1929"/>
        <v/>
      </c>
      <c r="FR185" s="30" t="str">
        <f t="shared" si="1930"/>
        <v/>
      </c>
      <c r="FS185" s="30" t="str">
        <f t="shared" si="1931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1861"/>
        <v>|n</v>
      </c>
      <c r="CW186" s="24"/>
      <c r="CX186" s="24"/>
      <c r="CY186" s="24"/>
      <c r="CZ186" s="24"/>
      <c r="DA186" s="24"/>
      <c r="DB186" s="30" t="str">
        <f t="shared" si="1862"/>
        <v/>
      </c>
      <c r="DC186" s="30" t="str">
        <f t="shared" si="1863"/>
        <v/>
      </c>
      <c r="DD186" s="30" t="str">
        <f t="shared" si="1864"/>
        <v/>
      </c>
      <c r="DE186" s="30" t="str">
        <f t="shared" si="1865"/>
        <v/>
      </c>
      <c r="DF186" s="30" t="str">
        <f t="shared" si="1866"/>
        <v/>
      </c>
      <c r="DG186" s="30" t="str">
        <f t="shared" si="1867"/>
        <v/>
      </c>
      <c r="DH186" s="30" t="str">
        <f t="shared" si="1868"/>
        <v/>
      </c>
      <c r="DI186" s="30" t="str">
        <f t="shared" si="1869"/>
        <v/>
      </c>
      <c r="DJ186" s="30" t="str">
        <f t="shared" si="1870"/>
        <v/>
      </c>
      <c r="DK186" s="30" t="str">
        <f t="shared" si="1871"/>
        <v/>
      </c>
      <c r="DL186" s="30" t="str">
        <f t="shared" si="1872"/>
        <v/>
      </c>
      <c r="DM186" s="30" t="str">
        <f t="shared" si="1873"/>
        <v/>
      </c>
      <c r="DN186" s="30" t="str">
        <f t="shared" si="1874"/>
        <v/>
      </c>
      <c r="DO186" s="30" t="str">
        <f t="shared" si="1875"/>
        <v/>
      </c>
      <c r="DP186" s="30" t="str">
        <f t="shared" si="1876"/>
        <v/>
      </c>
      <c r="DQ186" s="30" t="str">
        <f t="shared" si="1877"/>
        <v/>
      </c>
      <c r="DR186" s="30" t="str">
        <f t="shared" si="1878"/>
        <v/>
      </c>
      <c r="DS186" s="30" t="str">
        <f t="shared" si="1879"/>
        <v/>
      </c>
      <c r="DT186" s="30" t="str">
        <f t="shared" si="1880"/>
        <v/>
      </c>
      <c r="DU186" s="30" t="str">
        <f t="shared" si="1881"/>
        <v/>
      </c>
      <c r="DV186" s="30" t="str">
        <f t="shared" si="1882"/>
        <v/>
      </c>
      <c r="DW186" s="30" t="str">
        <f t="shared" si="1883"/>
        <v/>
      </c>
      <c r="DX186" s="30" t="str">
        <f t="shared" si="1884"/>
        <v/>
      </c>
      <c r="DY186" s="30" t="str">
        <f t="shared" si="1885"/>
        <v/>
      </c>
      <c r="DZ186" s="30" t="str">
        <f t="shared" si="1886"/>
        <v/>
      </c>
      <c r="EA186" s="30" t="str">
        <f t="shared" si="1887"/>
        <v/>
      </c>
      <c r="EB186" s="30" t="str">
        <f t="shared" si="1888"/>
        <v/>
      </c>
      <c r="EC186" s="30" t="str">
        <f t="shared" si="1889"/>
        <v/>
      </c>
      <c r="ED186" s="30" t="str">
        <f t="shared" si="1890"/>
        <v/>
      </c>
      <c r="EE186" s="30" t="str">
        <f t="shared" si="1891"/>
        <v/>
      </c>
      <c r="EF186" s="30" t="str">
        <f t="shared" si="1892"/>
        <v/>
      </c>
      <c r="EG186" s="30" t="str">
        <f t="shared" si="1893"/>
        <v/>
      </c>
      <c r="EH186" s="30" t="str">
        <f t="shared" si="1894"/>
        <v/>
      </c>
      <c r="EI186" s="30" t="str">
        <f t="shared" si="1895"/>
        <v/>
      </c>
      <c r="EJ186" s="30" t="str">
        <f t="shared" si="1896"/>
        <v/>
      </c>
      <c r="EK186" s="30" t="str">
        <f t="shared" si="1897"/>
        <v/>
      </c>
      <c r="EL186" s="30" t="str">
        <f t="shared" si="1898"/>
        <v/>
      </c>
      <c r="EM186" s="30" t="str">
        <f t="shared" si="1899"/>
        <v/>
      </c>
      <c r="EN186" s="30" t="str">
        <f t="shared" si="1900"/>
        <v/>
      </c>
      <c r="EO186" s="30" t="str">
        <f t="shared" si="1901"/>
        <v/>
      </c>
      <c r="EP186" s="30" t="str">
        <f t="shared" si="1902"/>
        <v/>
      </c>
      <c r="EQ186" s="30" t="str">
        <f t="shared" si="1903"/>
        <v/>
      </c>
      <c r="ER186" s="30" t="str">
        <f t="shared" si="1904"/>
        <v/>
      </c>
      <c r="ES186" s="30" t="str">
        <f t="shared" si="1905"/>
        <v/>
      </c>
      <c r="ET186" s="30" t="str">
        <f t="shared" si="1906"/>
        <v/>
      </c>
      <c r="EU186" s="30" t="str">
        <f t="shared" si="1907"/>
        <v/>
      </c>
      <c r="EV186" s="30" t="str">
        <f t="shared" si="1908"/>
        <v/>
      </c>
      <c r="EW186" s="30" t="str">
        <f t="shared" si="1909"/>
        <v/>
      </c>
      <c r="EX186" s="30" t="str">
        <f t="shared" si="1910"/>
        <v/>
      </c>
      <c r="EY186" s="30" t="str">
        <f t="shared" si="1911"/>
        <v/>
      </c>
      <c r="EZ186" s="30" t="str">
        <f t="shared" si="1912"/>
        <v/>
      </c>
      <c r="FA186" s="30" t="str">
        <f t="shared" si="1913"/>
        <v/>
      </c>
      <c r="FB186" s="30" t="str">
        <f t="shared" si="1914"/>
        <v/>
      </c>
      <c r="FC186" s="30" t="str">
        <f t="shared" si="1915"/>
        <v/>
      </c>
      <c r="FD186" s="30" t="str">
        <f t="shared" si="1916"/>
        <v/>
      </c>
      <c r="FE186" s="30" t="str">
        <f t="shared" si="1917"/>
        <v/>
      </c>
      <c r="FF186" s="30" t="str">
        <f t="shared" si="1918"/>
        <v/>
      </c>
      <c r="FG186" s="30" t="str">
        <f t="shared" si="1919"/>
        <v/>
      </c>
      <c r="FH186" s="30" t="str">
        <f t="shared" si="1920"/>
        <v/>
      </c>
      <c r="FI186" s="30" t="str">
        <f t="shared" si="1921"/>
        <v/>
      </c>
      <c r="FJ186" s="30" t="str">
        <f t="shared" si="1922"/>
        <v/>
      </c>
      <c r="FK186" s="30" t="str">
        <f t="shared" si="1923"/>
        <v/>
      </c>
      <c r="FL186" s="30" t="str">
        <f t="shared" si="1924"/>
        <v/>
      </c>
      <c r="FM186" s="30" t="str">
        <f t="shared" si="1925"/>
        <v/>
      </c>
      <c r="FN186" s="30" t="str">
        <f t="shared" si="1926"/>
        <v/>
      </c>
      <c r="FO186" s="30" t="str">
        <f t="shared" si="1927"/>
        <v/>
      </c>
      <c r="FP186" s="30" t="str">
        <f t="shared" si="1928"/>
        <v/>
      </c>
      <c r="FQ186" s="30" t="str">
        <f t="shared" si="1929"/>
        <v/>
      </c>
      <c r="FR186" s="30" t="str">
        <f t="shared" si="1930"/>
        <v/>
      </c>
      <c r="FS186" s="30" t="str">
        <f t="shared" si="1931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1861"/>
        <v>|n</v>
      </c>
      <c r="CW187" s="24"/>
      <c r="CX187" s="24"/>
      <c r="CY187" s="24"/>
      <c r="CZ187" s="24"/>
      <c r="DA187" s="24"/>
      <c r="DB187" s="30" t="str">
        <f t="shared" si="1862"/>
        <v/>
      </c>
      <c r="DC187" s="30" t="str">
        <f t="shared" si="1863"/>
        <v/>
      </c>
      <c r="DD187" s="30" t="str">
        <f t="shared" si="1864"/>
        <v/>
      </c>
      <c r="DE187" s="30" t="str">
        <f t="shared" si="1865"/>
        <v/>
      </c>
      <c r="DF187" s="30" t="str">
        <f t="shared" si="1866"/>
        <v/>
      </c>
      <c r="DG187" s="30" t="str">
        <f t="shared" si="1867"/>
        <v/>
      </c>
      <c r="DH187" s="30" t="str">
        <f t="shared" si="1868"/>
        <v/>
      </c>
      <c r="DI187" s="30" t="str">
        <f t="shared" si="1869"/>
        <v/>
      </c>
      <c r="DJ187" s="30" t="str">
        <f t="shared" si="1870"/>
        <v/>
      </c>
      <c r="DK187" s="30" t="str">
        <f t="shared" si="1871"/>
        <v/>
      </c>
      <c r="DL187" s="30" t="str">
        <f t="shared" si="1872"/>
        <v/>
      </c>
      <c r="DM187" s="30" t="str">
        <f t="shared" si="1873"/>
        <v/>
      </c>
      <c r="DN187" s="30" t="str">
        <f t="shared" si="1874"/>
        <v/>
      </c>
      <c r="DO187" s="30" t="str">
        <f t="shared" si="1875"/>
        <v/>
      </c>
      <c r="DP187" s="30" t="str">
        <f t="shared" si="1876"/>
        <v/>
      </c>
      <c r="DQ187" s="30" t="str">
        <f t="shared" si="1877"/>
        <v/>
      </c>
      <c r="DR187" s="30" t="str">
        <f t="shared" si="1878"/>
        <v/>
      </c>
      <c r="DS187" s="30" t="str">
        <f t="shared" si="1879"/>
        <v/>
      </c>
      <c r="DT187" s="30" t="str">
        <f t="shared" si="1880"/>
        <v/>
      </c>
      <c r="DU187" s="30" t="str">
        <f t="shared" si="1881"/>
        <v/>
      </c>
      <c r="DV187" s="30" t="str">
        <f t="shared" si="1882"/>
        <v/>
      </c>
      <c r="DW187" s="30" t="str">
        <f t="shared" si="1883"/>
        <v/>
      </c>
      <c r="DX187" s="30" t="str">
        <f t="shared" si="1884"/>
        <v/>
      </c>
      <c r="DY187" s="30" t="str">
        <f t="shared" si="1885"/>
        <v/>
      </c>
      <c r="DZ187" s="30" t="str">
        <f t="shared" si="1886"/>
        <v/>
      </c>
      <c r="EA187" s="30" t="str">
        <f t="shared" si="1887"/>
        <v/>
      </c>
      <c r="EB187" s="30" t="str">
        <f t="shared" si="1888"/>
        <v/>
      </c>
      <c r="EC187" s="30" t="str">
        <f t="shared" si="1889"/>
        <v/>
      </c>
      <c r="ED187" s="30" t="str">
        <f t="shared" si="1890"/>
        <v/>
      </c>
      <c r="EE187" s="30" t="str">
        <f t="shared" si="1891"/>
        <v/>
      </c>
      <c r="EF187" s="30" t="str">
        <f t="shared" si="1892"/>
        <v/>
      </c>
      <c r="EG187" s="30" t="str">
        <f t="shared" si="1893"/>
        <v/>
      </c>
      <c r="EH187" s="30" t="str">
        <f t="shared" si="1894"/>
        <v/>
      </c>
      <c r="EI187" s="30" t="str">
        <f t="shared" si="1895"/>
        <v/>
      </c>
      <c r="EJ187" s="30" t="str">
        <f t="shared" si="1896"/>
        <v/>
      </c>
      <c r="EK187" s="30" t="str">
        <f t="shared" si="1897"/>
        <v/>
      </c>
      <c r="EL187" s="30" t="str">
        <f t="shared" si="1898"/>
        <v/>
      </c>
      <c r="EM187" s="30" t="str">
        <f t="shared" si="1899"/>
        <v/>
      </c>
      <c r="EN187" s="30" t="str">
        <f t="shared" si="1900"/>
        <v/>
      </c>
      <c r="EO187" s="30" t="str">
        <f t="shared" si="1901"/>
        <v/>
      </c>
      <c r="EP187" s="30" t="str">
        <f t="shared" si="1902"/>
        <v/>
      </c>
      <c r="EQ187" s="30" t="str">
        <f t="shared" si="1903"/>
        <v/>
      </c>
      <c r="ER187" s="30" t="str">
        <f t="shared" si="1904"/>
        <v/>
      </c>
      <c r="ES187" s="30" t="str">
        <f t="shared" si="1905"/>
        <v/>
      </c>
      <c r="ET187" s="30" t="str">
        <f t="shared" si="1906"/>
        <v/>
      </c>
      <c r="EU187" s="30" t="str">
        <f t="shared" si="1907"/>
        <v/>
      </c>
      <c r="EV187" s="30" t="str">
        <f t="shared" si="1908"/>
        <v/>
      </c>
      <c r="EW187" s="30" t="str">
        <f t="shared" si="1909"/>
        <v/>
      </c>
      <c r="EX187" s="30" t="str">
        <f t="shared" si="1910"/>
        <v/>
      </c>
      <c r="EY187" s="30" t="str">
        <f t="shared" si="1911"/>
        <v/>
      </c>
      <c r="EZ187" s="30" t="str">
        <f t="shared" si="1912"/>
        <v/>
      </c>
      <c r="FA187" s="30" t="str">
        <f t="shared" si="1913"/>
        <v/>
      </c>
      <c r="FB187" s="30" t="str">
        <f t="shared" si="1914"/>
        <v/>
      </c>
      <c r="FC187" s="30" t="str">
        <f t="shared" si="1915"/>
        <v/>
      </c>
      <c r="FD187" s="30" t="str">
        <f t="shared" si="1916"/>
        <v/>
      </c>
      <c r="FE187" s="30" t="str">
        <f t="shared" si="1917"/>
        <v/>
      </c>
      <c r="FF187" s="30" t="str">
        <f t="shared" si="1918"/>
        <v/>
      </c>
      <c r="FG187" s="30" t="str">
        <f t="shared" si="1919"/>
        <v/>
      </c>
      <c r="FH187" s="30" t="str">
        <f t="shared" si="1920"/>
        <v/>
      </c>
      <c r="FI187" s="30" t="str">
        <f t="shared" si="1921"/>
        <v/>
      </c>
      <c r="FJ187" s="30" t="str">
        <f t="shared" si="1922"/>
        <v/>
      </c>
      <c r="FK187" s="30" t="str">
        <f t="shared" si="1923"/>
        <v/>
      </c>
      <c r="FL187" s="30" t="str">
        <f t="shared" si="1924"/>
        <v/>
      </c>
      <c r="FM187" s="30" t="str">
        <f t="shared" si="1925"/>
        <v/>
      </c>
      <c r="FN187" s="30" t="str">
        <f t="shared" si="1926"/>
        <v/>
      </c>
      <c r="FO187" s="30" t="str">
        <f t="shared" si="1927"/>
        <v/>
      </c>
      <c r="FP187" s="30" t="str">
        <f t="shared" si="1928"/>
        <v/>
      </c>
      <c r="FQ187" s="30" t="str">
        <f t="shared" si="1929"/>
        <v/>
      </c>
      <c r="FR187" s="30" t="str">
        <f t="shared" si="1930"/>
        <v/>
      </c>
      <c r="FS187" s="30" t="str">
        <f t="shared" si="1931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1861"/>
        <v>|n</v>
      </c>
      <c r="CW188" s="24"/>
      <c r="CX188" s="24"/>
      <c r="CY188" s="24"/>
      <c r="CZ188" s="24"/>
      <c r="DA188" s="24"/>
      <c r="DB188" s="30" t="str">
        <f t="shared" si="1862"/>
        <v/>
      </c>
      <c r="DC188" s="30" t="str">
        <f t="shared" si="1863"/>
        <v/>
      </c>
      <c r="DD188" s="30" t="str">
        <f t="shared" si="1864"/>
        <v/>
      </c>
      <c r="DE188" s="30" t="str">
        <f t="shared" si="1865"/>
        <v/>
      </c>
      <c r="DF188" s="30" t="str">
        <f t="shared" si="1866"/>
        <v/>
      </c>
      <c r="DG188" s="30" t="str">
        <f t="shared" si="1867"/>
        <v/>
      </c>
      <c r="DH188" s="30" t="str">
        <f t="shared" si="1868"/>
        <v/>
      </c>
      <c r="DI188" s="30" t="str">
        <f t="shared" si="1869"/>
        <v/>
      </c>
      <c r="DJ188" s="30" t="str">
        <f t="shared" si="1870"/>
        <v/>
      </c>
      <c r="DK188" s="30" t="str">
        <f t="shared" si="1871"/>
        <v/>
      </c>
      <c r="DL188" s="30" t="str">
        <f t="shared" si="1872"/>
        <v/>
      </c>
      <c r="DM188" s="30" t="str">
        <f t="shared" si="1873"/>
        <v/>
      </c>
      <c r="DN188" s="30" t="str">
        <f t="shared" si="1874"/>
        <v/>
      </c>
      <c r="DO188" s="30" t="str">
        <f t="shared" si="1875"/>
        <v/>
      </c>
      <c r="DP188" s="30" t="str">
        <f t="shared" si="1876"/>
        <v/>
      </c>
      <c r="DQ188" s="30" t="str">
        <f t="shared" si="1877"/>
        <v/>
      </c>
      <c r="DR188" s="30" t="str">
        <f t="shared" si="1878"/>
        <v/>
      </c>
      <c r="DS188" s="30" t="str">
        <f t="shared" si="1879"/>
        <v/>
      </c>
      <c r="DT188" s="30" t="str">
        <f t="shared" si="1880"/>
        <v/>
      </c>
      <c r="DU188" s="30" t="str">
        <f t="shared" si="1881"/>
        <v/>
      </c>
      <c r="DV188" s="30" t="str">
        <f t="shared" si="1882"/>
        <v/>
      </c>
      <c r="DW188" s="30" t="str">
        <f t="shared" si="1883"/>
        <v/>
      </c>
      <c r="DX188" s="30" t="str">
        <f t="shared" si="1884"/>
        <v/>
      </c>
      <c r="DY188" s="30" t="str">
        <f t="shared" si="1885"/>
        <v/>
      </c>
      <c r="DZ188" s="30" t="str">
        <f t="shared" si="1886"/>
        <v/>
      </c>
      <c r="EA188" s="30" t="str">
        <f t="shared" si="1887"/>
        <v/>
      </c>
      <c r="EB188" s="30" t="str">
        <f t="shared" si="1888"/>
        <v/>
      </c>
      <c r="EC188" s="30" t="str">
        <f t="shared" si="1889"/>
        <v/>
      </c>
      <c r="ED188" s="30" t="str">
        <f t="shared" si="1890"/>
        <v/>
      </c>
      <c r="EE188" s="30" t="str">
        <f t="shared" si="1891"/>
        <v/>
      </c>
      <c r="EF188" s="30" t="str">
        <f t="shared" si="1892"/>
        <v/>
      </c>
      <c r="EG188" s="30" t="str">
        <f t="shared" si="1893"/>
        <v/>
      </c>
      <c r="EH188" s="30" t="str">
        <f t="shared" si="1894"/>
        <v/>
      </c>
      <c r="EI188" s="30" t="str">
        <f t="shared" si="1895"/>
        <v/>
      </c>
      <c r="EJ188" s="30" t="str">
        <f t="shared" si="1896"/>
        <v/>
      </c>
      <c r="EK188" s="30" t="str">
        <f t="shared" si="1897"/>
        <v/>
      </c>
      <c r="EL188" s="30" t="str">
        <f t="shared" si="1898"/>
        <v/>
      </c>
      <c r="EM188" s="30" t="str">
        <f t="shared" si="1899"/>
        <v/>
      </c>
      <c r="EN188" s="30" t="str">
        <f t="shared" si="1900"/>
        <v/>
      </c>
      <c r="EO188" s="30" t="str">
        <f t="shared" si="1901"/>
        <v/>
      </c>
      <c r="EP188" s="30" t="str">
        <f t="shared" si="1902"/>
        <v/>
      </c>
      <c r="EQ188" s="30" t="str">
        <f t="shared" si="1903"/>
        <v/>
      </c>
      <c r="ER188" s="30" t="str">
        <f t="shared" si="1904"/>
        <v/>
      </c>
      <c r="ES188" s="30" t="str">
        <f t="shared" si="1905"/>
        <v/>
      </c>
      <c r="ET188" s="30" t="str">
        <f t="shared" si="1906"/>
        <v/>
      </c>
      <c r="EU188" s="30" t="str">
        <f t="shared" si="1907"/>
        <v/>
      </c>
      <c r="EV188" s="30" t="str">
        <f t="shared" si="1908"/>
        <v/>
      </c>
      <c r="EW188" s="30" t="str">
        <f t="shared" si="1909"/>
        <v/>
      </c>
      <c r="EX188" s="30" t="str">
        <f t="shared" si="1910"/>
        <v/>
      </c>
      <c r="EY188" s="30" t="str">
        <f t="shared" si="1911"/>
        <v/>
      </c>
      <c r="EZ188" s="30" t="str">
        <f t="shared" si="1912"/>
        <v/>
      </c>
      <c r="FA188" s="30" t="str">
        <f t="shared" si="1913"/>
        <v/>
      </c>
      <c r="FB188" s="30" t="str">
        <f t="shared" si="1914"/>
        <v/>
      </c>
      <c r="FC188" s="30" t="str">
        <f t="shared" si="1915"/>
        <v/>
      </c>
      <c r="FD188" s="30" t="str">
        <f t="shared" si="1916"/>
        <v/>
      </c>
      <c r="FE188" s="30" t="str">
        <f t="shared" si="1917"/>
        <v/>
      </c>
      <c r="FF188" s="30" t="str">
        <f t="shared" si="1918"/>
        <v/>
      </c>
      <c r="FG188" s="30" t="str">
        <f t="shared" si="1919"/>
        <v/>
      </c>
      <c r="FH188" s="30" t="str">
        <f t="shared" si="1920"/>
        <v/>
      </c>
      <c r="FI188" s="30" t="str">
        <f t="shared" si="1921"/>
        <v/>
      </c>
      <c r="FJ188" s="30" t="str">
        <f t="shared" si="1922"/>
        <v/>
      </c>
      <c r="FK188" s="30" t="str">
        <f t="shared" si="1923"/>
        <v/>
      </c>
      <c r="FL188" s="30" t="str">
        <f t="shared" si="1924"/>
        <v/>
      </c>
      <c r="FM188" s="30" t="str">
        <f t="shared" si="1925"/>
        <v/>
      </c>
      <c r="FN188" s="30" t="str">
        <f t="shared" si="1926"/>
        <v/>
      </c>
      <c r="FO188" s="30" t="str">
        <f t="shared" si="1927"/>
        <v/>
      </c>
      <c r="FP188" s="30" t="str">
        <f t="shared" si="1928"/>
        <v/>
      </c>
      <c r="FQ188" s="30" t="str">
        <f t="shared" si="1929"/>
        <v/>
      </c>
      <c r="FR188" s="30" t="str">
        <f t="shared" si="1930"/>
        <v/>
      </c>
      <c r="FS188" s="30" t="str">
        <f t="shared" si="1931"/>
        <v/>
      </c>
    </row>
    <row r="189" spans="1:175">
      <c r="CN189" s="7" t="str">
        <f t="shared" ref="CN189:CN220" si="1932">"InitUnitState('"&amp;B189&amp;"',"&amp;V189&amp;","&amp;W189&amp;","&amp;X189&amp;","&amp;Y189&amp;","&amp;Z189&amp;","&amp;AA189&amp;","&amp;AB189&amp;","&amp;AC189&amp;","&amp;AD189&amp;","&amp;AE189&amp;")"</f>
        <v>InitUnitState('',,,,,,,,,,)</v>
      </c>
      <c r="CO189" s="7" t="str">
        <f t="shared" ref="CO189:CO220" si="1933">"InitUnitNormal('"&amp;B189&amp;"',"&amp;AF189&amp;","&amp;AG189&amp;","&amp;AH189&amp;","&amp;AI189&amp;","&amp;AJ189&amp;","&amp;AK189&amp;","&amp;AL189&amp;","&amp;AM189&amp;","&amp;AN189&amp;","&amp;AO189&amp;")"</f>
        <v>InitUnitNormal('',,,,,,,,,,)</v>
      </c>
      <c r="CP189" s="7" t="str">
        <f t="shared" ref="CP189:CP220" si="1934">"InitUnitMagic('"&amp;B189&amp;"',"&amp;AP189&amp;","&amp;AQ189&amp;","&amp;AR189&amp;","&amp;AS189&amp;","&amp;AT189&amp;","&amp;AU189&amp;","&amp;AV189&amp;","&amp;AW189&amp;","&amp;BI189&amp;","&amp;BJ189&amp;")"</f>
        <v>InitUnitMagic('',,,,,,,,,,)</v>
      </c>
      <c r="CQ189" s="7" t="str">
        <f t="shared" ref="CQ189:CQ220" si="1935">"InitUnitAdd('"&amp;B189&amp;"',"&amp;BK189&amp;","&amp;BL189&amp;","&amp;BM189&amp;","&amp;BN189&amp;","&amp;BO189&amp;","&amp;BP189&amp;","&amp;BQ189&amp;","&amp;BR189&amp;","&amp;BS189&amp;","&amp;BT189&amp;")"</f>
        <v>InitUnitAdd('',,,,,,,,,,)</v>
      </c>
      <c r="CR189" s="7" t="str">
        <f t="shared" ref="CR189:CR220" si="1936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InitEquipData('',,"",,,,,'','','','','','',"")</v>
      </c>
      <c r="CU189" s="29" t="str">
        <f t="shared" ref="CU189:CU201" si="193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W189" s="24"/>
      <c r="CX189" s="24"/>
      <c r="CY189" s="24"/>
      <c r="CZ189" s="24"/>
      <c r="DA189" s="24"/>
      <c r="DB189" s="30" t="str">
        <f t="shared" ref="DB189:DB209" si="1938">IF(V189="","","|n"&amp;DB$2&amp;"+"&amp;V189&amp;DB$1)</f>
        <v/>
      </c>
      <c r="DC189" s="30" t="str">
        <f t="shared" ref="DC189:DC209" si="1939">IF(W189="","","|n"&amp;DC$2&amp;"+"&amp;W189&amp;DC$1)</f>
        <v/>
      </c>
      <c r="DD189" s="30" t="str">
        <f t="shared" ref="DD189:DD209" si="1940">IF(X189="","","|n"&amp;DD$2&amp;"+"&amp;X189&amp;DD$1)</f>
        <v/>
      </c>
      <c r="DE189" s="30" t="str">
        <f t="shared" ref="DE189:DE209" si="1941">IF(Y189="","","|n"&amp;DE$2&amp;"+"&amp;Y189&amp;DE$1)</f>
        <v/>
      </c>
      <c r="DF189" s="30" t="str">
        <f t="shared" ref="DF189:DF209" si="1942">IF(Z189="","","|n"&amp;DF$2&amp;"+"&amp;Z189&amp;DF$1)</f>
        <v/>
      </c>
      <c r="DG189" s="30" t="str">
        <f t="shared" ref="DG189:DG209" si="1943">IF(AA189="","","|n"&amp;DG$2&amp;"+"&amp;AA189&amp;DG$1)</f>
        <v/>
      </c>
      <c r="DH189" s="30" t="str">
        <f t="shared" ref="DH189:DH209" si="1944">IF(AB189="","","|n"&amp;DH$2&amp;"+"&amp;AB189&amp;DH$1)</f>
        <v/>
      </c>
      <c r="DI189" s="30" t="str">
        <f t="shared" ref="DI189:DI209" si="1945">IF(AC189="","","|n"&amp;DI$2&amp;"+"&amp;AC189&amp;DI$1)</f>
        <v/>
      </c>
      <c r="DJ189" s="30" t="str">
        <f t="shared" ref="DJ189:DJ209" si="1946">IF(AD189="","","|n"&amp;DJ$2&amp;"+"&amp;AD189&amp;DJ$1)</f>
        <v/>
      </c>
      <c r="DK189" s="30" t="str">
        <f t="shared" ref="DK189:DK209" si="1947">IF(AE189="","","|n"&amp;DK$2&amp;"+"&amp;AE189&amp;DK$1)</f>
        <v/>
      </c>
      <c r="DL189" s="30" t="str">
        <f t="shared" ref="DL189:DL209" si="1948">IF(AF189="","","|n"&amp;DL$2&amp;"+"&amp;AF189&amp;DL$1)</f>
        <v/>
      </c>
      <c r="DM189" s="30" t="str">
        <f t="shared" ref="DM189:DM209" si="1949">IF(AG189="","","|n"&amp;DM$2&amp;"+"&amp;AG189&amp;DM$1)</f>
        <v/>
      </c>
      <c r="DN189" s="30" t="str">
        <f t="shared" ref="DN189:DN209" si="1950">IF(AH189="","","|n"&amp;DN$2&amp;"+"&amp;AH189&amp;DN$1)</f>
        <v/>
      </c>
      <c r="DO189" s="30" t="str">
        <f t="shared" ref="DO189:DO209" si="1951">IF(AI189="","","|n"&amp;DO$2&amp;"+"&amp;AI189&amp;DO$1)</f>
        <v/>
      </c>
      <c r="DP189" s="30" t="str">
        <f t="shared" ref="DP189:DP209" si="1952">IF(AJ189="","","|n"&amp;DP$2&amp;"+"&amp;AJ189&amp;DP$1)</f>
        <v/>
      </c>
      <c r="DQ189" s="30" t="str">
        <f t="shared" ref="DQ189:DQ209" si="1953">IF(AK189="","","|n"&amp;DQ$2&amp;"+"&amp;AK189&amp;DQ$1)</f>
        <v/>
      </c>
      <c r="DR189" s="30" t="str">
        <f t="shared" ref="DR189:DR209" si="1954">IF(AL189="","","|n"&amp;DR$2&amp;"+"&amp;AL189&amp;DR$1)</f>
        <v/>
      </c>
      <c r="DS189" s="30" t="str">
        <f t="shared" ref="DS189:DS209" si="1955">IF(AM189="","","|n"&amp;DS$2&amp;"+"&amp;AM189&amp;DS$1)</f>
        <v/>
      </c>
      <c r="DT189" s="30" t="str">
        <f t="shared" ref="DT189:DT209" si="1956">IF(AN189="","","|n"&amp;DT$2&amp;"+"&amp;AN189&amp;DT$1)</f>
        <v/>
      </c>
      <c r="DU189" s="30" t="str">
        <f t="shared" ref="DU189:DU209" si="1957">IF(AO189="","","|n"&amp;DU$2&amp;"+"&amp;AO189&amp;DU$1)</f>
        <v/>
      </c>
      <c r="DV189" s="30" t="str">
        <f t="shared" ref="DV189:DV209" si="1958">IF(AP189="","","|n"&amp;DV$2&amp;"+"&amp;AP189&amp;DV$1)</f>
        <v/>
      </c>
      <c r="DW189" s="30" t="str">
        <f t="shared" ref="DW189:DW209" si="1959">IF(AQ189="","","|n"&amp;DW$2&amp;"+"&amp;AQ189&amp;DW$1)</f>
        <v/>
      </c>
      <c r="DX189" s="30" t="str">
        <f t="shared" ref="DX189:DX209" si="1960">IF(AR189="","","|n"&amp;DX$2&amp;"+"&amp;AR189&amp;DX$1)</f>
        <v/>
      </c>
      <c r="DY189" s="30" t="str">
        <f t="shared" ref="DY189:DY209" si="1961">IF(AS189="","","|n"&amp;DY$2&amp;"+"&amp;AS189&amp;DY$1)</f>
        <v/>
      </c>
      <c r="DZ189" s="30" t="str">
        <f t="shared" ref="DZ189:DZ209" si="1962">IF(AT189="","","|n"&amp;DZ$2&amp;"+"&amp;AT189&amp;DZ$1)</f>
        <v/>
      </c>
      <c r="EA189" s="30" t="str">
        <f t="shared" ref="EA189:EA209" si="1963">IF(AU189="","","|n"&amp;EA$2&amp;"+"&amp;AU189&amp;EA$1)</f>
        <v/>
      </c>
      <c r="EB189" s="30" t="str">
        <f t="shared" ref="EB189:EB209" si="1964">IF(AV189="","","|n"&amp;EB$2&amp;"+"&amp;AV189&amp;EB$1)</f>
        <v/>
      </c>
      <c r="EC189" s="30" t="str">
        <f t="shared" ref="EC189:EC209" si="1965">IF(AW189="","","|n"&amp;EC$2&amp;"+"&amp;AW189&amp;EC$1)</f>
        <v/>
      </c>
      <c r="ED189" s="30" t="str">
        <f t="shared" ref="ED189:ED209" si="1966">IF(AX189="","","|n"&amp;ED$2&amp;"+"&amp;AX189&amp;ED$1)</f>
        <v/>
      </c>
      <c r="EE189" s="30" t="str">
        <f t="shared" ref="EE189:EE209" si="1967">IF(AY189="","","|n"&amp;EE$2&amp;"+"&amp;AY189&amp;EE$1)</f>
        <v/>
      </c>
      <c r="EF189" s="30" t="str">
        <f t="shared" ref="EF189:EF209" si="1968">IF(AZ189="","","|n"&amp;EF$2&amp;"+"&amp;AZ189&amp;EF$1)</f>
        <v/>
      </c>
      <c r="EG189" s="30" t="str">
        <f t="shared" ref="EG189:EG209" si="1969">IF(BA189="","","|n"&amp;EG$2&amp;"+"&amp;BA189&amp;EG$1)</f>
        <v/>
      </c>
      <c r="EH189" s="30" t="str">
        <f t="shared" ref="EH189:EH209" si="1970">IF(BB189="","","|n"&amp;EH$2&amp;"+"&amp;BB189&amp;EH$1)</f>
        <v/>
      </c>
      <c r="EI189" s="30" t="str">
        <f t="shared" ref="EI189:EI209" si="1971">IF(BC189="","","|n"&amp;EI$2&amp;"+"&amp;BC189&amp;EI$1)</f>
        <v/>
      </c>
      <c r="EJ189" s="30" t="str">
        <f t="shared" ref="EJ189:EJ209" si="1972">IF(BD189="","","|n"&amp;EJ$2&amp;"+"&amp;BD189&amp;EJ$1)</f>
        <v/>
      </c>
      <c r="EK189" s="30" t="str">
        <f t="shared" ref="EK189:EK209" si="1973">IF(BE189="","","|n"&amp;EK$2&amp;"+"&amp;BE189&amp;EK$1)</f>
        <v/>
      </c>
      <c r="EL189" s="30" t="str">
        <f t="shared" ref="EL189:EL209" si="1974">IF(BF189="","","|n"&amp;EL$2&amp;"+"&amp;BF189&amp;EL$1)</f>
        <v/>
      </c>
      <c r="EM189" s="30" t="str">
        <f t="shared" ref="EM189:EM209" si="1975">IF(BG189="","","|n"&amp;EM$2&amp;"+"&amp;BG189&amp;EM$1)</f>
        <v/>
      </c>
      <c r="EN189" s="30" t="str">
        <f t="shared" ref="EN189:EN209" si="1976">IF(BH189="","","|n"&amp;EN$2&amp;"+"&amp;BH189&amp;EN$1)</f>
        <v/>
      </c>
      <c r="EO189" s="30" t="str">
        <f t="shared" ref="EO189:EO209" si="1977">IF(BI189="","","|n"&amp;EO$2&amp;"+"&amp;BI189&amp;EO$1)</f>
        <v/>
      </c>
      <c r="EP189" s="30" t="str">
        <f t="shared" ref="EP189:EP209" si="1978">IF(BJ189="","","|n"&amp;EP$2&amp;"+"&amp;BJ189&amp;EP$1)</f>
        <v/>
      </c>
      <c r="EQ189" s="30" t="str">
        <f t="shared" ref="EQ189:EQ209" si="1979">IF(BK189="","","|n"&amp;EQ$2&amp;"+"&amp;BK189&amp;EQ$1)</f>
        <v/>
      </c>
      <c r="ER189" s="30" t="str">
        <f t="shared" ref="ER189:ER209" si="1980">IF(BL189="","","|n"&amp;ER$2&amp;"+"&amp;BL189&amp;ER$1)</f>
        <v/>
      </c>
      <c r="ES189" s="30" t="str">
        <f t="shared" ref="ES189:ES209" si="1981">IF(BM189="","","|n"&amp;ES$2&amp;"+"&amp;BM189&amp;ES$1)</f>
        <v/>
      </c>
      <c r="ET189" s="30" t="str">
        <f t="shared" ref="ET189:ET209" si="1982">IF(BN189="","","|n"&amp;ET$2&amp;"+"&amp;BN189&amp;ET$1)</f>
        <v/>
      </c>
      <c r="EU189" s="30" t="str">
        <f t="shared" ref="EU189:EU209" si="1983">IF(BO189="","","|n"&amp;EU$2&amp;"+"&amp;BO189&amp;EU$1)</f>
        <v/>
      </c>
      <c r="EV189" s="30" t="str">
        <f t="shared" ref="EV189:EV209" si="1984">IF(BP189="","","|n"&amp;EV$2&amp;"+"&amp;BP189&amp;EV$1)</f>
        <v/>
      </c>
      <c r="EW189" s="30" t="str">
        <f t="shared" ref="EW189:EW209" si="1985">IF(BQ189="","","|n"&amp;EW$2&amp;"+"&amp;BQ189&amp;EW$1)</f>
        <v/>
      </c>
      <c r="EX189" s="30" t="str">
        <f t="shared" ref="EX189:EX209" si="1986">IF(BR189="","","|n"&amp;EX$2&amp;"+"&amp;BR189&amp;EX$1)</f>
        <v/>
      </c>
      <c r="EY189" s="30" t="str">
        <f t="shared" ref="EY189:EY209" si="1987">IF(BS189="","","|n"&amp;EY$2&amp;"+"&amp;BS189&amp;EY$1)</f>
        <v/>
      </c>
      <c r="EZ189" s="30" t="str">
        <f t="shared" ref="EZ189:EZ209" si="1988">IF(BT189="","","|n"&amp;EZ$2&amp;"+"&amp;BT189&amp;EZ$1)</f>
        <v/>
      </c>
      <c r="FA189" s="30" t="str">
        <f t="shared" ref="FA189:FA209" si="1989">IF(BU189="","","|n"&amp;FA$2&amp;"+"&amp;BU189&amp;FA$1)</f>
        <v/>
      </c>
      <c r="FB189" s="30" t="str">
        <f t="shared" ref="FB189:FB209" si="1990">IF(BV189="","","|n"&amp;FB$2&amp;"+"&amp;BV189&amp;FB$1)</f>
        <v/>
      </c>
      <c r="FC189" s="30" t="str">
        <f t="shared" ref="FC189:FC209" si="1991">IF(BW189="","","|n"&amp;FC$2&amp;"+"&amp;BW189&amp;FC$1)</f>
        <v/>
      </c>
      <c r="FD189" s="30" t="str">
        <f t="shared" ref="FD189:FD209" si="1992">IF(BX189="","","|n"&amp;FD$2&amp;"+"&amp;BX189&amp;FD$1)</f>
        <v/>
      </c>
      <c r="FE189" s="30" t="str">
        <f t="shared" ref="FE189:FE209" si="1993">IF(BY189="","","|n"&amp;FE$2&amp;"+"&amp;BY189&amp;FE$1)</f>
        <v/>
      </c>
      <c r="FF189" s="30" t="str">
        <f t="shared" ref="FF189:FF209" si="1994">IF(BZ189="","","|n"&amp;FF$2&amp;"+"&amp;BZ189&amp;FF$1)</f>
        <v/>
      </c>
      <c r="FG189" s="30" t="str">
        <f t="shared" ref="FG189:FG209" si="1995">IF(CA189="","","|n"&amp;FG$2&amp;"+"&amp;CA189&amp;FG$1)</f>
        <v/>
      </c>
      <c r="FH189" s="30" t="str">
        <f t="shared" ref="FH189:FH209" si="1996">IF(CB189="","","|n"&amp;FH$2&amp;"+"&amp;CB189&amp;FH$1)</f>
        <v/>
      </c>
      <c r="FI189" s="30" t="str">
        <f t="shared" ref="FI189:FI209" si="1997">IF(CC189="","","|n"&amp;FI$2&amp;"+"&amp;CC189&amp;FI$1)</f>
        <v/>
      </c>
      <c r="FJ189" s="30" t="str">
        <f t="shared" ref="FJ189:FJ209" si="1998">IF(CD189="","","|n"&amp;FJ$2&amp;"+"&amp;CD189&amp;FJ$1)</f>
        <v/>
      </c>
      <c r="FK189" s="30" t="str">
        <f t="shared" ref="FK189:FK209" si="1999">IF(CE189="","","|n"&amp;FK$2&amp;"+"&amp;CE189&amp;FK$1)</f>
        <v/>
      </c>
      <c r="FL189" s="30" t="str">
        <f t="shared" ref="FL189:FL209" si="2000">IF(CF189="","","|n"&amp;FL$2&amp;"+"&amp;CF189&amp;FL$1)</f>
        <v/>
      </c>
      <c r="FM189" s="30" t="str">
        <f t="shared" ref="FM189:FM209" si="2001">IF(CG189="","","|n"&amp;FM$2&amp;"+"&amp;CG189&amp;FM$1)</f>
        <v/>
      </c>
      <c r="FN189" s="30" t="str">
        <f t="shared" ref="FN189:FN209" si="2002">IF(CH189="","","|n"&amp;FN$2&amp;"+"&amp;CH189&amp;FN$1)</f>
        <v/>
      </c>
      <c r="FO189" s="30" t="str">
        <f t="shared" ref="FO189:FO209" si="2003">IF(CI189="","","|n"&amp;FO$2&amp;"+"&amp;CI189&amp;FO$1)</f>
        <v/>
      </c>
      <c r="FP189" s="30" t="str">
        <f t="shared" ref="FP189:FP209" si="2004">IF(CJ189="","","|n"&amp;FP$2&amp;"+"&amp;CJ189&amp;FP$1)</f>
        <v/>
      </c>
      <c r="FQ189" s="30" t="str">
        <f t="shared" ref="FQ189:FQ209" si="2005">IF(CK189="","","|n"&amp;FQ$2&amp;"+"&amp;CK189&amp;FQ$1)</f>
        <v/>
      </c>
      <c r="FR189" s="30" t="str">
        <f t="shared" ref="FR189:FR209" si="2006">IF(CL189="","","|n"&amp;FR$2&amp;"+"&amp;CL189&amp;FR$1)</f>
        <v/>
      </c>
      <c r="FS189" s="30" t="str">
        <f t="shared" ref="FS189:FS209" si="2007">IF(CM189="","","|n"&amp;FS$2&amp;"+"&amp;CM189&amp;FS$1)</f>
        <v/>
      </c>
    </row>
    <row r="190" spans="1:175">
      <c r="CN190" s="7" t="str">
        <f t="shared" si="1932"/>
        <v>InitUnitState('',,,,,,,,,,)</v>
      </c>
      <c r="CO190" s="7" t="str">
        <f t="shared" si="1933"/>
        <v>InitUnitNormal('',,,,,,,,,,)</v>
      </c>
      <c r="CP190" s="7" t="str">
        <f t="shared" si="1934"/>
        <v>InitUnitMagic('',,,,,,,,,,)</v>
      </c>
      <c r="CQ190" s="7" t="str">
        <f t="shared" si="1935"/>
        <v>InitUnitAdd('',,,,,,,,,,)</v>
      </c>
      <c r="CR190" s="7" t="str">
        <f t="shared" si="1936"/>
        <v>InitEquipData('',,"",,,,,'','','','','','',"")</v>
      </c>
      <c r="CU190" s="29" t="str">
        <f t="shared" si="1937"/>
        <v>|n</v>
      </c>
      <c r="CW190" s="24"/>
      <c r="CX190" s="24"/>
      <c r="CY190" s="24"/>
      <c r="CZ190" s="24"/>
      <c r="DA190" s="24"/>
      <c r="DB190" s="30" t="str">
        <f t="shared" si="1938"/>
        <v/>
      </c>
      <c r="DC190" s="30" t="str">
        <f t="shared" si="1939"/>
        <v/>
      </c>
      <c r="DD190" s="30" t="str">
        <f t="shared" si="1940"/>
        <v/>
      </c>
      <c r="DE190" s="30" t="str">
        <f t="shared" si="1941"/>
        <v/>
      </c>
      <c r="DF190" s="30" t="str">
        <f t="shared" si="1942"/>
        <v/>
      </c>
      <c r="DG190" s="30" t="str">
        <f t="shared" si="1943"/>
        <v/>
      </c>
      <c r="DH190" s="30" t="str">
        <f t="shared" si="1944"/>
        <v/>
      </c>
      <c r="DI190" s="30" t="str">
        <f t="shared" si="1945"/>
        <v/>
      </c>
      <c r="DJ190" s="30" t="str">
        <f t="shared" si="1946"/>
        <v/>
      </c>
      <c r="DK190" s="30" t="str">
        <f t="shared" si="1947"/>
        <v/>
      </c>
      <c r="DL190" s="30" t="str">
        <f t="shared" si="1948"/>
        <v/>
      </c>
      <c r="DM190" s="30" t="str">
        <f t="shared" si="1949"/>
        <v/>
      </c>
      <c r="DN190" s="30" t="str">
        <f t="shared" si="1950"/>
        <v/>
      </c>
      <c r="DO190" s="30" t="str">
        <f t="shared" si="1951"/>
        <v/>
      </c>
      <c r="DP190" s="30" t="str">
        <f t="shared" si="1952"/>
        <v/>
      </c>
      <c r="DQ190" s="30" t="str">
        <f t="shared" si="1953"/>
        <v/>
      </c>
      <c r="DR190" s="30" t="str">
        <f t="shared" si="1954"/>
        <v/>
      </c>
      <c r="DS190" s="30" t="str">
        <f t="shared" si="1955"/>
        <v/>
      </c>
      <c r="DT190" s="30" t="str">
        <f t="shared" si="1956"/>
        <v/>
      </c>
      <c r="DU190" s="30" t="str">
        <f t="shared" si="1957"/>
        <v/>
      </c>
      <c r="DV190" s="30" t="str">
        <f t="shared" si="1958"/>
        <v/>
      </c>
      <c r="DW190" s="30" t="str">
        <f t="shared" si="1959"/>
        <v/>
      </c>
      <c r="DX190" s="30" t="str">
        <f t="shared" si="1960"/>
        <v/>
      </c>
      <c r="DY190" s="30" t="str">
        <f t="shared" si="1961"/>
        <v/>
      </c>
      <c r="DZ190" s="30" t="str">
        <f t="shared" si="1962"/>
        <v/>
      </c>
      <c r="EA190" s="30" t="str">
        <f t="shared" si="1963"/>
        <v/>
      </c>
      <c r="EB190" s="30" t="str">
        <f t="shared" si="1964"/>
        <v/>
      </c>
      <c r="EC190" s="30" t="str">
        <f t="shared" si="1965"/>
        <v/>
      </c>
      <c r="ED190" s="30" t="str">
        <f t="shared" si="1966"/>
        <v/>
      </c>
      <c r="EE190" s="30" t="str">
        <f t="shared" si="1967"/>
        <v/>
      </c>
      <c r="EF190" s="30" t="str">
        <f t="shared" si="1968"/>
        <v/>
      </c>
      <c r="EG190" s="30" t="str">
        <f t="shared" si="1969"/>
        <v/>
      </c>
      <c r="EH190" s="30" t="str">
        <f t="shared" si="1970"/>
        <v/>
      </c>
      <c r="EI190" s="30" t="str">
        <f t="shared" si="1971"/>
        <v/>
      </c>
      <c r="EJ190" s="30" t="str">
        <f t="shared" si="1972"/>
        <v/>
      </c>
      <c r="EK190" s="30" t="str">
        <f t="shared" si="1973"/>
        <v/>
      </c>
      <c r="EL190" s="30" t="str">
        <f t="shared" si="1974"/>
        <v/>
      </c>
      <c r="EM190" s="30" t="str">
        <f t="shared" si="1975"/>
        <v/>
      </c>
      <c r="EN190" s="30" t="str">
        <f t="shared" si="1976"/>
        <v/>
      </c>
      <c r="EO190" s="30" t="str">
        <f t="shared" si="1977"/>
        <v/>
      </c>
      <c r="EP190" s="30" t="str">
        <f t="shared" si="1978"/>
        <v/>
      </c>
      <c r="EQ190" s="30" t="str">
        <f t="shared" si="1979"/>
        <v/>
      </c>
      <c r="ER190" s="30" t="str">
        <f t="shared" si="1980"/>
        <v/>
      </c>
      <c r="ES190" s="30" t="str">
        <f t="shared" si="1981"/>
        <v/>
      </c>
      <c r="ET190" s="30" t="str">
        <f t="shared" si="1982"/>
        <v/>
      </c>
      <c r="EU190" s="30" t="str">
        <f t="shared" si="1983"/>
        <v/>
      </c>
      <c r="EV190" s="30" t="str">
        <f t="shared" si="1984"/>
        <v/>
      </c>
      <c r="EW190" s="30" t="str">
        <f t="shared" si="1985"/>
        <v/>
      </c>
      <c r="EX190" s="30" t="str">
        <f t="shared" si="1986"/>
        <v/>
      </c>
      <c r="EY190" s="30" t="str">
        <f t="shared" si="1987"/>
        <v/>
      </c>
      <c r="EZ190" s="30" t="str">
        <f t="shared" si="1988"/>
        <v/>
      </c>
      <c r="FA190" s="30" t="str">
        <f t="shared" si="1989"/>
        <v/>
      </c>
      <c r="FB190" s="30" t="str">
        <f t="shared" si="1990"/>
        <v/>
      </c>
      <c r="FC190" s="30" t="str">
        <f t="shared" si="1991"/>
        <v/>
      </c>
      <c r="FD190" s="30" t="str">
        <f t="shared" si="1992"/>
        <v/>
      </c>
      <c r="FE190" s="30" t="str">
        <f t="shared" si="1993"/>
        <v/>
      </c>
      <c r="FF190" s="30" t="str">
        <f t="shared" si="1994"/>
        <v/>
      </c>
      <c r="FG190" s="30" t="str">
        <f t="shared" si="1995"/>
        <v/>
      </c>
      <c r="FH190" s="30" t="str">
        <f t="shared" si="1996"/>
        <v/>
      </c>
      <c r="FI190" s="30" t="str">
        <f t="shared" si="1997"/>
        <v/>
      </c>
      <c r="FJ190" s="30" t="str">
        <f t="shared" si="1998"/>
        <v/>
      </c>
      <c r="FK190" s="30" t="str">
        <f t="shared" si="1999"/>
        <v/>
      </c>
      <c r="FL190" s="30" t="str">
        <f t="shared" si="2000"/>
        <v/>
      </c>
      <c r="FM190" s="30" t="str">
        <f t="shared" si="2001"/>
        <v/>
      </c>
      <c r="FN190" s="30" t="str">
        <f t="shared" si="2002"/>
        <v/>
      </c>
      <c r="FO190" s="30" t="str">
        <f t="shared" si="2003"/>
        <v/>
      </c>
      <c r="FP190" s="30" t="str">
        <f t="shared" si="2004"/>
        <v/>
      </c>
      <c r="FQ190" s="30" t="str">
        <f t="shared" si="2005"/>
        <v/>
      </c>
      <c r="FR190" s="30" t="str">
        <f t="shared" si="2006"/>
        <v/>
      </c>
      <c r="FS190" s="30" t="str">
        <f t="shared" si="2007"/>
        <v/>
      </c>
    </row>
    <row r="191" spans="1:175">
      <c r="CN191" s="7" t="str">
        <f t="shared" si="1932"/>
        <v>InitUnitState('',,,,,,,,,,)</v>
      </c>
      <c r="CO191" s="7" t="str">
        <f t="shared" si="1933"/>
        <v>InitUnitNormal('',,,,,,,,,,)</v>
      </c>
      <c r="CP191" s="7" t="str">
        <f t="shared" si="1934"/>
        <v>InitUnitMagic('',,,,,,,,,,)</v>
      </c>
      <c r="CQ191" s="7" t="str">
        <f t="shared" si="1935"/>
        <v>InitUnitAdd('',,,,,,,,,,)</v>
      </c>
      <c r="CR191" s="7" t="str">
        <f t="shared" si="1936"/>
        <v>InitEquipData('',,"",,,,,'','','','','','',"")</v>
      </c>
      <c r="CU191" s="29" t="str">
        <f t="shared" si="1937"/>
        <v>|n</v>
      </c>
      <c r="CW191" s="24"/>
      <c r="CX191" s="24"/>
      <c r="CY191" s="24"/>
      <c r="CZ191" s="24"/>
      <c r="DA191" s="24"/>
      <c r="DB191" s="30" t="str">
        <f t="shared" si="1938"/>
        <v/>
      </c>
      <c r="DC191" s="30" t="str">
        <f t="shared" si="1939"/>
        <v/>
      </c>
      <c r="DD191" s="30" t="str">
        <f t="shared" si="1940"/>
        <v/>
      </c>
      <c r="DE191" s="30" t="str">
        <f t="shared" si="1941"/>
        <v/>
      </c>
      <c r="DF191" s="30" t="str">
        <f t="shared" si="1942"/>
        <v/>
      </c>
      <c r="DG191" s="30" t="str">
        <f t="shared" si="1943"/>
        <v/>
      </c>
      <c r="DH191" s="30" t="str">
        <f t="shared" si="1944"/>
        <v/>
      </c>
      <c r="DI191" s="30" t="str">
        <f t="shared" si="1945"/>
        <v/>
      </c>
      <c r="DJ191" s="30" t="str">
        <f t="shared" si="1946"/>
        <v/>
      </c>
      <c r="DK191" s="30" t="str">
        <f t="shared" si="1947"/>
        <v/>
      </c>
      <c r="DL191" s="30" t="str">
        <f t="shared" si="1948"/>
        <v/>
      </c>
      <c r="DM191" s="30" t="str">
        <f t="shared" si="1949"/>
        <v/>
      </c>
      <c r="DN191" s="30" t="str">
        <f t="shared" si="1950"/>
        <v/>
      </c>
      <c r="DO191" s="30" t="str">
        <f t="shared" si="1951"/>
        <v/>
      </c>
      <c r="DP191" s="30" t="str">
        <f t="shared" si="1952"/>
        <v/>
      </c>
      <c r="DQ191" s="30" t="str">
        <f t="shared" si="1953"/>
        <v/>
      </c>
      <c r="DR191" s="30" t="str">
        <f t="shared" si="1954"/>
        <v/>
      </c>
      <c r="DS191" s="30" t="str">
        <f t="shared" si="1955"/>
        <v/>
      </c>
      <c r="DT191" s="30" t="str">
        <f t="shared" si="1956"/>
        <v/>
      </c>
      <c r="DU191" s="30" t="str">
        <f t="shared" si="1957"/>
        <v/>
      </c>
      <c r="DV191" s="30" t="str">
        <f t="shared" si="1958"/>
        <v/>
      </c>
      <c r="DW191" s="30" t="str">
        <f t="shared" si="1959"/>
        <v/>
      </c>
      <c r="DX191" s="30" t="str">
        <f t="shared" si="1960"/>
        <v/>
      </c>
      <c r="DY191" s="30" t="str">
        <f t="shared" si="1961"/>
        <v/>
      </c>
      <c r="DZ191" s="30" t="str">
        <f t="shared" si="1962"/>
        <v/>
      </c>
      <c r="EA191" s="30" t="str">
        <f t="shared" si="1963"/>
        <v/>
      </c>
      <c r="EB191" s="30" t="str">
        <f t="shared" si="1964"/>
        <v/>
      </c>
      <c r="EC191" s="30" t="str">
        <f t="shared" si="1965"/>
        <v/>
      </c>
      <c r="ED191" s="30" t="str">
        <f t="shared" si="1966"/>
        <v/>
      </c>
      <c r="EE191" s="30" t="str">
        <f t="shared" si="1967"/>
        <v/>
      </c>
      <c r="EF191" s="30" t="str">
        <f t="shared" si="1968"/>
        <v/>
      </c>
      <c r="EG191" s="30" t="str">
        <f t="shared" si="1969"/>
        <v/>
      </c>
      <c r="EH191" s="30" t="str">
        <f t="shared" si="1970"/>
        <v/>
      </c>
      <c r="EI191" s="30" t="str">
        <f t="shared" si="1971"/>
        <v/>
      </c>
      <c r="EJ191" s="30" t="str">
        <f t="shared" si="1972"/>
        <v/>
      </c>
      <c r="EK191" s="30" t="str">
        <f t="shared" si="1973"/>
        <v/>
      </c>
      <c r="EL191" s="30" t="str">
        <f t="shared" si="1974"/>
        <v/>
      </c>
      <c r="EM191" s="30" t="str">
        <f t="shared" si="1975"/>
        <v/>
      </c>
      <c r="EN191" s="30" t="str">
        <f t="shared" si="1976"/>
        <v/>
      </c>
      <c r="EO191" s="30" t="str">
        <f t="shared" si="1977"/>
        <v/>
      </c>
      <c r="EP191" s="30" t="str">
        <f t="shared" si="1978"/>
        <v/>
      </c>
      <c r="EQ191" s="30" t="str">
        <f t="shared" si="1979"/>
        <v/>
      </c>
      <c r="ER191" s="30" t="str">
        <f t="shared" si="1980"/>
        <v/>
      </c>
      <c r="ES191" s="30" t="str">
        <f t="shared" si="1981"/>
        <v/>
      </c>
      <c r="ET191" s="30" t="str">
        <f t="shared" si="1982"/>
        <v/>
      </c>
      <c r="EU191" s="30" t="str">
        <f t="shared" si="1983"/>
        <v/>
      </c>
      <c r="EV191" s="30" t="str">
        <f t="shared" si="1984"/>
        <v/>
      </c>
      <c r="EW191" s="30" t="str">
        <f t="shared" si="1985"/>
        <v/>
      </c>
      <c r="EX191" s="30" t="str">
        <f t="shared" si="1986"/>
        <v/>
      </c>
      <c r="EY191" s="30" t="str">
        <f t="shared" si="1987"/>
        <v/>
      </c>
      <c r="EZ191" s="30" t="str">
        <f t="shared" si="1988"/>
        <v/>
      </c>
      <c r="FA191" s="30" t="str">
        <f t="shared" si="1989"/>
        <v/>
      </c>
      <c r="FB191" s="30" t="str">
        <f t="shared" si="1990"/>
        <v/>
      </c>
      <c r="FC191" s="30" t="str">
        <f t="shared" si="1991"/>
        <v/>
      </c>
      <c r="FD191" s="30" t="str">
        <f t="shared" si="1992"/>
        <v/>
      </c>
      <c r="FE191" s="30" t="str">
        <f t="shared" si="1993"/>
        <v/>
      </c>
      <c r="FF191" s="30" t="str">
        <f t="shared" si="1994"/>
        <v/>
      </c>
      <c r="FG191" s="30" t="str">
        <f t="shared" si="1995"/>
        <v/>
      </c>
      <c r="FH191" s="30" t="str">
        <f t="shared" si="1996"/>
        <v/>
      </c>
      <c r="FI191" s="30" t="str">
        <f t="shared" si="1997"/>
        <v/>
      </c>
      <c r="FJ191" s="30" t="str">
        <f t="shared" si="1998"/>
        <v/>
      </c>
      <c r="FK191" s="30" t="str">
        <f t="shared" si="1999"/>
        <v/>
      </c>
      <c r="FL191" s="30" t="str">
        <f t="shared" si="2000"/>
        <v/>
      </c>
      <c r="FM191" s="30" t="str">
        <f t="shared" si="2001"/>
        <v/>
      </c>
      <c r="FN191" s="30" t="str">
        <f t="shared" si="2002"/>
        <v/>
      </c>
      <c r="FO191" s="30" t="str">
        <f t="shared" si="2003"/>
        <v/>
      </c>
      <c r="FP191" s="30" t="str">
        <f t="shared" si="2004"/>
        <v/>
      </c>
      <c r="FQ191" s="30" t="str">
        <f t="shared" si="2005"/>
        <v/>
      </c>
      <c r="FR191" s="30" t="str">
        <f t="shared" si="2006"/>
        <v/>
      </c>
      <c r="FS191" s="30" t="str">
        <f t="shared" si="2007"/>
        <v/>
      </c>
    </row>
    <row r="192" spans="1:175">
      <c r="CN192" s="7" t="str">
        <f t="shared" si="1932"/>
        <v>InitUnitState('',,,,,,,,,,)</v>
      </c>
      <c r="CO192" s="7" t="str">
        <f t="shared" si="1933"/>
        <v>InitUnitNormal('',,,,,,,,,,)</v>
      </c>
      <c r="CP192" s="7" t="str">
        <f t="shared" si="1934"/>
        <v>InitUnitMagic('',,,,,,,,,,)</v>
      </c>
      <c r="CQ192" s="7" t="str">
        <f t="shared" si="1935"/>
        <v>InitUnitAdd('',,,,,,,,,,)</v>
      </c>
      <c r="CR192" s="7" t="str">
        <f t="shared" si="1936"/>
        <v>InitEquipData('',,"",,,,,'','','','','','',"")</v>
      </c>
      <c r="CU192" s="29" t="str">
        <f t="shared" si="1937"/>
        <v>|n</v>
      </c>
      <c r="CW192" s="24"/>
      <c r="CX192" s="24"/>
      <c r="CY192" s="24"/>
      <c r="CZ192" s="24"/>
      <c r="DA192" s="24"/>
      <c r="DB192" s="30" t="str">
        <f t="shared" si="1938"/>
        <v/>
      </c>
      <c r="DC192" s="30" t="str">
        <f t="shared" si="1939"/>
        <v/>
      </c>
      <c r="DD192" s="30" t="str">
        <f t="shared" si="1940"/>
        <v/>
      </c>
      <c r="DE192" s="30" t="str">
        <f t="shared" si="1941"/>
        <v/>
      </c>
      <c r="DF192" s="30" t="str">
        <f t="shared" si="1942"/>
        <v/>
      </c>
      <c r="DG192" s="30" t="str">
        <f t="shared" si="1943"/>
        <v/>
      </c>
      <c r="DH192" s="30" t="str">
        <f t="shared" si="1944"/>
        <v/>
      </c>
      <c r="DI192" s="30" t="str">
        <f t="shared" si="1945"/>
        <v/>
      </c>
      <c r="DJ192" s="30" t="str">
        <f t="shared" si="1946"/>
        <v/>
      </c>
      <c r="DK192" s="30" t="str">
        <f t="shared" si="1947"/>
        <v/>
      </c>
      <c r="DL192" s="30" t="str">
        <f t="shared" si="1948"/>
        <v/>
      </c>
      <c r="DM192" s="30" t="str">
        <f t="shared" si="1949"/>
        <v/>
      </c>
      <c r="DN192" s="30" t="str">
        <f t="shared" si="1950"/>
        <v/>
      </c>
      <c r="DO192" s="30" t="str">
        <f t="shared" si="1951"/>
        <v/>
      </c>
      <c r="DP192" s="30" t="str">
        <f t="shared" si="1952"/>
        <v/>
      </c>
      <c r="DQ192" s="30" t="str">
        <f t="shared" si="1953"/>
        <v/>
      </c>
      <c r="DR192" s="30" t="str">
        <f t="shared" si="1954"/>
        <v/>
      </c>
      <c r="DS192" s="30" t="str">
        <f t="shared" si="1955"/>
        <v/>
      </c>
      <c r="DT192" s="30" t="str">
        <f t="shared" si="1956"/>
        <v/>
      </c>
      <c r="DU192" s="30" t="str">
        <f t="shared" si="1957"/>
        <v/>
      </c>
      <c r="DV192" s="30" t="str">
        <f t="shared" si="1958"/>
        <v/>
      </c>
      <c r="DW192" s="30" t="str">
        <f t="shared" si="1959"/>
        <v/>
      </c>
      <c r="DX192" s="30" t="str">
        <f t="shared" si="1960"/>
        <v/>
      </c>
      <c r="DY192" s="30" t="str">
        <f t="shared" si="1961"/>
        <v/>
      </c>
      <c r="DZ192" s="30" t="str">
        <f t="shared" si="1962"/>
        <v/>
      </c>
      <c r="EA192" s="30" t="str">
        <f t="shared" si="1963"/>
        <v/>
      </c>
      <c r="EB192" s="30" t="str">
        <f t="shared" si="1964"/>
        <v/>
      </c>
      <c r="EC192" s="30" t="str">
        <f t="shared" si="1965"/>
        <v/>
      </c>
      <c r="ED192" s="30" t="str">
        <f t="shared" si="1966"/>
        <v/>
      </c>
      <c r="EE192" s="30" t="str">
        <f t="shared" si="1967"/>
        <v/>
      </c>
      <c r="EF192" s="30" t="str">
        <f t="shared" si="1968"/>
        <v/>
      </c>
      <c r="EG192" s="30" t="str">
        <f t="shared" si="1969"/>
        <v/>
      </c>
      <c r="EH192" s="30" t="str">
        <f t="shared" si="1970"/>
        <v/>
      </c>
      <c r="EI192" s="30" t="str">
        <f t="shared" si="1971"/>
        <v/>
      </c>
      <c r="EJ192" s="30" t="str">
        <f t="shared" si="1972"/>
        <v/>
      </c>
      <c r="EK192" s="30" t="str">
        <f t="shared" si="1973"/>
        <v/>
      </c>
      <c r="EL192" s="30" t="str">
        <f t="shared" si="1974"/>
        <v/>
      </c>
      <c r="EM192" s="30" t="str">
        <f t="shared" si="1975"/>
        <v/>
      </c>
      <c r="EN192" s="30" t="str">
        <f t="shared" si="1976"/>
        <v/>
      </c>
      <c r="EO192" s="30" t="str">
        <f t="shared" si="1977"/>
        <v/>
      </c>
      <c r="EP192" s="30" t="str">
        <f t="shared" si="1978"/>
        <v/>
      </c>
      <c r="EQ192" s="30" t="str">
        <f t="shared" si="1979"/>
        <v/>
      </c>
      <c r="ER192" s="30" t="str">
        <f t="shared" si="1980"/>
        <v/>
      </c>
      <c r="ES192" s="30" t="str">
        <f t="shared" si="1981"/>
        <v/>
      </c>
      <c r="ET192" s="30" t="str">
        <f t="shared" si="1982"/>
        <v/>
      </c>
      <c r="EU192" s="30" t="str">
        <f t="shared" si="1983"/>
        <v/>
      </c>
      <c r="EV192" s="30" t="str">
        <f t="shared" si="1984"/>
        <v/>
      </c>
      <c r="EW192" s="30" t="str">
        <f t="shared" si="1985"/>
        <v/>
      </c>
      <c r="EX192" s="30" t="str">
        <f t="shared" si="1986"/>
        <v/>
      </c>
      <c r="EY192" s="30" t="str">
        <f t="shared" si="1987"/>
        <v/>
      </c>
      <c r="EZ192" s="30" t="str">
        <f t="shared" si="1988"/>
        <v/>
      </c>
      <c r="FA192" s="30" t="str">
        <f t="shared" si="1989"/>
        <v/>
      </c>
      <c r="FB192" s="30" t="str">
        <f t="shared" si="1990"/>
        <v/>
      </c>
      <c r="FC192" s="30" t="str">
        <f t="shared" si="1991"/>
        <v/>
      </c>
      <c r="FD192" s="30" t="str">
        <f t="shared" si="1992"/>
        <v/>
      </c>
      <c r="FE192" s="30" t="str">
        <f t="shared" si="1993"/>
        <v/>
      </c>
      <c r="FF192" s="30" t="str">
        <f t="shared" si="1994"/>
        <v/>
      </c>
      <c r="FG192" s="30" t="str">
        <f t="shared" si="1995"/>
        <v/>
      </c>
      <c r="FH192" s="30" t="str">
        <f t="shared" si="1996"/>
        <v/>
      </c>
      <c r="FI192" s="30" t="str">
        <f t="shared" si="1997"/>
        <v/>
      </c>
      <c r="FJ192" s="30" t="str">
        <f t="shared" si="1998"/>
        <v/>
      </c>
      <c r="FK192" s="30" t="str">
        <f t="shared" si="1999"/>
        <v/>
      </c>
      <c r="FL192" s="30" t="str">
        <f t="shared" si="2000"/>
        <v/>
      </c>
      <c r="FM192" s="30" t="str">
        <f t="shared" si="2001"/>
        <v/>
      </c>
      <c r="FN192" s="30" t="str">
        <f t="shared" si="2002"/>
        <v/>
      </c>
      <c r="FO192" s="30" t="str">
        <f t="shared" si="2003"/>
        <v/>
      </c>
      <c r="FP192" s="30" t="str">
        <f t="shared" si="2004"/>
        <v/>
      </c>
      <c r="FQ192" s="30" t="str">
        <f t="shared" si="2005"/>
        <v/>
      </c>
      <c r="FR192" s="30" t="str">
        <f t="shared" si="2006"/>
        <v/>
      </c>
      <c r="FS192" s="30" t="str">
        <f t="shared" si="2007"/>
        <v/>
      </c>
    </row>
    <row r="193" spans="92:175">
      <c r="CN193" s="7" t="str">
        <f t="shared" si="1932"/>
        <v>InitUnitState('',,,,,,,,,,)</v>
      </c>
      <c r="CO193" s="7" t="str">
        <f t="shared" si="1933"/>
        <v>InitUnitNormal('',,,,,,,,,,)</v>
      </c>
      <c r="CP193" s="7" t="str">
        <f t="shared" si="1934"/>
        <v>InitUnitMagic('',,,,,,,,,,)</v>
      </c>
      <c r="CQ193" s="7" t="str">
        <f t="shared" si="1935"/>
        <v>InitUnitAdd('',,,,,,,,,,)</v>
      </c>
      <c r="CR193" s="7" t="str">
        <f t="shared" si="1936"/>
        <v>InitEquipData('',,"",,,,,'','','','','','',"")</v>
      </c>
      <c r="CU193" s="29" t="str">
        <f t="shared" si="1937"/>
        <v>|n</v>
      </c>
      <c r="CW193" s="24"/>
      <c r="CX193" s="24"/>
      <c r="CY193" s="24"/>
      <c r="CZ193" s="24"/>
      <c r="DA193" s="24"/>
      <c r="DB193" s="30" t="str">
        <f t="shared" si="1938"/>
        <v/>
      </c>
      <c r="DC193" s="30" t="str">
        <f t="shared" si="1939"/>
        <v/>
      </c>
      <c r="DD193" s="30" t="str">
        <f t="shared" si="1940"/>
        <v/>
      </c>
      <c r="DE193" s="30" t="str">
        <f t="shared" si="1941"/>
        <v/>
      </c>
      <c r="DF193" s="30" t="str">
        <f t="shared" si="1942"/>
        <v/>
      </c>
      <c r="DG193" s="30" t="str">
        <f t="shared" si="1943"/>
        <v/>
      </c>
      <c r="DH193" s="30" t="str">
        <f t="shared" si="1944"/>
        <v/>
      </c>
      <c r="DI193" s="30" t="str">
        <f t="shared" si="1945"/>
        <v/>
      </c>
      <c r="DJ193" s="30" t="str">
        <f t="shared" si="1946"/>
        <v/>
      </c>
      <c r="DK193" s="30" t="str">
        <f t="shared" si="1947"/>
        <v/>
      </c>
      <c r="DL193" s="30" t="str">
        <f t="shared" si="1948"/>
        <v/>
      </c>
      <c r="DM193" s="30" t="str">
        <f t="shared" si="1949"/>
        <v/>
      </c>
      <c r="DN193" s="30" t="str">
        <f t="shared" si="1950"/>
        <v/>
      </c>
      <c r="DO193" s="30" t="str">
        <f t="shared" si="1951"/>
        <v/>
      </c>
      <c r="DP193" s="30" t="str">
        <f t="shared" si="1952"/>
        <v/>
      </c>
      <c r="DQ193" s="30" t="str">
        <f t="shared" si="1953"/>
        <v/>
      </c>
      <c r="DR193" s="30" t="str">
        <f t="shared" si="1954"/>
        <v/>
      </c>
      <c r="DS193" s="30" t="str">
        <f t="shared" si="1955"/>
        <v/>
      </c>
      <c r="DT193" s="30" t="str">
        <f t="shared" si="1956"/>
        <v/>
      </c>
      <c r="DU193" s="30" t="str">
        <f t="shared" si="1957"/>
        <v/>
      </c>
      <c r="DV193" s="30" t="str">
        <f t="shared" si="1958"/>
        <v/>
      </c>
      <c r="DW193" s="30" t="str">
        <f t="shared" si="1959"/>
        <v/>
      </c>
      <c r="DX193" s="30" t="str">
        <f t="shared" si="1960"/>
        <v/>
      </c>
      <c r="DY193" s="30" t="str">
        <f t="shared" si="1961"/>
        <v/>
      </c>
      <c r="DZ193" s="30" t="str">
        <f t="shared" si="1962"/>
        <v/>
      </c>
      <c r="EA193" s="30" t="str">
        <f t="shared" si="1963"/>
        <v/>
      </c>
      <c r="EB193" s="30" t="str">
        <f t="shared" si="1964"/>
        <v/>
      </c>
      <c r="EC193" s="30" t="str">
        <f t="shared" si="1965"/>
        <v/>
      </c>
      <c r="ED193" s="30" t="str">
        <f t="shared" si="1966"/>
        <v/>
      </c>
      <c r="EE193" s="30" t="str">
        <f t="shared" si="1967"/>
        <v/>
      </c>
      <c r="EF193" s="30" t="str">
        <f t="shared" si="1968"/>
        <v/>
      </c>
      <c r="EG193" s="30" t="str">
        <f t="shared" si="1969"/>
        <v/>
      </c>
      <c r="EH193" s="30" t="str">
        <f t="shared" si="1970"/>
        <v/>
      </c>
      <c r="EI193" s="30" t="str">
        <f t="shared" si="1971"/>
        <v/>
      </c>
      <c r="EJ193" s="30" t="str">
        <f t="shared" si="1972"/>
        <v/>
      </c>
      <c r="EK193" s="30" t="str">
        <f t="shared" si="1973"/>
        <v/>
      </c>
      <c r="EL193" s="30" t="str">
        <f t="shared" si="1974"/>
        <v/>
      </c>
      <c r="EM193" s="30" t="str">
        <f t="shared" si="1975"/>
        <v/>
      </c>
      <c r="EN193" s="30" t="str">
        <f t="shared" si="1976"/>
        <v/>
      </c>
      <c r="EO193" s="30" t="str">
        <f t="shared" si="1977"/>
        <v/>
      </c>
      <c r="EP193" s="30" t="str">
        <f t="shared" si="1978"/>
        <v/>
      </c>
      <c r="EQ193" s="30" t="str">
        <f t="shared" si="1979"/>
        <v/>
      </c>
      <c r="ER193" s="30" t="str">
        <f t="shared" si="1980"/>
        <v/>
      </c>
      <c r="ES193" s="30" t="str">
        <f t="shared" si="1981"/>
        <v/>
      </c>
      <c r="ET193" s="30" t="str">
        <f t="shared" si="1982"/>
        <v/>
      </c>
      <c r="EU193" s="30" t="str">
        <f t="shared" si="1983"/>
        <v/>
      </c>
      <c r="EV193" s="30" t="str">
        <f t="shared" si="1984"/>
        <v/>
      </c>
      <c r="EW193" s="30" t="str">
        <f t="shared" si="1985"/>
        <v/>
      </c>
      <c r="EX193" s="30" t="str">
        <f t="shared" si="1986"/>
        <v/>
      </c>
      <c r="EY193" s="30" t="str">
        <f t="shared" si="1987"/>
        <v/>
      </c>
      <c r="EZ193" s="30" t="str">
        <f t="shared" si="1988"/>
        <v/>
      </c>
      <c r="FA193" s="30" t="str">
        <f t="shared" si="1989"/>
        <v/>
      </c>
      <c r="FB193" s="30" t="str">
        <f t="shared" si="1990"/>
        <v/>
      </c>
      <c r="FC193" s="30" t="str">
        <f t="shared" si="1991"/>
        <v/>
      </c>
      <c r="FD193" s="30" t="str">
        <f t="shared" si="1992"/>
        <v/>
      </c>
      <c r="FE193" s="30" t="str">
        <f t="shared" si="1993"/>
        <v/>
      </c>
      <c r="FF193" s="30" t="str">
        <f t="shared" si="1994"/>
        <v/>
      </c>
      <c r="FG193" s="30" t="str">
        <f t="shared" si="1995"/>
        <v/>
      </c>
      <c r="FH193" s="30" t="str">
        <f t="shared" si="1996"/>
        <v/>
      </c>
      <c r="FI193" s="30" t="str">
        <f t="shared" si="1997"/>
        <v/>
      </c>
      <c r="FJ193" s="30" t="str">
        <f t="shared" si="1998"/>
        <v/>
      </c>
      <c r="FK193" s="30" t="str">
        <f t="shared" si="1999"/>
        <v/>
      </c>
      <c r="FL193" s="30" t="str">
        <f t="shared" si="2000"/>
        <v/>
      </c>
      <c r="FM193" s="30" t="str">
        <f t="shared" si="2001"/>
        <v/>
      </c>
      <c r="FN193" s="30" t="str">
        <f t="shared" si="2002"/>
        <v/>
      </c>
      <c r="FO193" s="30" t="str">
        <f t="shared" si="2003"/>
        <v/>
      </c>
      <c r="FP193" s="30" t="str">
        <f t="shared" si="2004"/>
        <v/>
      </c>
      <c r="FQ193" s="30" t="str">
        <f t="shared" si="2005"/>
        <v/>
      </c>
      <c r="FR193" s="30" t="str">
        <f t="shared" si="2006"/>
        <v/>
      </c>
      <c r="FS193" s="30" t="str">
        <f t="shared" si="2007"/>
        <v/>
      </c>
    </row>
    <row r="194" spans="92:175">
      <c r="CN194" s="7" t="str">
        <f t="shared" si="1932"/>
        <v>InitUnitState('',,,,,,,,,,)</v>
      </c>
      <c r="CO194" s="7" t="str">
        <f t="shared" si="1933"/>
        <v>InitUnitNormal('',,,,,,,,,,)</v>
      </c>
      <c r="CP194" s="7" t="str">
        <f t="shared" si="1934"/>
        <v>InitUnitMagic('',,,,,,,,,,)</v>
      </c>
      <c r="CQ194" s="7" t="str">
        <f t="shared" si="1935"/>
        <v>InitUnitAdd('',,,,,,,,,,)</v>
      </c>
      <c r="CR194" s="7" t="str">
        <f t="shared" si="1936"/>
        <v>InitEquipData('',,"",,,,,'','','','','','',"")</v>
      </c>
      <c r="CU194" s="29" t="str">
        <f t="shared" si="1937"/>
        <v>|n</v>
      </c>
      <c r="CW194" s="24"/>
      <c r="CX194" s="24"/>
      <c r="CY194" s="24"/>
      <c r="CZ194" s="24"/>
      <c r="DA194" s="24"/>
      <c r="DB194" s="30" t="str">
        <f t="shared" si="1938"/>
        <v/>
      </c>
      <c r="DC194" s="30" t="str">
        <f t="shared" si="1939"/>
        <v/>
      </c>
      <c r="DD194" s="30" t="str">
        <f t="shared" si="1940"/>
        <v/>
      </c>
      <c r="DE194" s="30" t="str">
        <f t="shared" si="1941"/>
        <v/>
      </c>
      <c r="DF194" s="30" t="str">
        <f t="shared" si="1942"/>
        <v/>
      </c>
      <c r="DG194" s="30" t="str">
        <f t="shared" si="1943"/>
        <v/>
      </c>
      <c r="DH194" s="30" t="str">
        <f t="shared" si="1944"/>
        <v/>
      </c>
      <c r="DI194" s="30" t="str">
        <f t="shared" si="1945"/>
        <v/>
      </c>
      <c r="DJ194" s="30" t="str">
        <f t="shared" si="1946"/>
        <v/>
      </c>
      <c r="DK194" s="30" t="str">
        <f t="shared" si="1947"/>
        <v/>
      </c>
      <c r="DL194" s="30" t="str">
        <f t="shared" si="1948"/>
        <v/>
      </c>
      <c r="DM194" s="30" t="str">
        <f t="shared" si="1949"/>
        <v/>
      </c>
      <c r="DN194" s="30" t="str">
        <f t="shared" si="1950"/>
        <v/>
      </c>
      <c r="DO194" s="30" t="str">
        <f t="shared" si="1951"/>
        <v/>
      </c>
      <c r="DP194" s="30" t="str">
        <f t="shared" si="1952"/>
        <v/>
      </c>
      <c r="DQ194" s="30" t="str">
        <f t="shared" si="1953"/>
        <v/>
      </c>
      <c r="DR194" s="30" t="str">
        <f t="shared" si="1954"/>
        <v/>
      </c>
      <c r="DS194" s="30" t="str">
        <f t="shared" si="1955"/>
        <v/>
      </c>
      <c r="DT194" s="30" t="str">
        <f t="shared" si="1956"/>
        <v/>
      </c>
      <c r="DU194" s="30" t="str">
        <f t="shared" si="1957"/>
        <v/>
      </c>
      <c r="DV194" s="30" t="str">
        <f t="shared" si="1958"/>
        <v/>
      </c>
      <c r="DW194" s="30" t="str">
        <f t="shared" si="1959"/>
        <v/>
      </c>
      <c r="DX194" s="30" t="str">
        <f t="shared" si="1960"/>
        <v/>
      </c>
      <c r="DY194" s="30" t="str">
        <f t="shared" si="1961"/>
        <v/>
      </c>
      <c r="DZ194" s="30" t="str">
        <f t="shared" si="1962"/>
        <v/>
      </c>
      <c r="EA194" s="30" t="str">
        <f t="shared" si="1963"/>
        <v/>
      </c>
      <c r="EB194" s="30" t="str">
        <f t="shared" si="1964"/>
        <v/>
      </c>
      <c r="EC194" s="30" t="str">
        <f t="shared" si="1965"/>
        <v/>
      </c>
      <c r="ED194" s="30" t="str">
        <f t="shared" si="1966"/>
        <v/>
      </c>
      <c r="EE194" s="30" t="str">
        <f t="shared" si="1967"/>
        <v/>
      </c>
      <c r="EF194" s="30" t="str">
        <f t="shared" si="1968"/>
        <v/>
      </c>
      <c r="EG194" s="30" t="str">
        <f t="shared" si="1969"/>
        <v/>
      </c>
      <c r="EH194" s="30" t="str">
        <f t="shared" si="1970"/>
        <v/>
      </c>
      <c r="EI194" s="30" t="str">
        <f t="shared" si="1971"/>
        <v/>
      </c>
      <c r="EJ194" s="30" t="str">
        <f t="shared" si="1972"/>
        <v/>
      </c>
      <c r="EK194" s="30" t="str">
        <f t="shared" si="1973"/>
        <v/>
      </c>
      <c r="EL194" s="30" t="str">
        <f t="shared" si="1974"/>
        <v/>
      </c>
      <c r="EM194" s="30" t="str">
        <f t="shared" si="1975"/>
        <v/>
      </c>
      <c r="EN194" s="30" t="str">
        <f t="shared" si="1976"/>
        <v/>
      </c>
      <c r="EO194" s="30" t="str">
        <f t="shared" si="1977"/>
        <v/>
      </c>
      <c r="EP194" s="30" t="str">
        <f t="shared" si="1978"/>
        <v/>
      </c>
      <c r="EQ194" s="30" t="str">
        <f t="shared" si="1979"/>
        <v/>
      </c>
      <c r="ER194" s="30" t="str">
        <f t="shared" si="1980"/>
        <v/>
      </c>
      <c r="ES194" s="30" t="str">
        <f t="shared" si="1981"/>
        <v/>
      </c>
      <c r="ET194" s="30" t="str">
        <f t="shared" si="1982"/>
        <v/>
      </c>
      <c r="EU194" s="30" t="str">
        <f t="shared" si="1983"/>
        <v/>
      </c>
      <c r="EV194" s="30" t="str">
        <f t="shared" si="1984"/>
        <v/>
      </c>
      <c r="EW194" s="30" t="str">
        <f t="shared" si="1985"/>
        <v/>
      </c>
      <c r="EX194" s="30" t="str">
        <f t="shared" si="1986"/>
        <v/>
      </c>
      <c r="EY194" s="30" t="str">
        <f t="shared" si="1987"/>
        <v/>
      </c>
      <c r="EZ194" s="30" t="str">
        <f t="shared" si="1988"/>
        <v/>
      </c>
      <c r="FA194" s="30" t="str">
        <f t="shared" si="1989"/>
        <v/>
      </c>
      <c r="FB194" s="30" t="str">
        <f t="shared" si="1990"/>
        <v/>
      </c>
      <c r="FC194" s="30" t="str">
        <f t="shared" si="1991"/>
        <v/>
      </c>
      <c r="FD194" s="30" t="str">
        <f t="shared" si="1992"/>
        <v/>
      </c>
      <c r="FE194" s="30" t="str">
        <f t="shared" si="1993"/>
        <v/>
      </c>
      <c r="FF194" s="30" t="str">
        <f t="shared" si="1994"/>
        <v/>
      </c>
      <c r="FG194" s="30" t="str">
        <f t="shared" si="1995"/>
        <v/>
      </c>
      <c r="FH194" s="30" t="str">
        <f t="shared" si="1996"/>
        <v/>
      </c>
      <c r="FI194" s="30" t="str">
        <f t="shared" si="1997"/>
        <v/>
      </c>
      <c r="FJ194" s="30" t="str">
        <f t="shared" si="1998"/>
        <v/>
      </c>
      <c r="FK194" s="30" t="str">
        <f t="shared" si="1999"/>
        <v/>
      </c>
      <c r="FL194" s="30" t="str">
        <f t="shared" si="2000"/>
        <v/>
      </c>
      <c r="FM194" s="30" t="str">
        <f t="shared" si="2001"/>
        <v/>
      </c>
      <c r="FN194" s="30" t="str">
        <f t="shared" si="2002"/>
        <v/>
      </c>
      <c r="FO194" s="30" t="str">
        <f t="shared" si="2003"/>
        <v/>
      </c>
      <c r="FP194" s="30" t="str">
        <f t="shared" si="2004"/>
        <v/>
      </c>
      <c r="FQ194" s="30" t="str">
        <f t="shared" si="2005"/>
        <v/>
      </c>
      <c r="FR194" s="30" t="str">
        <f t="shared" si="2006"/>
        <v/>
      </c>
      <c r="FS194" s="30" t="str">
        <f t="shared" si="2007"/>
        <v/>
      </c>
    </row>
    <row r="195" spans="92:175">
      <c r="CN195" s="7" t="str">
        <f t="shared" si="1932"/>
        <v>InitUnitState('',,,,,,,,,,)</v>
      </c>
      <c r="CO195" s="7" t="str">
        <f t="shared" si="1933"/>
        <v>InitUnitNormal('',,,,,,,,,,)</v>
      </c>
      <c r="CP195" s="7" t="str">
        <f t="shared" si="1934"/>
        <v>InitUnitMagic('',,,,,,,,,,)</v>
      </c>
      <c r="CQ195" s="7" t="str">
        <f t="shared" si="1935"/>
        <v>InitUnitAdd('',,,,,,,,,,)</v>
      </c>
      <c r="CR195" s="7" t="str">
        <f t="shared" si="1936"/>
        <v>InitEquipData('',,"",,,,,'','','','','','',"")</v>
      </c>
      <c r="CU195" s="29" t="str">
        <f t="shared" si="1937"/>
        <v>|n</v>
      </c>
      <c r="CW195" s="24"/>
      <c r="CX195" s="24"/>
      <c r="CY195" s="24"/>
      <c r="CZ195" s="24"/>
      <c r="DA195" s="24"/>
      <c r="DB195" s="30" t="str">
        <f t="shared" si="1938"/>
        <v/>
      </c>
      <c r="DC195" s="30" t="str">
        <f t="shared" si="1939"/>
        <v/>
      </c>
      <c r="DD195" s="30" t="str">
        <f t="shared" si="1940"/>
        <v/>
      </c>
      <c r="DE195" s="30" t="str">
        <f t="shared" si="1941"/>
        <v/>
      </c>
      <c r="DF195" s="30" t="str">
        <f t="shared" si="1942"/>
        <v/>
      </c>
      <c r="DG195" s="30" t="str">
        <f t="shared" si="1943"/>
        <v/>
      </c>
      <c r="DH195" s="30" t="str">
        <f t="shared" si="1944"/>
        <v/>
      </c>
      <c r="DI195" s="30" t="str">
        <f t="shared" si="1945"/>
        <v/>
      </c>
      <c r="DJ195" s="30" t="str">
        <f t="shared" si="1946"/>
        <v/>
      </c>
      <c r="DK195" s="30" t="str">
        <f t="shared" si="1947"/>
        <v/>
      </c>
      <c r="DL195" s="30" t="str">
        <f t="shared" si="1948"/>
        <v/>
      </c>
      <c r="DM195" s="30" t="str">
        <f t="shared" si="1949"/>
        <v/>
      </c>
      <c r="DN195" s="30" t="str">
        <f t="shared" si="1950"/>
        <v/>
      </c>
      <c r="DO195" s="30" t="str">
        <f t="shared" si="1951"/>
        <v/>
      </c>
      <c r="DP195" s="30" t="str">
        <f t="shared" si="1952"/>
        <v/>
      </c>
      <c r="DQ195" s="30" t="str">
        <f t="shared" si="1953"/>
        <v/>
      </c>
      <c r="DR195" s="30" t="str">
        <f t="shared" si="1954"/>
        <v/>
      </c>
      <c r="DS195" s="30" t="str">
        <f t="shared" si="1955"/>
        <v/>
      </c>
      <c r="DT195" s="30" t="str">
        <f t="shared" si="1956"/>
        <v/>
      </c>
      <c r="DU195" s="30" t="str">
        <f t="shared" si="1957"/>
        <v/>
      </c>
      <c r="DV195" s="30" t="str">
        <f t="shared" si="1958"/>
        <v/>
      </c>
      <c r="DW195" s="30" t="str">
        <f t="shared" si="1959"/>
        <v/>
      </c>
      <c r="DX195" s="30" t="str">
        <f t="shared" si="1960"/>
        <v/>
      </c>
      <c r="DY195" s="30" t="str">
        <f t="shared" si="1961"/>
        <v/>
      </c>
      <c r="DZ195" s="30" t="str">
        <f t="shared" si="1962"/>
        <v/>
      </c>
      <c r="EA195" s="30" t="str">
        <f t="shared" si="1963"/>
        <v/>
      </c>
      <c r="EB195" s="30" t="str">
        <f t="shared" si="1964"/>
        <v/>
      </c>
      <c r="EC195" s="30" t="str">
        <f t="shared" si="1965"/>
        <v/>
      </c>
      <c r="ED195" s="30" t="str">
        <f t="shared" si="1966"/>
        <v/>
      </c>
      <c r="EE195" s="30" t="str">
        <f t="shared" si="1967"/>
        <v/>
      </c>
      <c r="EF195" s="30" t="str">
        <f t="shared" si="1968"/>
        <v/>
      </c>
      <c r="EG195" s="30" t="str">
        <f t="shared" si="1969"/>
        <v/>
      </c>
      <c r="EH195" s="30" t="str">
        <f t="shared" si="1970"/>
        <v/>
      </c>
      <c r="EI195" s="30" t="str">
        <f t="shared" si="1971"/>
        <v/>
      </c>
      <c r="EJ195" s="30" t="str">
        <f t="shared" si="1972"/>
        <v/>
      </c>
      <c r="EK195" s="30" t="str">
        <f t="shared" si="1973"/>
        <v/>
      </c>
      <c r="EL195" s="30" t="str">
        <f t="shared" si="1974"/>
        <v/>
      </c>
      <c r="EM195" s="30" t="str">
        <f t="shared" si="1975"/>
        <v/>
      </c>
      <c r="EN195" s="30" t="str">
        <f t="shared" si="1976"/>
        <v/>
      </c>
      <c r="EO195" s="30" t="str">
        <f t="shared" si="1977"/>
        <v/>
      </c>
      <c r="EP195" s="30" t="str">
        <f t="shared" si="1978"/>
        <v/>
      </c>
      <c r="EQ195" s="30" t="str">
        <f t="shared" si="1979"/>
        <v/>
      </c>
      <c r="ER195" s="30" t="str">
        <f t="shared" si="1980"/>
        <v/>
      </c>
      <c r="ES195" s="30" t="str">
        <f t="shared" si="1981"/>
        <v/>
      </c>
      <c r="ET195" s="30" t="str">
        <f t="shared" si="1982"/>
        <v/>
      </c>
      <c r="EU195" s="30" t="str">
        <f t="shared" si="1983"/>
        <v/>
      </c>
      <c r="EV195" s="30" t="str">
        <f t="shared" si="1984"/>
        <v/>
      </c>
      <c r="EW195" s="30" t="str">
        <f t="shared" si="1985"/>
        <v/>
      </c>
      <c r="EX195" s="30" t="str">
        <f t="shared" si="1986"/>
        <v/>
      </c>
      <c r="EY195" s="30" t="str">
        <f t="shared" si="1987"/>
        <v/>
      </c>
      <c r="EZ195" s="30" t="str">
        <f t="shared" si="1988"/>
        <v/>
      </c>
      <c r="FA195" s="30" t="str">
        <f t="shared" si="1989"/>
        <v/>
      </c>
      <c r="FB195" s="30" t="str">
        <f t="shared" si="1990"/>
        <v/>
      </c>
      <c r="FC195" s="30" t="str">
        <f t="shared" si="1991"/>
        <v/>
      </c>
      <c r="FD195" s="30" t="str">
        <f t="shared" si="1992"/>
        <v/>
      </c>
      <c r="FE195" s="30" t="str">
        <f t="shared" si="1993"/>
        <v/>
      </c>
      <c r="FF195" s="30" t="str">
        <f t="shared" si="1994"/>
        <v/>
      </c>
      <c r="FG195" s="30" t="str">
        <f t="shared" si="1995"/>
        <v/>
      </c>
      <c r="FH195" s="30" t="str">
        <f t="shared" si="1996"/>
        <v/>
      </c>
      <c r="FI195" s="30" t="str">
        <f t="shared" si="1997"/>
        <v/>
      </c>
      <c r="FJ195" s="30" t="str">
        <f t="shared" si="1998"/>
        <v/>
      </c>
      <c r="FK195" s="30" t="str">
        <f t="shared" si="1999"/>
        <v/>
      </c>
      <c r="FL195" s="30" t="str">
        <f t="shared" si="2000"/>
        <v/>
      </c>
      <c r="FM195" s="30" t="str">
        <f t="shared" si="2001"/>
        <v/>
      </c>
      <c r="FN195" s="30" t="str">
        <f t="shared" si="2002"/>
        <v/>
      </c>
      <c r="FO195" s="30" t="str">
        <f t="shared" si="2003"/>
        <v/>
      </c>
      <c r="FP195" s="30" t="str">
        <f t="shared" si="2004"/>
        <v/>
      </c>
      <c r="FQ195" s="30" t="str">
        <f t="shared" si="2005"/>
        <v/>
      </c>
      <c r="FR195" s="30" t="str">
        <f t="shared" si="2006"/>
        <v/>
      </c>
      <c r="FS195" s="30" t="str">
        <f t="shared" si="2007"/>
        <v/>
      </c>
    </row>
    <row r="196" spans="92:175">
      <c r="CN196" s="7" t="str">
        <f t="shared" si="1932"/>
        <v>InitUnitState('',,,,,,,,,,)</v>
      </c>
      <c r="CO196" s="7" t="str">
        <f t="shared" si="1933"/>
        <v>InitUnitNormal('',,,,,,,,,,)</v>
      </c>
      <c r="CP196" s="7" t="str">
        <f t="shared" si="1934"/>
        <v>InitUnitMagic('',,,,,,,,,,)</v>
      </c>
      <c r="CQ196" s="7" t="str">
        <f t="shared" si="1935"/>
        <v>InitUnitAdd('',,,,,,,,,,)</v>
      </c>
      <c r="CR196" s="7" t="str">
        <f t="shared" si="1936"/>
        <v>InitEquipData('',,"",,,,,'','','','','','',"")</v>
      </c>
      <c r="CU196" s="29" t="str">
        <f t="shared" si="1937"/>
        <v>|n</v>
      </c>
      <c r="CW196" s="24"/>
      <c r="CX196" s="24"/>
      <c r="CY196" s="24"/>
      <c r="CZ196" s="24"/>
      <c r="DA196" s="24"/>
      <c r="DB196" s="30" t="str">
        <f t="shared" si="1938"/>
        <v/>
      </c>
      <c r="DC196" s="30" t="str">
        <f t="shared" si="1939"/>
        <v/>
      </c>
      <c r="DD196" s="30" t="str">
        <f t="shared" si="1940"/>
        <v/>
      </c>
      <c r="DE196" s="30" t="str">
        <f t="shared" si="1941"/>
        <v/>
      </c>
      <c r="DF196" s="30" t="str">
        <f t="shared" si="1942"/>
        <v/>
      </c>
      <c r="DG196" s="30" t="str">
        <f t="shared" si="1943"/>
        <v/>
      </c>
      <c r="DH196" s="30" t="str">
        <f t="shared" si="1944"/>
        <v/>
      </c>
      <c r="DI196" s="30" t="str">
        <f t="shared" si="1945"/>
        <v/>
      </c>
      <c r="DJ196" s="30" t="str">
        <f t="shared" si="1946"/>
        <v/>
      </c>
      <c r="DK196" s="30" t="str">
        <f t="shared" si="1947"/>
        <v/>
      </c>
      <c r="DL196" s="30" t="str">
        <f t="shared" si="1948"/>
        <v/>
      </c>
      <c r="DM196" s="30" t="str">
        <f t="shared" si="1949"/>
        <v/>
      </c>
      <c r="DN196" s="30" t="str">
        <f t="shared" si="1950"/>
        <v/>
      </c>
      <c r="DO196" s="30" t="str">
        <f t="shared" si="1951"/>
        <v/>
      </c>
      <c r="DP196" s="30" t="str">
        <f t="shared" si="1952"/>
        <v/>
      </c>
      <c r="DQ196" s="30" t="str">
        <f t="shared" si="1953"/>
        <v/>
      </c>
      <c r="DR196" s="30" t="str">
        <f t="shared" si="1954"/>
        <v/>
      </c>
      <c r="DS196" s="30" t="str">
        <f t="shared" si="1955"/>
        <v/>
      </c>
      <c r="DT196" s="30" t="str">
        <f t="shared" si="1956"/>
        <v/>
      </c>
      <c r="DU196" s="30" t="str">
        <f t="shared" si="1957"/>
        <v/>
      </c>
      <c r="DV196" s="30" t="str">
        <f t="shared" si="1958"/>
        <v/>
      </c>
      <c r="DW196" s="30" t="str">
        <f t="shared" si="1959"/>
        <v/>
      </c>
      <c r="DX196" s="30" t="str">
        <f t="shared" si="1960"/>
        <v/>
      </c>
      <c r="DY196" s="30" t="str">
        <f t="shared" si="1961"/>
        <v/>
      </c>
      <c r="DZ196" s="30" t="str">
        <f t="shared" si="1962"/>
        <v/>
      </c>
      <c r="EA196" s="30" t="str">
        <f t="shared" si="1963"/>
        <v/>
      </c>
      <c r="EB196" s="30" t="str">
        <f t="shared" si="1964"/>
        <v/>
      </c>
      <c r="EC196" s="30" t="str">
        <f t="shared" si="1965"/>
        <v/>
      </c>
      <c r="ED196" s="30" t="str">
        <f t="shared" si="1966"/>
        <v/>
      </c>
      <c r="EE196" s="30" t="str">
        <f t="shared" si="1967"/>
        <v/>
      </c>
      <c r="EF196" s="30" t="str">
        <f t="shared" si="1968"/>
        <v/>
      </c>
      <c r="EG196" s="30" t="str">
        <f t="shared" si="1969"/>
        <v/>
      </c>
      <c r="EH196" s="30" t="str">
        <f t="shared" si="1970"/>
        <v/>
      </c>
      <c r="EI196" s="30" t="str">
        <f t="shared" si="1971"/>
        <v/>
      </c>
      <c r="EJ196" s="30" t="str">
        <f t="shared" si="1972"/>
        <v/>
      </c>
      <c r="EK196" s="30" t="str">
        <f t="shared" si="1973"/>
        <v/>
      </c>
      <c r="EL196" s="30" t="str">
        <f t="shared" si="1974"/>
        <v/>
      </c>
      <c r="EM196" s="30" t="str">
        <f t="shared" si="1975"/>
        <v/>
      </c>
      <c r="EN196" s="30" t="str">
        <f t="shared" si="1976"/>
        <v/>
      </c>
      <c r="EO196" s="30" t="str">
        <f t="shared" si="1977"/>
        <v/>
      </c>
      <c r="EP196" s="30" t="str">
        <f t="shared" si="1978"/>
        <v/>
      </c>
      <c r="EQ196" s="30" t="str">
        <f t="shared" si="1979"/>
        <v/>
      </c>
      <c r="ER196" s="30" t="str">
        <f t="shared" si="1980"/>
        <v/>
      </c>
      <c r="ES196" s="30" t="str">
        <f t="shared" si="1981"/>
        <v/>
      </c>
      <c r="ET196" s="30" t="str">
        <f t="shared" si="1982"/>
        <v/>
      </c>
      <c r="EU196" s="30" t="str">
        <f t="shared" si="1983"/>
        <v/>
      </c>
      <c r="EV196" s="30" t="str">
        <f t="shared" si="1984"/>
        <v/>
      </c>
      <c r="EW196" s="30" t="str">
        <f t="shared" si="1985"/>
        <v/>
      </c>
      <c r="EX196" s="30" t="str">
        <f t="shared" si="1986"/>
        <v/>
      </c>
      <c r="EY196" s="30" t="str">
        <f t="shared" si="1987"/>
        <v/>
      </c>
      <c r="EZ196" s="30" t="str">
        <f t="shared" si="1988"/>
        <v/>
      </c>
      <c r="FA196" s="30" t="str">
        <f t="shared" si="1989"/>
        <v/>
      </c>
      <c r="FB196" s="30" t="str">
        <f t="shared" si="1990"/>
        <v/>
      </c>
      <c r="FC196" s="30" t="str">
        <f t="shared" si="1991"/>
        <v/>
      </c>
      <c r="FD196" s="30" t="str">
        <f t="shared" si="1992"/>
        <v/>
      </c>
      <c r="FE196" s="30" t="str">
        <f t="shared" si="1993"/>
        <v/>
      </c>
      <c r="FF196" s="30" t="str">
        <f t="shared" si="1994"/>
        <v/>
      </c>
      <c r="FG196" s="30" t="str">
        <f t="shared" si="1995"/>
        <v/>
      </c>
      <c r="FH196" s="30" t="str">
        <f t="shared" si="1996"/>
        <v/>
      </c>
      <c r="FI196" s="30" t="str">
        <f t="shared" si="1997"/>
        <v/>
      </c>
      <c r="FJ196" s="30" t="str">
        <f t="shared" si="1998"/>
        <v/>
      </c>
      <c r="FK196" s="30" t="str">
        <f t="shared" si="1999"/>
        <v/>
      </c>
      <c r="FL196" s="30" t="str">
        <f t="shared" si="2000"/>
        <v/>
      </c>
      <c r="FM196" s="30" t="str">
        <f t="shared" si="2001"/>
        <v/>
      </c>
      <c r="FN196" s="30" t="str">
        <f t="shared" si="2002"/>
        <v/>
      </c>
      <c r="FO196" s="30" t="str">
        <f t="shared" si="2003"/>
        <v/>
      </c>
      <c r="FP196" s="30" t="str">
        <f t="shared" si="2004"/>
        <v/>
      </c>
      <c r="FQ196" s="30" t="str">
        <f t="shared" si="2005"/>
        <v/>
      </c>
      <c r="FR196" s="30" t="str">
        <f t="shared" si="2006"/>
        <v/>
      </c>
      <c r="FS196" s="30" t="str">
        <f t="shared" si="2007"/>
        <v/>
      </c>
    </row>
    <row r="197" spans="92:175">
      <c r="CN197" s="7" t="str">
        <f t="shared" si="1932"/>
        <v>InitUnitState('',,,,,,,,,,)</v>
      </c>
      <c r="CO197" s="7" t="str">
        <f t="shared" si="1933"/>
        <v>InitUnitNormal('',,,,,,,,,,)</v>
      </c>
      <c r="CP197" s="7" t="str">
        <f t="shared" si="1934"/>
        <v>InitUnitMagic('',,,,,,,,,,)</v>
      </c>
      <c r="CQ197" s="7" t="str">
        <f t="shared" si="1935"/>
        <v>InitUnitAdd('',,,,,,,,,,)</v>
      </c>
      <c r="CR197" s="7" t="str">
        <f t="shared" si="1936"/>
        <v>InitEquipData('',,"",,,,,'','','','','','',"")</v>
      </c>
      <c r="CU197" s="29" t="str">
        <f t="shared" si="1937"/>
        <v>|n</v>
      </c>
      <c r="CW197" s="24"/>
      <c r="CX197" s="24"/>
      <c r="CY197" s="24"/>
      <c r="CZ197" s="24"/>
      <c r="DA197" s="24"/>
      <c r="DB197" s="30" t="str">
        <f t="shared" si="1938"/>
        <v/>
      </c>
      <c r="DC197" s="30" t="str">
        <f t="shared" si="1939"/>
        <v/>
      </c>
      <c r="DD197" s="30" t="str">
        <f t="shared" si="1940"/>
        <v/>
      </c>
      <c r="DE197" s="30" t="str">
        <f t="shared" si="1941"/>
        <v/>
      </c>
      <c r="DF197" s="30" t="str">
        <f t="shared" si="1942"/>
        <v/>
      </c>
      <c r="DG197" s="30" t="str">
        <f t="shared" si="1943"/>
        <v/>
      </c>
      <c r="DH197" s="30" t="str">
        <f t="shared" si="1944"/>
        <v/>
      </c>
      <c r="DI197" s="30" t="str">
        <f t="shared" si="1945"/>
        <v/>
      </c>
      <c r="DJ197" s="30" t="str">
        <f t="shared" si="1946"/>
        <v/>
      </c>
      <c r="DK197" s="30" t="str">
        <f t="shared" si="1947"/>
        <v/>
      </c>
      <c r="DL197" s="30" t="str">
        <f t="shared" si="1948"/>
        <v/>
      </c>
      <c r="DM197" s="30" t="str">
        <f t="shared" si="1949"/>
        <v/>
      </c>
      <c r="DN197" s="30" t="str">
        <f t="shared" si="1950"/>
        <v/>
      </c>
      <c r="DO197" s="30" t="str">
        <f t="shared" si="1951"/>
        <v/>
      </c>
      <c r="DP197" s="30" t="str">
        <f t="shared" si="1952"/>
        <v/>
      </c>
      <c r="DQ197" s="30" t="str">
        <f t="shared" si="1953"/>
        <v/>
      </c>
      <c r="DR197" s="30" t="str">
        <f t="shared" si="1954"/>
        <v/>
      </c>
      <c r="DS197" s="30" t="str">
        <f t="shared" si="1955"/>
        <v/>
      </c>
      <c r="DT197" s="30" t="str">
        <f t="shared" si="1956"/>
        <v/>
      </c>
      <c r="DU197" s="30" t="str">
        <f t="shared" si="1957"/>
        <v/>
      </c>
      <c r="DV197" s="30" t="str">
        <f t="shared" si="1958"/>
        <v/>
      </c>
      <c r="DW197" s="30" t="str">
        <f t="shared" si="1959"/>
        <v/>
      </c>
      <c r="DX197" s="30" t="str">
        <f t="shared" si="1960"/>
        <v/>
      </c>
      <c r="DY197" s="30" t="str">
        <f t="shared" si="1961"/>
        <v/>
      </c>
      <c r="DZ197" s="30" t="str">
        <f t="shared" si="1962"/>
        <v/>
      </c>
      <c r="EA197" s="30" t="str">
        <f t="shared" si="1963"/>
        <v/>
      </c>
      <c r="EB197" s="30" t="str">
        <f t="shared" si="1964"/>
        <v/>
      </c>
      <c r="EC197" s="30" t="str">
        <f t="shared" si="1965"/>
        <v/>
      </c>
      <c r="ED197" s="30" t="str">
        <f t="shared" si="1966"/>
        <v/>
      </c>
      <c r="EE197" s="30" t="str">
        <f t="shared" si="1967"/>
        <v/>
      </c>
      <c r="EF197" s="30" t="str">
        <f t="shared" si="1968"/>
        <v/>
      </c>
      <c r="EG197" s="30" t="str">
        <f t="shared" si="1969"/>
        <v/>
      </c>
      <c r="EH197" s="30" t="str">
        <f t="shared" si="1970"/>
        <v/>
      </c>
      <c r="EI197" s="30" t="str">
        <f t="shared" si="1971"/>
        <v/>
      </c>
      <c r="EJ197" s="30" t="str">
        <f t="shared" si="1972"/>
        <v/>
      </c>
      <c r="EK197" s="30" t="str">
        <f t="shared" si="1973"/>
        <v/>
      </c>
      <c r="EL197" s="30" t="str">
        <f t="shared" si="1974"/>
        <v/>
      </c>
      <c r="EM197" s="30" t="str">
        <f t="shared" si="1975"/>
        <v/>
      </c>
      <c r="EN197" s="30" t="str">
        <f t="shared" si="1976"/>
        <v/>
      </c>
      <c r="EO197" s="30" t="str">
        <f t="shared" si="1977"/>
        <v/>
      </c>
      <c r="EP197" s="30" t="str">
        <f t="shared" si="1978"/>
        <v/>
      </c>
      <c r="EQ197" s="30" t="str">
        <f t="shared" si="1979"/>
        <v/>
      </c>
      <c r="ER197" s="30" t="str">
        <f t="shared" si="1980"/>
        <v/>
      </c>
      <c r="ES197" s="30" t="str">
        <f t="shared" si="1981"/>
        <v/>
      </c>
      <c r="ET197" s="30" t="str">
        <f t="shared" si="1982"/>
        <v/>
      </c>
      <c r="EU197" s="30" t="str">
        <f t="shared" si="1983"/>
        <v/>
      </c>
      <c r="EV197" s="30" t="str">
        <f t="shared" si="1984"/>
        <v/>
      </c>
      <c r="EW197" s="30" t="str">
        <f t="shared" si="1985"/>
        <v/>
      </c>
      <c r="EX197" s="30" t="str">
        <f t="shared" si="1986"/>
        <v/>
      </c>
      <c r="EY197" s="30" t="str">
        <f t="shared" si="1987"/>
        <v/>
      </c>
      <c r="EZ197" s="30" t="str">
        <f t="shared" si="1988"/>
        <v/>
      </c>
      <c r="FA197" s="30" t="str">
        <f t="shared" si="1989"/>
        <v/>
      </c>
      <c r="FB197" s="30" t="str">
        <f t="shared" si="1990"/>
        <v/>
      </c>
      <c r="FC197" s="30" t="str">
        <f t="shared" si="1991"/>
        <v/>
      </c>
      <c r="FD197" s="30" t="str">
        <f t="shared" si="1992"/>
        <v/>
      </c>
      <c r="FE197" s="30" t="str">
        <f t="shared" si="1993"/>
        <v/>
      </c>
      <c r="FF197" s="30" t="str">
        <f t="shared" si="1994"/>
        <v/>
      </c>
      <c r="FG197" s="30" t="str">
        <f t="shared" si="1995"/>
        <v/>
      </c>
      <c r="FH197" s="30" t="str">
        <f t="shared" si="1996"/>
        <v/>
      </c>
      <c r="FI197" s="30" t="str">
        <f t="shared" si="1997"/>
        <v/>
      </c>
      <c r="FJ197" s="30" t="str">
        <f t="shared" si="1998"/>
        <v/>
      </c>
      <c r="FK197" s="30" t="str">
        <f t="shared" si="1999"/>
        <v/>
      </c>
      <c r="FL197" s="30" t="str">
        <f t="shared" si="2000"/>
        <v/>
      </c>
      <c r="FM197" s="30" t="str">
        <f t="shared" si="2001"/>
        <v/>
      </c>
      <c r="FN197" s="30" t="str">
        <f t="shared" si="2002"/>
        <v/>
      </c>
      <c r="FO197" s="30" t="str">
        <f t="shared" si="2003"/>
        <v/>
      </c>
      <c r="FP197" s="30" t="str">
        <f t="shared" si="2004"/>
        <v/>
      </c>
      <c r="FQ197" s="30" t="str">
        <f t="shared" si="2005"/>
        <v/>
      </c>
      <c r="FR197" s="30" t="str">
        <f t="shared" si="2006"/>
        <v/>
      </c>
      <c r="FS197" s="30" t="str">
        <f t="shared" si="2007"/>
        <v/>
      </c>
    </row>
    <row r="198" spans="92:175">
      <c r="CN198" s="7" t="str">
        <f t="shared" si="1932"/>
        <v>InitUnitState('',,,,,,,,,,)</v>
      </c>
      <c r="CO198" s="7" t="str">
        <f t="shared" si="1933"/>
        <v>InitUnitNormal('',,,,,,,,,,)</v>
      </c>
      <c r="CP198" s="7" t="str">
        <f t="shared" si="1934"/>
        <v>InitUnitMagic('',,,,,,,,,,)</v>
      </c>
      <c r="CQ198" s="7" t="str">
        <f t="shared" si="1935"/>
        <v>InitUnitAdd('',,,,,,,,,,)</v>
      </c>
      <c r="CR198" s="7" t="str">
        <f t="shared" si="1936"/>
        <v>InitEquipData('',,"",,,,,'','','','','','',"")</v>
      </c>
      <c r="CU198" s="29" t="str">
        <f t="shared" si="1937"/>
        <v>|n</v>
      </c>
      <c r="CW198" s="24"/>
      <c r="CX198" s="24"/>
      <c r="CY198" s="24"/>
      <c r="CZ198" s="24"/>
      <c r="DA198" s="24"/>
      <c r="DB198" s="30" t="str">
        <f t="shared" si="1938"/>
        <v/>
      </c>
      <c r="DC198" s="30" t="str">
        <f t="shared" si="1939"/>
        <v/>
      </c>
      <c r="DD198" s="30" t="str">
        <f t="shared" si="1940"/>
        <v/>
      </c>
      <c r="DE198" s="30" t="str">
        <f t="shared" si="1941"/>
        <v/>
      </c>
      <c r="DF198" s="30" t="str">
        <f t="shared" si="1942"/>
        <v/>
      </c>
      <c r="DG198" s="30" t="str">
        <f t="shared" si="1943"/>
        <v/>
      </c>
      <c r="DH198" s="30" t="str">
        <f t="shared" si="1944"/>
        <v/>
      </c>
      <c r="DI198" s="30" t="str">
        <f t="shared" si="1945"/>
        <v/>
      </c>
      <c r="DJ198" s="30" t="str">
        <f t="shared" si="1946"/>
        <v/>
      </c>
      <c r="DK198" s="30" t="str">
        <f t="shared" si="1947"/>
        <v/>
      </c>
      <c r="DL198" s="30" t="str">
        <f t="shared" si="1948"/>
        <v/>
      </c>
      <c r="DM198" s="30" t="str">
        <f t="shared" si="1949"/>
        <v/>
      </c>
      <c r="DN198" s="30" t="str">
        <f t="shared" si="1950"/>
        <v/>
      </c>
      <c r="DO198" s="30" t="str">
        <f t="shared" si="1951"/>
        <v/>
      </c>
      <c r="DP198" s="30" t="str">
        <f t="shared" si="1952"/>
        <v/>
      </c>
      <c r="DQ198" s="30" t="str">
        <f t="shared" si="1953"/>
        <v/>
      </c>
      <c r="DR198" s="30" t="str">
        <f t="shared" si="1954"/>
        <v/>
      </c>
      <c r="DS198" s="30" t="str">
        <f t="shared" si="1955"/>
        <v/>
      </c>
      <c r="DT198" s="30" t="str">
        <f t="shared" si="1956"/>
        <v/>
      </c>
      <c r="DU198" s="30" t="str">
        <f t="shared" si="1957"/>
        <v/>
      </c>
      <c r="DV198" s="30" t="str">
        <f t="shared" si="1958"/>
        <v/>
      </c>
      <c r="DW198" s="30" t="str">
        <f t="shared" si="1959"/>
        <v/>
      </c>
      <c r="DX198" s="30" t="str">
        <f t="shared" si="1960"/>
        <v/>
      </c>
      <c r="DY198" s="30" t="str">
        <f t="shared" si="1961"/>
        <v/>
      </c>
      <c r="DZ198" s="30" t="str">
        <f t="shared" si="1962"/>
        <v/>
      </c>
      <c r="EA198" s="30" t="str">
        <f t="shared" si="1963"/>
        <v/>
      </c>
      <c r="EB198" s="30" t="str">
        <f t="shared" si="1964"/>
        <v/>
      </c>
      <c r="EC198" s="30" t="str">
        <f t="shared" si="1965"/>
        <v/>
      </c>
      <c r="ED198" s="30" t="str">
        <f t="shared" si="1966"/>
        <v/>
      </c>
      <c r="EE198" s="30" t="str">
        <f t="shared" si="1967"/>
        <v/>
      </c>
      <c r="EF198" s="30" t="str">
        <f t="shared" si="1968"/>
        <v/>
      </c>
      <c r="EG198" s="30" t="str">
        <f t="shared" si="1969"/>
        <v/>
      </c>
      <c r="EH198" s="30" t="str">
        <f t="shared" si="1970"/>
        <v/>
      </c>
      <c r="EI198" s="30" t="str">
        <f t="shared" si="1971"/>
        <v/>
      </c>
      <c r="EJ198" s="30" t="str">
        <f t="shared" si="1972"/>
        <v/>
      </c>
      <c r="EK198" s="30" t="str">
        <f t="shared" si="1973"/>
        <v/>
      </c>
      <c r="EL198" s="30" t="str">
        <f t="shared" si="1974"/>
        <v/>
      </c>
      <c r="EM198" s="30" t="str">
        <f t="shared" si="1975"/>
        <v/>
      </c>
      <c r="EN198" s="30" t="str">
        <f t="shared" si="1976"/>
        <v/>
      </c>
      <c r="EO198" s="30" t="str">
        <f t="shared" si="1977"/>
        <v/>
      </c>
      <c r="EP198" s="30" t="str">
        <f t="shared" si="1978"/>
        <v/>
      </c>
      <c r="EQ198" s="30" t="str">
        <f t="shared" si="1979"/>
        <v/>
      </c>
      <c r="ER198" s="30" t="str">
        <f t="shared" si="1980"/>
        <v/>
      </c>
      <c r="ES198" s="30" t="str">
        <f t="shared" si="1981"/>
        <v/>
      </c>
      <c r="ET198" s="30" t="str">
        <f t="shared" si="1982"/>
        <v/>
      </c>
      <c r="EU198" s="30" t="str">
        <f t="shared" si="1983"/>
        <v/>
      </c>
      <c r="EV198" s="30" t="str">
        <f t="shared" si="1984"/>
        <v/>
      </c>
      <c r="EW198" s="30" t="str">
        <f t="shared" si="1985"/>
        <v/>
      </c>
      <c r="EX198" s="30" t="str">
        <f t="shared" si="1986"/>
        <v/>
      </c>
      <c r="EY198" s="30" t="str">
        <f t="shared" si="1987"/>
        <v/>
      </c>
      <c r="EZ198" s="30" t="str">
        <f t="shared" si="1988"/>
        <v/>
      </c>
      <c r="FA198" s="30" t="str">
        <f t="shared" si="1989"/>
        <v/>
      </c>
      <c r="FB198" s="30" t="str">
        <f t="shared" si="1990"/>
        <v/>
      </c>
      <c r="FC198" s="30" t="str">
        <f t="shared" si="1991"/>
        <v/>
      </c>
      <c r="FD198" s="30" t="str">
        <f t="shared" si="1992"/>
        <v/>
      </c>
      <c r="FE198" s="30" t="str">
        <f t="shared" si="1993"/>
        <v/>
      </c>
      <c r="FF198" s="30" t="str">
        <f t="shared" si="1994"/>
        <v/>
      </c>
      <c r="FG198" s="30" t="str">
        <f t="shared" si="1995"/>
        <v/>
      </c>
      <c r="FH198" s="30" t="str">
        <f t="shared" si="1996"/>
        <v/>
      </c>
      <c r="FI198" s="30" t="str">
        <f t="shared" si="1997"/>
        <v/>
      </c>
      <c r="FJ198" s="30" t="str">
        <f t="shared" si="1998"/>
        <v/>
      </c>
      <c r="FK198" s="30" t="str">
        <f t="shared" si="1999"/>
        <v/>
      </c>
      <c r="FL198" s="30" t="str">
        <f t="shared" si="2000"/>
        <v/>
      </c>
      <c r="FM198" s="30" t="str">
        <f t="shared" si="2001"/>
        <v/>
      </c>
      <c r="FN198" s="30" t="str">
        <f t="shared" si="2002"/>
        <v/>
      </c>
      <c r="FO198" s="30" t="str">
        <f t="shared" si="2003"/>
        <v/>
      </c>
      <c r="FP198" s="30" t="str">
        <f t="shared" si="2004"/>
        <v/>
      </c>
      <c r="FQ198" s="30" t="str">
        <f t="shared" si="2005"/>
        <v/>
      </c>
      <c r="FR198" s="30" t="str">
        <f t="shared" si="2006"/>
        <v/>
      </c>
      <c r="FS198" s="30" t="str">
        <f t="shared" si="2007"/>
        <v/>
      </c>
    </row>
    <row r="199" spans="92:175">
      <c r="CN199" s="7" t="str">
        <f t="shared" si="1932"/>
        <v>InitUnitState('',,,,,,,,,,)</v>
      </c>
      <c r="CO199" s="7" t="str">
        <f t="shared" si="1933"/>
        <v>InitUnitNormal('',,,,,,,,,,)</v>
      </c>
      <c r="CP199" s="7" t="str">
        <f t="shared" si="1934"/>
        <v>InitUnitMagic('',,,,,,,,,,)</v>
      </c>
      <c r="CQ199" s="7" t="str">
        <f t="shared" si="1935"/>
        <v>InitUnitAdd('',,,,,,,,,,)</v>
      </c>
      <c r="CR199" s="7" t="str">
        <f t="shared" si="1936"/>
        <v>InitEquipData('',,"",,,,,'','','','','','',"")</v>
      </c>
      <c r="CU199" s="29" t="str">
        <f t="shared" si="1937"/>
        <v>|n</v>
      </c>
      <c r="CW199" s="24"/>
      <c r="CX199" s="24"/>
      <c r="CY199" s="24"/>
      <c r="CZ199" s="24"/>
      <c r="DA199" s="24"/>
      <c r="DB199" s="30" t="str">
        <f t="shared" si="1938"/>
        <v/>
      </c>
      <c r="DC199" s="30" t="str">
        <f t="shared" si="1939"/>
        <v/>
      </c>
      <c r="DD199" s="30" t="str">
        <f t="shared" si="1940"/>
        <v/>
      </c>
      <c r="DE199" s="30" t="str">
        <f t="shared" si="1941"/>
        <v/>
      </c>
      <c r="DF199" s="30" t="str">
        <f t="shared" si="1942"/>
        <v/>
      </c>
      <c r="DG199" s="30" t="str">
        <f t="shared" si="1943"/>
        <v/>
      </c>
      <c r="DH199" s="30" t="str">
        <f t="shared" si="1944"/>
        <v/>
      </c>
      <c r="DI199" s="30" t="str">
        <f t="shared" si="1945"/>
        <v/>
      </c>
      <c r="DJ199" s="30" t="str">
        <f t="shared" si="1946"/>
        <v/>
      </c>
      <c r="DK199" s="30" t="str">
        <f t="shared" si="1947"/>
        <v/>
      </c>
      <c r="DL199" s="30" t="str">
        <f t="shared" si="1948"/>
        <v/>
      </c>
      <c r="DM199" s="30" t="str">
        <f t="shared" si="1949"/>
        <v/>
      </c>
      <c r="DN199" s="30" t="str">
        <f t="shared" si="1950"/>
        <v/>
      </c>
      <c r="DO199" s="30" t="str">
        <f t="shared" si="1951"/>
        <v/>
      </c>
      <c r="DP199" s="30" t="str">
        <f t="shared" si="1952"/>
        <v/>
      </c>
      <c r="DQ199" s="30" t="str">
        <f t="shared" si="1953"/>
        <v/>
      </c>
      <c r="DR199" s="30" t="str">
        <f t="shared" si="1954"/>
        <v/>
      </c>
      <c r="DS199" s="30" t="str">
        <f t="shared" si="1955"/>
        <v/>
      </c>
      <c r="DT199" s="30" t="str">
        <f t="shared" si="1956"/>
        <v/>
      </c>
      <c r="DU199" s="30" t="str">
        <f t="shared" si="1957"/>
        <v/>
      </c>
      <c r="DV199" s="30" t="str">
        <f t="shared" si="1958"/>
        <v/>
      </c>
      <c r="DW199" s="30" t="str">
        <f t="shared" si="1959"/>
        <v/>
      </c>
      <c r="DX199" s="30" t="str">
        <f t="shared" si="1960"/>
        <v/>
      </c>
      <c r="DY199" s="30" t="str">
        <f t="shared" si="1961"/>
        <v/>
      </c>
      <c r="DZ199" s="30" t="str">
        <f t="shared" si="1962"/>
        <v/>
      </c>
      <c r="EA199" s="30" t="str">
        <f t="shared" si="1963"/>
        <v/>
      </c>
      <c r="EB199" s="30" t="str">
        <f t="shared" si="1964"/>
        <v/>
      </c>
      <c r="EC199" s="30" t="str">
        <f t="shared" si="1965"/>
        <v/>
      </c>
      <c r="ED199" s="30" t="str">
        <f t="shared" si="1966"/>
        <v/>
      </c>
      <c r="EE199" s="30" t="str">
        <f t="shared" si="1967"/>
        <v/>
      </c>
      <c r="EF199" s="30" t="str">
        <f t="shared" si="1968"/>
        <v/>
      </c>
      <c r="EG199" s="30" t="str">
        <f t="shared" si="1969"/>
        <v/>
      </c>
      <c r="EH199" s="30" t="str">
        <f t="shared" si="1970"/>
        <v/>
      </c>
      <c r="EI199" s="30" t="str">
        <f t="shared" si="1971"/>
        <v/>
      </c>
      <c r="EJ199" s="30" t="str">
        <f t="shared" si="1972"/>
        <v/>
      </c>
      <c r="EK199" s="30" t="str">
        <f t="shared" si="1973"/>
        <v/>
      </c>
      <c r="EL199" s="30" t="str">
        <f t="shared" si="1974"/>
        <v/>
      </c>
      <c r="EM199" s="30" t="str">
        <f t="shared" si="1975"/>
        <v/>
      </c>
      <c r="EN199" s="30" t="str">
        <f t="shared" si="1976"/>
        <v/>
      </c>
      <c r="EO199" s="30" t="str">
        <f t="shared" si="1977"/>
        <v/>
      </c>
      <c r="EP199" s="30" t="str">
        <f t="shared" si="1978"/>
        <v/>
      </c>
      <c r="EQ199" s="30" t="str">
        <f t="shared" si="1979"/>
        <v/>
      </c>
      <c r="ER199" s="30" t="str">
        <f t="shared" si="1980"/>
        <v/>
      </c>
      <c r="ES199" s="30" t="str">
        <f t="shared" si="1981"/>
        <v/>
      </c>
      <c r="ET199" s="30" t="str">
        <f t="shared" si="1982"/>
        <v/>
      </c>
      <c r="EU199" s="30" t="str">
        <f t="shared" si="1983"/>
        <v/>
      </c>
      <c r="EV199" s="30" t="str">
        <f t="shared" si="1984"/>
        <v/>
      </c>
      <c r="EW199" s="30" t="str">
        <f t="shared" si="1985"/>
        <v/>
      </c>
      <c r="EX199" s="30" t="str">
        <f t="shared" si="1986"/>
        <v/>
      </c>
      <c r="EY199" s="30" t="str">
        <f t="shared" si="1987"/>
        <v/>
      </c>
      <c r="EZ199" s="30" t="str">
        <f t="shared" si="1988"/>
        <v/>
      </c>
      <c r="FA199" s="30" t="str">
        <f t="shared" si="1989"/>
        <v/>
      </c>
      <c r="FB199" s="30" t="str">
        <f t="shared" si="1990"/>
        <v/>
      </c>
      <c r="FC199" s="30" t="str">
        <f t="shared" si="1991"/>
        <v/>
      </c>
      <c r="FD199" s="30" t="str">
        <f t="shared" si="1992"/>
        <v/>
      </c>
      <c r="FE199" s="30" t="str">
        <f t="shared" si="1993"/>
        <v/>
      </c>
      <c r="FF199" s="30" t="str">
        <f t="shared" si="1994"/>
        <v/>
      </c>
      <c r="FG199" s="30" t="str">
        <f t="shared" si="1995"/>
        <v/>
      </c>
      <c r="FH199" s="30" t="str">
        <f t="shared" si="1996"/>
        <v/>
      </c>
      <c r="FI199" s="30" t="str">
        <f t="shared" si="1997"/>
        <v/>
      </c>
      <c r="FJ199" s="30" t="str">
        <f t="shared" si="1998"/>
        <v/>
      </c>
      <c r="FK199" s="30" t="str">
        <f t="shared" si="1999"/>
        <v/>
      </c>
      <c r="FL199" s="30" t="str">
        <f t="shared" si="2000"/>
        <v/>
      </c>
      <c r="FM199" s="30" t="str">
        <f t="shared" si="2001"/>
        <v/>
      </c>
      <c r="FN199" s="30" t="str">
        <f t="shared" si="2002"/>
        <v/>
      </c>
      <c r="FO199" s="30" t="str">
        <f t="shared" si="2003"/>
        <v/>
      </c>
      <c r="FP199" s="30" t="str">
        <f t="shared" si="2004"/>
        <v/>
      </c>
      <c r="FQ199" s="30" t="str">
        <f t="shared" si="2005"/>
        <v/>
      </c>
      <c r="FR199" s="30" t="str">
        <f t="shared" si="2006"/>
        <v/>
      </c>
      <c r="FS199" s="30" t="str">
        <f t="shared" si="2007"/>
        <v/>
      </c>
    </row>
    <row r="200" spans="92:175">
      <c r="CN200" s="7" t="str">
        <f t="shared" si="1932"/>
        <v>InitUnitState('',,,,,,,,,,)</v>
      </c>
      <c r="CO200" s="7" t="str">
        <f t="shared" si="1933"/>
        <v>InitUnitNormal('',,,,,,,,,,)</v>
      </c>
      <c r="CP200" s="7" t="str">
        <f t="shared" si="1934"/>
        <v>InitUnitMagic('',,,,,,,,,,)</v>
      </c>
      <c r="CQ200" s="7" t="str">
        <f t="shared" si="1935"/>
        <v>InitUnitAdd('',,,,,,,,,,)</v>
      </c>
      <c r="CR200" s="7" t="str">
        <f t="shared" si="1936"/>
        <v>InitEquipData('',,"",,,,,'','','','','','',"")</v>
      </c>
      <c r="CU200" s="29" t="str">
        <f t="shared" si="1937"/>
        <v>|n</v>
      </c>
      <c r="CW200" s="24"/>
      <c r="CX200" s="24"/>
      <c r="CY200" s="24"/>
      <c r="CZ200" s="24"/>
      <c r="DA200" s="24"/>
      <c r="DB200" s="30" t="str">
        <f t="shared" si="1938"/>
        <v/>
      </c>
      <c r="DC200" s="30" t="str">
        <f t="shared" si="1939"/>
        <v/>
      </c>
      <c r="DD200" s="30" t="str">
        <f t="shared" si="1940"/>
        <v/>
      </c>
      <c r="DE200" s="30" t="str">
        <f t="shared" si="1941"/>
        <v/>
      </c>
      <c r="DF200" s="30" t="str">
        <f t="shared" si="1942"/>
        <v/>
      </c>
      <c r="DG200" s="30" t="str">
        <f t="shared" si="1943"/>
        <v/>
      </c>
      <c r="DH200" s="30" t="str">
        <f t="shared" si="1944"/>
        <v/>
      </c>
      <c r="DI200" s="30" t="str">
        <f t="shared" si="1945"/>
        <v/>
      </c>
      <c r="DJ200" s="30" t="str">
        <f t="shared" si="1946"/>
        <v/>
      </c>
      <c r="DK200" s="30" t="str">
        <f t="shared" si="1947"/>
        <v/>
      </c>
      <c r="DL200" s="30" t="str">
        <f t="shared" si="1948"/>
        <v/>
      </c>
      <c r="DM200" s="30" t="str">
        <f t="shared" si="1949"/>
        <v/>
      </c>
      <c r="DN200" s="30" t="str">
        <f t="shared" si="1950"/>
        <v/>
      </c>
      <c r="DO200" s="30" t="str">
        <f t="shared" si="1951"/>
        <v/>
      </c>
      <c r="DP200" s="30" t="str">
        <f t="shared" si="1952"/>
        <v/>
      </c>
      <c r="DQ200" s="30" t="str">
        <f t="shared" si="1953"/>
        <v/>
      </c>
      <c r="DR200" s="30" t="str">
        <f t="shared" si="1954"/>
        <v/>
      </c>
      <c r="DS200" s="30" t="str">
        <f t="shared" si="1955"/>
        <v/>
      </c>
      <c r="DT200" s="30" t="str">
        <f t="shared" si="1956"/>
        <v/>
      </c>
      <c r="DU200" s="30" t="str">
        <f t="shared" si="1957"/>
        <v/>
      </c>
      <c r="DV200" s="30" t="str">
        <f t="shared" si="1958"/>
        <v/>
      </c>
      <c r="DW200" s="30" t="str">
        <f t="shared" si="1959"/>
        <v/>
      </c>
      <c r="DX200" s="30" t="str">
        <f t="shared" si="1960"/>
        <v/>
      </c>
      <c r="DY200" s="30" t="str">
        <f t="shared" si="1961"/>
        <v/>
      </c>
      <c r="DZ200" s="30" t="str">
        <f t="shared" si="1962"/>
        <v/>
      </c>
      <c r="EA200" s="30" t="str">
        <f t="shared" si="1963"/>
        <v/>
      </c>
      <c r="EB200" s="30" t="str">
        <f t="shared" si="1964"/>
        <v/>
      </c>
      <c r="EC200" s="30" t="str">
        <f t="shared" si="1965"/>
        <v/>
      </c>
      <c r="ED200" s="30" t="str">
        <f t="shared" si="1966"/>
        <v/>
      </c>
      <c r="EE200" s="30" t="str">
        <f t="shared" si="1967"/>
        <v/>
      </c>
      <c r="EF200" s="30" t="str">
        <f t="shared" si="1968"/>
        <v/>
      </c>
      <c r="EG200" s="30" t="str">
        <f t="shared" si="1969"/>
        <v/>
      </c>
      <c r="EH200" s="30" t="str">
        <f t="shared" si="1970"/>
        <v/>
      </c>
      <c r="EI200" s="30" t="str">
        <f t="shared" si="1971"/>
        <v/>
      </c>
      <c r="EJ200" s="30" t="str">
        <f t="shared" si="1972"/>
        <v/>
      </c>
      <c r="EK200" s="30" t="str">
        <f t="shared" si="1973"/>
        <v/>
      </c>
      <c r="EL200" s="30" t="str">
        <f t="shared" si="1974"/>
        <v/>
      </c>
      <c r="EM200" s="30" t="str">
        <f t="shared" si="1975"/>
        <v/>
      </c>
      <c r="EN200" s="30" t="str">
        <f t="shared" si="1976"/>
        <v/>
      </c>
      <c r="EO200" s="30" t="str">
        <f t="shared" si="1977"/>
        <v/>
      </c>
      <c r="EP200" s="30" t="str">
        <f t="shared" si="1978"/>
        <v/>
      </c>
      <c r="EQ200" s="30" t="str">
        <f t="shared" si="1979"/>
        <v/>
      </c>
      <c r="ER200" s="30" t="str">
        <f t="shared" si="1980"/>
        <v/>
      </c>
      <c r="ES200" s="30" t="str">
        <f t="shared" si="1981"/>
        <v/>
      </c>
      <c r="ET200" s="30" t="str">
        <f t="shared" si="1982"/>
        <v/>
      </c>
      <c r="EU200" s="30" t="str">
        <f t="shared" si="1983"/>
        <v/>
      </c>
      <c r="EV200" s="30" t="str">
        <f t="shared" si="1984"/>
        <v/>
      </c>
      <c r="EW200" s="30" t="str">
        <f t="shared" si="1985"/>
        <v/>
      </c>
      <c r="EX200" s="30" t="str">
        <f t="shared" si="1986"/>
        <v/>
      </c>
      <c r="EY200" s="30" t="str">
        <f t="shared" si="1987"/>
        <v/>
      </c>
      <c r="EZ200" s="30" t="str">
        <f t="shared" si="1988"/>
        <v/>
      </c>
      <c r="FA200" s="30" t="str">
        <f t="shared" si="1989"/>
        <v/>
      </c>
      <c r="FB200" s="30" t="str">
        <f t="shared" si="1990"/>
        <v/>
      </c>
      <c r="FC200" s="30" t="str">
        <f t="shared" si="1991"/>
        <v/>
      </c>
      <c r="FD200" s="30" t="str">
        <f t="shared" si="1992"/>
        <v/>
      </c>
      <c r="FE200" s="30" t="str">
        <f t="shared" si="1993"/>
        <v/>
      </c>
      <c r="FF200" s="30" t="str">
        <f t="shared" si="1994"/>
        <v/>
      </c>
      <c r="FG200" s="30" t="str">
        <f t="shared" si="1995"/>
        <v/>
      </c>
      <c r="FH200" s="30" t="str">
        <f t="shared" si="1996"/>
        <v/>
      </c>
      <c r="FI200" s="30" t="str">
        <f t="shared" si="1997"/>
        <v/>
      </c>
      <c r="FJ200" s="30" t="str">
        <f t="shared" si="1998"/>
        <v/>
      </c>
      <c r="FK200" s="30" t="str">
        <f t="shared" si="1999"/>
        <v/>
      </c>
      <c r="FL200" s="30" t="str">
        <f t="shared" si="2000"/>
        <v/>
      </c>
      <c r="FM200" s="30" t="str">
        <f t="shared" si="2001"/>
        <v/>
      </c>
      <c r="FN200" s="30" t="str">
        <f t="shared" si="2002"/>
        <v/>
      </c>
      <c r="FO200" s="30" t="str">
        <f t="shared" si="2003"/>
        <v/>
      </c>
      <c r="FP200" s="30" t="str">
        <f t="shared" si="2004"/>
        <v/>
      </c>
      <c r="FQ200" s="30" t="str">
        <f t="shared" si="2005"/>
        <v/>
      </c>
      <c r="FR200" s="30" t="str">
        <f t="shared" si="2006"/>
        <v/>
      </c>
      <c r="FS200" s="30" t="str">
        <f t="shared" si="2007"/>
        <v/>
      </c>
    </row>
    <row r="201" spans="92:175">
      <c r="CN201" s="7" t="str">
        <f t="shared" si="1932"/>
        <v>InitUnitState('',,,,,,,,,,)</v>
      </c>
      <c r="CO201" s="7" t="str">
        <f t="shared" si="1933"/>
        <v>InitUnitNormal('',,,,,,,,,,)</v>
      </c>
      <c r="CP201" s="7" t="str">
        <f t="shared" si="1934"/>
        <v>InitUnitMagic('',,,,,,,,,,)</v>
      </c>
      <c r="CQ201" s="7" t="str">
        <f t="shared" si="1935"/>
        <v>InitUnitAdd('',,,,,,,,,,)</v>
      </c>
      <c r="CR201" s="7" t="str">
        <f t="shared" si="1936"/>
        <v>InitEquipData('',,"",,,,,'','','','','','',"")</v>
      </c>
      <c r="CU201" s="29" t="str">
        <f t="shared" si="1937"/>
        <v>|n</v>
      </c>
      <c r="CW201" s="24"/>
      <c r="CX201" s="24"/>
      <c r="CY201" s="24"/>
      <c r="CZ201" s="24"/>
      <c r="DA201" s="24"/>
      <c r="DB201" s="30" t="str">
        <f t="shared" si="1938"/>
        <v/>
      </c>
      <c r="DC201" s="30" t="str">
        <f t="shared" si="1939"/>
        <v/>
      </c>
      <c r="DD201" s="30" t="str">
        <f t="shared" si="1940"/>
        <v/>
      </c>
      <c r="DE201" s="30" t="str">
        <f t="shared" si="1941"/>
        <v/>
      </c>
      <c r="DF201" s="30" t="str">
        <f t="shared" si="1942"/>
        <v/>
      </c>
      <c r="DG201" s="30" t="str">
        <f t="shared" si="1943"/>
        <v/>
      </c>
      <c r="DH201" s="30" t="str">
        <f t="shared" si="1944"/>
        <v/>
      </c>
      <c r="DI201" s="30" t="str">
        <f t="shared" si="1945"/>
        <v/>
      </c>
      <c r="DJ201" s="30" t="str">
        <f t="shared" si="1946"/>
        <v/>
      </c>
      <c r="DK201" s="30" t="str">
        <f t="shared" si="1947"/>
        <v/>
      </c>
      <c r="DL201" s="30" t="str">
        <f t="shared" si="1948"/>
        <v/>
      </c>
      <c r="DM201" s="30" t="str">
        <f t="shared" si="1949"/>
        <v/>
      </c>
      <c r="DN201" s="30" t="str">
        <f t="shared" si="1950"/>
        <v/>
      </c>
      <c r="DO201" s="30" t="str">
        <f t="shared" si="1951"/>
        <v/>
      </c>
      <c r="DP201" s="30" t="str">
        <f t="shared" si="1952"/>
        <v/>
      </c>
      <c r="DQ201" s="30" t="str">
        <f t="shared" si="1953"/>
        <v/>
      </c>
      <c r="DR201" s="30" t="str">
        <f t="shared" si="1954"/>
        <v/>
      </c>
      <c r="DS201" s="30" t="str">
        <f t="shared" si="1955"/>
        <v/>
      </c>
      <c r="DT201" s="30" t="str">
        <f t="shared" si="1956"/>
        <v/>
      </c>
      <c r="DU201" s="30" t="str">
        <f t="shared" si="1957"/>
        <v/>
      </c>
      <c r="DV201" s="30" t="str">
        <f t="shared" si="1958"/>
        <v/>
      </c>
      <c r="DW201" s="30" t="str">
        <f t="shared" si="1959"/>
        <v/>
      </c>
      <c r="DX201" s="30" t="str">
        <f t="shared" si="1960"/>
        <v/>
      </c>
      <c r="DY201" s="30" t="str">
        <f t="shared" si="1961"/>
        <v/>
      </c>
      <c r="DZ201" s="30" t="str">
        <f t="shared" si="1962"/>
        <v/>
      </c>
      <c r="EA201" s="30" t="str">
        <f t="shared" si="1963"/>
        <v/>
      </c>
      <c r="EB201" s="30" t="str">
        <f t="shared" si="1964"/>
        <v/>
      </c>
      <c r="EC201" s="30" t="str">
        <f t="shared" si="1965"/>
        <v/>
      </c>
      <c r="ED201" s="30" t="str">
        <f t="shared" si="1966"/>
        <v/>
      </c>
      <c r="EE201" s="30" t="str">
        <f t="shared" si="1967"/>
        <v/>
      </c>
      <c r="EF201" s="30" t="str">
        <f t="shared" si="1968"/>
        <v/>
      </c>
      <c r="EG201" s="30" t="str">
        <f t="shared" si="1969"/>
        <v/>
      </c>
      <c r="EH201" s="30" t="str">
        <f t="shared" si="1970"/>
        <v/>
      </c>
      <c r="EI201" s="30" t="str">
        <f t="shared" si="1971"/>
        <v/>
      </c>
      <c r="EJ201" s="30" t="str">
        <f t="shared" si="1972"/>
        <v/>
      </c>
      <c r="EK201" s="30" t="str">
        <f t="shared" si="1973"/>
        <v/>
      </c>
      <c r="EL201" s="30" t="str">
        <f t="shared" si="1974"/>
        <v/>
      </c>
      <c r="EM201" s="30" t="str">
        <f t="shared" si="1975"/>
        <v/>
      </c>
      <c r="EN201" s="30" t="str">
        <f t="shared" si="1976"/>
        <v/>
      </c>
      <c r="EO201" s="30" t="str">
        <f t="shared" si="1977"/>
        <v/>
      </c>
      <c r="EP201" s="30" t="str">
        <f t="shared" si="1978"/>
        <v/>
      </c>
      <c r="EQ201" s="30" t="str">
        <f t="shared" si="1979"/>
        <v/>
      </c>
      <c r="ER201" s="30" t="str">
        <f t="shared" si="1980"/>
        <v/>
      </c>
      <c r="ES201" s="30" t="str">
        <f t="shared" si="1981"/>
        <v/>
      </c>
      <c r="ET201" s="30" t="str">
        <f t="shared" si="1982"/>
        <v/>
      </c>
      <c r="EU201" s="30" t="str">
        <f t="shared" si="1983"/>
        <v/>
      </c>
      <c r="EV201" s="30" t="str">
        <f t="shared" si="1984"/>
        <v/>
      </c>
      <c r="EW201" s="30" t="str">
        <f t="shared" si="1985"/>
        <v/>
      </c>
      <c r="EX201" s="30" t="str">
        <f t="shared" si="1986"/>
        <v/>
      </c>
      <c r="EY201" s="30" t="str">
        <f t="shared" si="1987"/>
        <v/>
      </c>
      <c r="EZ201" s="30" t="str">
        <f t="shared" si="1988"/>
        <v/>
      </c>
      <c r="FA201" s="30" t="str">
        <f t="shared" si="1989"/>
        <v/>
      </c>
      <c r="FB201" s="30" t="str">
        <f t="shared" si="1990"/>
        <v/>
      </c>
      <c r="FC201" s="30" t="str">
        <f t="shared" si="1991"/>
        <v/>
      </c>
      <c r="FD201" s="30" t="str">
        <f t="shared" si="1992"/>
        <v/>
      </c>
      <c r="FE201" s="30" t="str">
        <f t="shared" si="1993"/>
        <v/>
      </c>
      <c r="FF201" s="30" t="str">
        <f t="shared" si="1994"/>
        <v/>
      </c>
      <c r="FG201" s="30" t="str">
        <f t="shared" si="1995"/>
        <v/>
      </c>
      <c r="FH201" s="30" t="str">
        <f t="shared" si="1996"/>
        <v/>
      </c>
      <c r="FI201" s="30" t="str">
        <f t="shared" si="1997"/>
        <v/>
      </c>
      <c r="FJ201" s="30" t="str">
        <f t="shared" si="1998"/>
        <v/>
      </c>
      <c r="FK201" s="30" t="str">
        <f t="shared" si="1999"/>
        <v/>
      </c>
      <c r="FL201" s="30" t="str">
        <f t="shared" si="2000"/>
        <v/>
      </c>
      <c r="FM201" s="30" t="str">
        <f t="shared" si="2001"/>
        <v/>
      </c>
      <c r="FN201" s="30" t="str">
        <f t="shared" si="2002"/>
        <v/>
      </c>
      <c r="FO201" s="30" t="str">
        <f t="shared" si="2003"/>
        <v/>
      </c>
      <c r="FP201" s="30" t="str">
        <f t="shared" si="2004"/>
        <v/>
      </c>
      <c r="FQ201" s="30" t="str">
        <f t="shared" si="2005"/>
        <v/>
      </c>
      <c r="FR201" s="30" t="str">
        <f t="shared" si="2006"/>
        <v/>
      </c>
      <c r="FS201" s="30" t="str">
        <f t="shared" si="2007"/>
        <v/>
      </c>
    </row>
    <row r="202" spans="92:175">
      <c r="CN202" s="7" t="str">
        <f t="shared" si="1932"/>
        <v>InitUnitState('',,,,,,,,,,)</v>
      </c>
      <c r="CO202" s="7" t="str">
        <f t="shared" si="1933"/>
        <v>InitUnitNormal('',,,,,,,,,,)</v>
      </c>
      <c r="CP202" s="7" t="str">
        <f t="shared" si="1934"/>
        <v>InitUnitMagic('',,,,,,,,,,)</v>
      </c>
      <c r="CQ202" s="7" t="str">
        <f t="shared" si="1935"/>
        <v>InitUnitAdd('',,,,,,,,,,)</v>
      </c>
      <c r="CR202" s="7" t="str">
        <f t="shared" si="1936"/>
        <v>InitEquipData('',,"",,,,,'','','','','','',"")</v>
      </c>
      <c r="CU202" s="29" t="str">
        <f t="shared" ref="CU202:CU240" si="2008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W202" s="24"/>
      <c r="CX202" s="24"/>
      <c r="CY202" s="24"/>
      <c r="CZ202" s="24"/>
      <c r="DA202" s="24"/>
      <c r="DB202" s="30" t="str">
        <f t="shared" si="1938"/>
        <v/>
      </c>
      <c r="DC202" s="30" t="str">
        <f t="shared" si="1939"/>
        <v/>
      </c>
      <c r="DD202" s="30" t="str">
        <f t="shared" si="1940"/>
        <v/>
      </c>
      <c r="DE202" s="30" t="str">
        <f t="shared" si="1941"/>
        <v/>
      </c>
      <c r="DF202" s="30" t="str">
        <f t="shared" si="1942"/>
        <v/>
      </c>
      <c r="DG202" s="30" t="str">
        <f t="shared" si="1943"/>
        <v/>
      </c>
      <c r="DH202" s="30" t="str">
        <f t="shared" si="1944"/>
        <v/>
      </c>
      <c r="DI202" s="30" t="str">
        <f t="shared" si="1945"/>
        <v/>
      </c>
      <c r="DJ202" s="30" t="str">
        <f t="shared" si="1946"/>
        <v/>
      </c>
      <c r="DK202" s="30" t="str">
        <f t="shared" si="1947"/>
        <v/>
      </c>
      <c r="DL202" s="30" t="str">
        <f t="shared" si="1948"/>
        <v/>
      </c>
      <c r="DM202" s="30" t="str">
        <f t="shared" si="1949"/>
        <v/>
      </c>
      <c r="DN202" s="30" t="str">
        <f t="shared" si="1950"/>
        <v/>
      </c>
      <c r="DO202" s="30" t="str">
        <f t="shared" si="1951"/>
        <v/>
      </c>
      <c r="DP202" s="30" t="str">
        <f t="shared" si="1952"/>
        <v/>
      </c>
      <c r="DQ202" s="30" t="str">
        <f t="shared" si="1953"/>
        <v/>
      </c>
      <c r="DR202" s="30" t="str">
        <f t="shared" si="1954"/>
        <v/>
      </c>
      <c r="DS202" s="30" t="str">
        <f t="shared" si="1955"/>
        <v/>
      </c>
      <c r="DT202" s="30" t="str">
        <f t="shared" si="1956"/>
        <v/>
      </c>
      <c r="DU202" s="30" t="str">
        <f t="shared" si="1957"/>
        <v/>
      </c>
      <c r="DV202" s="30" t="str">
        <f t="shared" si="1958"/>
        <v/>
      </c>
      <c r="DW202" s="30" t="str">
        <f t="shared" si="1959"/>
        <v/>
      </c>
      <c r="DX202" s="30" t="str">
        <f t="shared" si="1960"/>
        <v/>
      </c>
      <c r="DY202" s="30" t="str">
        <f t="shared" si="1961"/>
        <v/>
      </c>
      <c r="DZ202" s="30" t="str">
        <f t="shared" si="1962"/>
        <v/>
      </c>
      <c r="EA202" s="30" t="str">
        <f t="shared" si="1963"/>
        <v/>
      </c>
      <c r="EB202" s="30" t="str">
        <f t="shared" si="1964"/>
        <v/>
      </c>
      <c r="EC202" s="30" t="str">
        <f t="shared" si="1965"/>
        <v/>
      </c>
      <c r="ED202" s="30" t="str">
        <f t="shared" si="1966"/>
        <v/>
      </c>
      <c r="EE202" s="30" t="str">
        <f t="shared" si="1967"/>
        <v/>
      </c>
      <c r="EF202" s="30" t="str">
        <f t="shared" si="1968"/>
        <v/>
      </c>
      <c r="EG202" s="30" t="str">
        <f t="shared" si="1969"/>
        <v/>
      </c>
      <c r="EH202" s="30" t="str">
        <f t="shared" si="1970"/>
        <v/>
      </c>
      <c r="EI202" s="30" t="str">
        <f t="shared" si="1971"/>
        <v/>
      </c>
      <c r="EJ202" s="30" t="str">
        <f t="shared" si="1972"/>
        <v/>
      </c>
      <c r="EK202" s="30" t="str">
        <f t="shared" si="1973"/>
        <v/>
      </c>
      <c r="EL202" s="30" t="str">
        <f t="shared" si="1974"/>
        <v/>
      </c>
      <c r="EM202" s="30" t="str">
        <f t="shared" si="1975"/>
        <v/>
      </c>
      <c r="EN202" s="30" t="str">
        <f t="shared" si="1976"/>
        <v/>
      </c>
      <c r="EO202" s="30" t="str">
        <f t="shared" si="1977"/>
        <v/>
      </c>
      <c r="EP202" s="30" t="str">
        <f t="shared" si="1978"/>
        <v/>
      </c>
      <c r="EQ202" s="30" t="str">
        <f t="shared" si="1979"/>
        <v/>
      </c>
      <c r="ER202" s="30" t="str">
        <f t="shared" si="1980"/>
        <v/>
      </c>
      <c r="ES202" s="30" t="str">
        <f t="shared" si="1981"/>
        <v/>
      </c>
      <c r="ET202" s="30" t="str">
        <f t="shared" si="1982"/>
        <v/>
      </c>
      <c r="EU202" s="30" t="str">
        <f t="shared" si="1983"/>
        <v/>
      </c>
      <c r="EV202" s="30" t="str">
        <f t="shared" si="1984"/>
        <v/>
      </c>
      <c r="EW202" s="30" t="str">
        <f t="shared" si="1985"/>
        <v/>
      </c>
      <c r="EX202" s="30" t="str">
        <f t="shared" si="1986"/>
        <v/>
      </c>
      <c r="EY202" s="30" t="str">
        <f t="shared" si="1987"/>
        <v/>
      </c>
      <c r="EZ202" s="30" t="str">
        <f t="shared" si="1988"/>
        <v/>
      </c>
      <c r="FA202" s="30" t="str">
        <f t="shared" si="1989"/>
        <v/>
      </c>
      <c r="FB202" s="30" t="str">
        <f t="shared" si="1990"/>
        <v/>
      </c>
      <c r="FC202" s="30" t="str">
        <f t="shared" si="1991"/>
        <v/>
      </c>
      <c r="FD202" s="30" t="str">
        <f t="shared" si="1992"/>
        <v/>
      </c>
      <c r="FE202" s="30" t="str">
        <f t="shared" si="1993"/>
        <v/>
      </c>
      <c r="FF202" s="30" t="str">
        <f t="shared" si="1994"/>
        <v/>
      </c>
      <c r="FG202" s="30" t="str">
        <f t="shared" si="1995"/>
        <v/>
      </c>
      <c r="FH202" s="30" t="str">
        <f t="shared" si="1996"/>
        <v/>
      </c>
      <c r="FI202" s="30" t="str">
        <f t="shared" si="1997"/>
        <v/>
      </c>
      <c r="FJ202" s="30" t="str">
        <f t="shared" si="1998"/>
        <v/>
      </c>
      <c r="FK202" s="30" t="str">
        <f t="shared" si="1999"/>
        <v/>
      </c>
      <c r="FL202" s="30" t="str">
        <f t="shared" si="2000"/>
        <v/>
      </c>
      <c r="FM202" s="30" t="str">
        <f t="shared" si="2001"/>
        <v/>
      </c>
      <c r="FN202" s="30" t="str">
        <f t="shared" si="2002"/>
        <v/>
      </c>
      <c r="FO202" s="30" t="str">
        <f t="shared" si="2003"/>
        <v/>
      </c>
      <c r="FP202" s="30" t="str">
        <f t="shared" si="2004"/>
        <v/>
      </c>
      <c r="FQ202" s="30" t="str">
        <f t="shared" si="2005"/>
        <v/>
      </c>
      <c r="FR202" s="30" t="str">
        <f t="shared" si="2006"/>
        <v/>
      </c>
      <c r="FS202" s="30" t="str">
        <f t="shared" si="2007"/>
        <v/>
      </c>
    </row>
    <row r="203" spans="92:175">
      <c r="CN203" s="7" t="str">
        <f t="shared" si="1932"/>
        <v>InitUnitState('',,,,,,,,,,)</v>
      </c>
      <c r="CO203" s="7" t="str">
        <f t="shared" si="1933"/>
        <v>InitUnitNormal('',,,,,,,,,,)</v>
      </c>
      <c r="CP203" s="7" t="str">
        <f t="shared" si="1934"/>
        <v>InitUnitMagic('',,,,,,,,,,)</v>
      </c>
      <c r="CQ203" s="7" t="str">
        <f t="shared" si="1935"/>
        <v>InitUnitAdd('',,,,,,,,,,)</v>
      </c>
      <c r="CR203" s="7" t="str">
        <f t="shared" si="1936"/>
        <v>InitEquipData('',,"",,,,,'','','','','','',"")</v>
      </c>
      <c r="CU203" s="29" t="str">
        <f t="shared" si="2008"/>
        <v>|n</v>
      </c>
      <c r="CW203" s="24"/>
      <c r="CX203" s="24"/>
      <c r="CY203" s="24"/>
      <c r="CZ203" s="24"/>
      <c r="DA203" s="24"/>
      <c r="DB203" s="30" t="str">
        <f t="shared" si="1938"/>
        <v/>
      </c>
      <c r="DC203" s="30" t="str">
        <f t="shared" si="1939"/>
        <v/>
      </c>
      <c r="DD203" s="30" t="str">
        <f t="shared" si="1940"/>
        <v/>
      </c>
      <c r="DE203" s="30" t="str">
        <f t="shared" si="1941"/>
        <v/>
      </c>
      <c r="DF203" s="30" t="str">
        <f t="shared" si="1942"/>
        <v/>
      </c>
      <c r="DG203" s="30" t="str">
        <f t="shared" si="1943"/>
        <v/>
      </c>
      <c r="DH203" s="30" t="str">
        <f t="shared" si="1944"/>
        <v/>
      </c>
      <c r="DI203" s="30" t="str">
        <f t="shared" si="1945"/>
        <v/>
      </c>
      <c r="DJ203" s="30" t="str">
        <f t="shared" si="1946"/>
        <v/>
      </c>
      <c r="DK203" s="30" t="str">
        <f t="shared" si="1947"/>
        <v/>
      </c>
      <c r="DL203" s="30" t="str">
        <f t="shared" si="1948"/>
        <v/>
      </c>
      <c r="DM203" s="30" t="str">
        <f t="shared" si="1949"/>
        <v/>
      </c>
      <c r="DN203" s="30" t="str">
        <f t="shared" si="1950"/>
        <v/>
      </c>
      <c r="DO203" s="30" t="str">
        <f t="shared" si="1951"/>
        <v/>
      </c>
      <c r="DP203" s="30" t="str">
        <f t="shared" si="1952"/>
        <v/>
      </c>
      <c r="DQ203" s="30" t="str">
        <f t="shared" si="1953"/>
        <v/>
      </c>
      <c r="DR203" s="30" t="str">
        <f t="shared" si="1954"/>
        <v/>
      </c>
      <c r="DS203" s="30" t="str">
        <f t="shared" si="1955"/>
        <v/>
      </c>
      <c r="DT203" s="30" t="str">
        <f t="shared" si="1956"/>
        <v/>
      </c>
      <c r="DU203" s="30" t="str">
        <f t="shared" si="1957"/>
        <v/>
      </c>
      <c r="DV203" s="30" t="str">
        <f t="shared" si="1958"/>
        <v/>
      </c>
      <c r="DW203" s="30" t="str">
        <f t="shared" si="1959"/>
        <v/>
      </c>
      <c r="DX203" s="30" t="str">
        <f t="shared" si="1960"/>
        <v/>
      </c>
      <c r="DY203" s="30" t="str">
        <f t="shared" si="1961"/>
        <v/>
      </c>
      <c r="DZ203" s="30" t="str">
        <f t="shared" si="1962"/>
        <v/>
      </c>
      <c r="EA203" s="30" t="str">
        <f t="shared" si="1963"/>
        <v/>
      </c>
      <c r="EB203" s="30" t="str">
        <f t="shared" si="1964"/>
        <v/>
      </c>
      <c r="EC203" s="30" t="str">
        <f t="shared" si="1965"/>
        <v/>
      </c>
      <c r="ED203" s="30" t="str">
        <f t="shared" si="1966"/>
        <v/>
      </c>
      <c r="EE203" s="30" t="str">
        <f t="shared" si="1967"/>
        <v/>
      </c>
      <c r="EF203" s="30" t="str">
        <f t="shared" si="1968"/>
        <v/>
      </c>
      <c r="EG203" s="30" t="str">
        <f t="shared" si="1969"/>
        <v/>
      </c>
      <c r="EH203" s="30" t="str">
        <f t="shared" si="1970"/>
        <v/>
      </c>
      <c r="EI203" s="30" t="str">
        <f t="shared" si="1971"/>
        <v/>
      </c>
      <c r="EJ203" s="30" t="str">
        <f t="shared" si="1972"/>
        <v/>
      </c>
      <c r="EK203" s="30" t="str">
        <f t="shared" si="1973"/>
        <v/>
      </c>
      <c r="EL203" s="30" t="str">
        <f t="shared" si="1974"/>
        <v/>
      </c>
      <c r="EM203" s="30" t="str">
        <f t="shared" si="1975"/>
        <v/>
      </c>
      <c r="EN203" s="30" t="str">
        <f t="shared" si="1976"/>
        <v/>
      </c>
      <c r="EO203" s="30" t="str">
        <f t="shared" si="1977"/>
        <v/>
      </c>
      <c r="EP203" s="30" t="str">
        <f t="shared" si="1978"/>
        <v/>
      </c>
      <c r="EQ203" s="30" t="str">
        <f t="shared" si="1979"/>
        <v/>
      </c>
      <c r="ER203" s="30" t="str">
        <f t="shared" si="1980"/>
        <v/>
      </c>
      <c r="ES203" s="30" t="str">
        <f t="shared" si="1981"/>
        <v/>
      </c>
      <c r="ET203" s="30" t="str">
        <f t="shared" si="1982"/>
        <v/>
      </c>
      <c r="EU203" s="30" t="str">
        <f t="shared" si="1983"/>
        <v/>
      </c>
      <c r="EV203" s="30" t="str">
        <f t="shared" si="1984"/>
        <v/>
      </c>
      <c r="EW203" s="30" t="str">
        <f t="shared" si="1985"/>
        <v/>
      </c>
      <c r="EX203" s="30" t="str">
        <f t="shared" si="1986"/>
        <v/>
      </c>
      <c r="EY203" s="30" t="str">
        <f t="shared" si="1987"/>
        <v/>
      </c>
      <c r="EZ203" s="30" t="str">
        <f t="shared" si="1988"/>
        <v/>
      </c>
      <c r="FA203" s="30" t="str">
        <f t="shared" si="1989"/>
        <v/>
      </c>
      <c r="FB203" s="30" t="str">
        <f t="shared" si="1990"/>
        <v/>
      </c>
      <c r="FC203" s="30" t="str">
        <f t="shared" si="1991"/>
        <v/>
      </c>
      <c r="FD203" s="30" t="str">
        <f t="shared" si="1992"/>
        <v/>
      </c>
      <c r="FE203" s="30" t="str">
        <f t="shared" si="1993"/>
        <v/>
      </c>
      <c r="FF203" s="30" t="str">
        <f t="shared" si="1994"/>
        <v/>
      </c>
      <c r="FG203" s="30" t="str">
        <f t="shared" si="1995"/>
        <v/>
      </c>
      <c r="FH203" s="30" t="str">
        <f t="shared" si="1996"/>
        <v/>
      </c>
      <c r="FI203" s="30" t="str">
        <f t="shared" si="1997"/>
        <v/>
      </c>
      <c r="FJ203" s="30" t="str">
        <f t="shared" si="1998"/>
        <v/>
      </c>
      <c r="FK203" s="30" t="str">
        <f t="shared" si="1999"/>
        <v/>
      </c>
      <c r="FL203" s="30" t="str">
        <f t="shared" si="2000"/>
        <v/>
      </c>
      <c r="FM203" s="30" t="str">
        <f t="shared" si="2001"/>
        <v/>
      </c>
      <c r="FN203" s="30" t="str">
        <f t="shared" si="2002"/>
        <v/>
      </c>
      <c r="FO203" s="30" t="str">
        <f t="shared" si="2003"/>
        <v/>
      </c>
      <c r="FP203" s="30" t="str">
        <f t="shared" si="2004"/>
        <v/>
      </c>
      <c r="FQ203" s="30" t="str">
        <f t="shared" si="2005"/>
        <v/>
      </c>
      <c r="FR203" s="30" t="str">
        <f t="shared" si="2006"/>
        <v/>
      </c>
      <c r="FS203" s="30" t="str">
        <f t="shared" si="2007"/>
        <v/>
      </c>
    </row>
    <row r="204" spans="92:175">
      <c r="CN204" s="7" t="str">
        <f t="shared" si="1932"/>
        <v>InitUnitState('',,,,,,,,,,)</v>
      </c>
      <c r="CO204" s="7" t="str">
        <f t="shared" si="1933"/>
        <v>InitUnitNormal('',,,,,,,,,,)</v>
      </c>
      <c r="CP204" s="7" t="str">
        <f t="shared" si="1934"/>
        <v>InitUnitMagic('',,,,,,,,,,)</v>
      </c>
      <c r="CQ204" s="7" t="str">
        <f t="shared" si="1935"/>
        <v>InitUnitAdd('',,,,,,,,,,)</v>
      </c>
      <c r="CR204" s="7" t="str">
        <f t="shared" si="1936"/>
        <v>InitEquipData('',,"",,,,,'','','','','','',"")</v>
      </c>
      <c r="CU204" s="29" t="str">
        <f t="shared" si="2008"/>
        <v>|n</v>
      </c>
      <c r="CW204" s="24"/>
      <c r="CX204" s="24"/>
      <c r="CY204" s="24"/>
      <c r="CZ204" s="24"/>
      <c r="DA204" s="24"/>
      <c r="DB204" s="30" t="str">
        <f t="shared" si="1938"/>
        <v/>
      </c>
      <c r="DC204" s="30" t="str">
        <f t="shared" si="1939"/>
        <v/>
      </c>
      <c r="DD204" s="30" t="str">
        <f t="shared" si="1940"/>
        <v/>
      </c>
      <c r="DE204" s="30" t="str">
        <f t="shared" si="1941"/>
        <v/>
      </c>
      <c r="DF204" s="30" t="str">
        <f t="shared" si="1942"/>
        <v/>
      </c>
      <c r="DG204" s="30" t="str">
        <f t="shared" si="1943"/>
        <v/>
      </c>
      <c r="DH204" s="30" t="str">
        <f t="shared" si="1944"/>
        <v/>
      </c>
      <c r="DI204" s="30" t="str">
        <f t="shared" si="1945"/>
        <v/>
      </c>
      <c r="DJ204" s="30" t="str">
        <f t="shared" si="1946"/>
        <v/>
      </c>
      <c r="DK204" s="30" t="str">
        <f t="shared" si="1947"/>
        <v/>
      </c>
      <c r="DL204" s="30" t="str">
        <f t="shared" si="1948"/>
        <v/>
      </c>
      <c r="DM204" s="30" t="str">
        <f t="shared" si="1949"/>
        <v/>
      </c>
      <c r="DN204" s="30" t="str">
        <f t="shared" si="1950"/>
        <v/>
      </c>
      <c r="DO204" s="30" t="str">
        <f t="shared" si="1951"/>
        <v/>
      </c>
      <c r="DP204" s="30" t="str">
        <f t="shared" si="1952"/>
        <v/>
      </c>
      <c r="DQ204" s="30" t="str">
        <f t="shared" si="1953"/>
        <v/>
      </c>
      <c r="DR204" s="30" t="str">
        <f t="shared" si="1954"/>
        <v/>
      </c>
      <c r="DS204" s="30" t="str">
        <f t="shared" si="1955"/>
        <v/>
      </c>
      <c r="DT204" s="30" t="str">
        <f t="shared" si="1956"/>
        <v/>
      </c>
      <c r="DU204" s="30" t="str">
        <f t="shared" si="1957"/>
        <v/>
      </c>
      <c r="DV204" s="30" t="str">
        <f t="shared" si="1958"/>
        <v/>
      </c>
      <c r="DW204" s="30" t="str">
        <f t="shared" si="1959"/>
        <v/>
      </c>
      <c r="DX204" s="30" t="str">
        <f t="shared" si="1960"/>
        <v/>
      </c>
      <c r="DY204" s="30" t="str">
        <f t="shared" si="1961"/>
        <v/>
      </c>
      <c r="DZ204" s="30" t="str">
        <f t="shared" si="1962"/>
        <v/>
      </c>
      <c r="EA204" s="30" t="str">
        <f t="shared" si="1963"/>
        <v/>
      </c>
      <c r="EB204" s="30" t="str">
        <f t="shared" si="1964"/>
        <v/>
      </c>
      <c r="EC204" s="30" t="str">
        <f t="shared" si="1965"/>
        <v/>
      </c>
      <c r="ED204" s="30" t="str">
        <f t="shared" si="1966"/>
        <v/>
      </c>
      <c r="EE204" s="30" t="str">
        <f t="shared" si="1967"/>
        <v/>
      </c>
      <c r="EF204" s="30" t="str">
        <f t="shared" si="1968"/>
        <v/>
      </c>
      <c r="EG204" s="30" t="str">
        <f t="shared" si="1969"/>
        <v/>
      </c>
      <c r="EH204" s="30" t="str">
        <f t="shared" si="1970"/>
        <v/>
      </c>
      <c r="EI204" s="30" t="str">
        <f t="shared" si="1971"/>
        <v/>
      </c>
      <c r="EJ204" s="30" t="str">
        <f t="shared" si="1972"/>
        <v/>
      </c>
      <c r="EK204" s="30" t="str">
        <f t="shared" si="1973"/>
        <v/>
      </c>
      <c r="EL204" s="30" t="str">
        <f t="shared" si="1974"/>
        <v/>
      </c>
      <c r="EM204" s="30" t="str">
        <f t="shared" si="1975"/>
        <v/>
      </c>
      <c r="EN204" s="30" t="str">
        <f t="shared" si="1976"/>
        <v/>
      </c>
      <c r="EO204" s="30" t="str">
        <f t="shared" si="1977"/>
        <v/>
      </c>
      <c r="EP204" s="30" t="str">
        <f t="shared" si="1978"/>
        <v/>
      </c>
      <c r="EQ204" s="30" t="str">
        <f t="shared" si="1979"/>
        <v/>
      </c>
      <c r="ER204" s="30" t="str">
        <f t="shared" si="1980"/>
        <v/>
      </c>
      <c r="ES204" s="30" t="str">
        <f t="shared" si="1981"/>
        <v/>
      </c>
      <c r="ET204" s="30" t="str">
        <f t="shared" si="1982"/>
        <v/>
      </c>
      <c r="EU204" s="30" t="str">
        <f t="shared" si="1983"/>
        <v/>
      </c>
      <c r="EV204" s="30" t="str">
        <f t="shared" si="1984"/>
        <v/>
      </c>
      <c r="EW204" s="30" t="str">
        <f t="shared" si="1985"/>
        <v/>
      </c>
      <c r="EX204" s="30" t="str">
        <f t="shared" si="1986"/>
        <v/>
      </c>
      <c r="EY204" s="30" t="str">
        <f t="shared" si="1987"/>
        <v/>
      </c>
      <c r="EZ204" s="30" t="str">
        <f t="shared" si="1988"/>
        <v/>
      </c>
      <c r="FA204" s="30" t="str">
        <f t="shared" si="1989"/>
        <v/>
      </c>
      <c r="FB204" s="30" t="str">
        <f t="shared" si="1990"/>
        <v/>
      </c>
      <c r="FC204" s="30" t="str">
        <f t="shared" si="1991"/>
        <v/>
      </c>
      <c r="FD204" s="30" t="str">
        <f t="shared" si="1992"/>
        <v/>
      </c>
      <c r="FE204" s="30" t="str">
        <f t="shared" si="1993"/>
        <v/>
      </c>
      <c r="FF204" s="30" t="str">
        <f t="shared" si="1994"/>
        <v/>
      </c>
      <c r="FG204" s="30" t="str">
        <f t="shared" si="1995"/>
        <v/>
      </c>
      <c r="FH204" s="30" t="str">
        <f t="shared" si="1996"/>
        <v/>
      </c>
      <c r="FI204" s="30" t="str">
        <f t="shared" si="1997"/>
        <v/>
      </c>
      <c r="FJ204" s="30" t="str">
        <f t="shared" si="1998"/>
        <v/>
      </c>
      <c r="FK204" s="30" t="str">
        <f t="shared" si="1999"/>
        <v/>
      </c>
      <c r="FL204" s="30" t="str">
        <f t="shared" si="2000"/>
        <v/>
      </c>
      <c r="FM204" s="30" t="str">
        <f t="shared" si="2001"/>
        <v/>
      </c>
      <c r="FN204" s="30" t="str">
        <f t="shared" si="2002"/>
        <v/>
      </c>
      <c r="FO204" s="30" t="str">
        <f t="shared" si="2003"/>
        <v/>
      </c>
      <c r="FP204" s="30" t="str">
        <f t="shared" si="2004"/>
        <v/>
      </c>
      <c r="FQ204" s="30" t="str">
        <f t="shared" si="2005"/>
        <v/>
      </c>
      <c r="FR204" s="30" t="str">
        <f t="shared" si="2006"/>
        <v/>
      </c>
      <c r="FS204" s="30" t="str">
        <f t="shared" si="2007"/>
        <v/>
      </c>
    </row>
    <row r="205" spans="92:175">
      <c r="CN205" s="7" t="str">
        <f t="shared" si="1932"/>
        <v>InitUnitState('',,,,,,,,,,)</v>
      </c>
      <c r="CO205" s="7" t="str">
        <f t="shared" si="1933"/>
        <v>InitUnitNormal('',,,,,,,,,,)</v>
      </c>
      <c r="CP205" s="7" t="str">
        <f t="shared" si="1934"/>
        <v>InitUnitMagic('',,,,,,,,,,)</v>
      </c>
      <c r="CQ205" s="7" t="str">
        <f t="shared" si="1935"/>
        <v>InitUnitAdd('',,,,,,,,,,)</v>
      </c>
      <c r="CR205" s="7" t="str">
        <f t="shared" si="1936"/>
        <v>InitEquipData('',,"",,,,,'','','','','','',"")</v>
      </c>
      <c r="CU205" s="29" t="str">
        <f t="shared" si="2008"/>
        <v>|n</v>
      </c>
      <c r="CW205" s="24"/>
      <c r="CX205" s="24"/>
      <c r="CY205" s="24"/>
      <c r="CZ205" s="24"/>
      <c r="DA205" s="24"/>
      <c r="DB205" s="30" t="str">
        <f t="shared" si="1938"/>
        <v/>
      </c>
      <c r="DC205" s="30" t="str">
        <f t="shared" si="1939"/>
        <v/>
      </c>
      <c r="DD205" s="30" t="str">
        <f t="shared" si="1940"/>
        <v/>
      </c>
      <c r="DE205" s="30" t="str">
        <f t="shared" si="1941"/>
        <v/>
      </c>
      <c r="DF205" s="30" t="str">
        <f t="shared" si="1942"/>
        <v/>
      </c>
      <c r="DG205" s="30" t="str">
        <f t="shared" si="1943"/>
        <v/>
      </c>
      <c r="DH205" s="30" t="str">
        <f t="shared" si="1944"/>
        <v/>
      </c>
      <c r="DI205" s="30" t="str">
        <f t="shared" si="1945"/>
        <v/>
      </c>
      <c r="DJ205" s="30" t="str">
        <f t="shared" si="1946"/>
        <v/>
      </c>
      <c r="DK205" s="30" t="str">
        <f t="shared" si="1947"/>
        <v/>
      </c>
      <c r="DL205" s="30" t="str">
        <f t="shared" si="1948"/>
        <v/>
      </c>
      <c r="DM205" s="30" t="str">
        <f t="shared" si="1949"/>
        <v/>
      </c>
      <c r="DN205" s="30" t="str">
        <f t="shared" si="1950"/>
        <v/>
      </c>
      <c r="DO205" s="30" t="str">
        <f t="shared" si="1951"/>
        <v/>
      </c>
      <c r="DP205" s="30" t="str">
        <f t="shared" si="1952"/>
        <v/>
      </c>
      <c r="DQ205" s="30" t="str">
        <f t="shared" si="1953"/>
        <v/>
      </c>
      <c r="DR205" s="30" t="str">
        <f t="shared" si="1954"/>
        <v/>
      </c>
      <c r="DS205" s="30" t="str">
        <f t="shared" si="1955"/>
        <v/>
      </c>
      <c r="DT205" s="30" t="str">
        <f t="shared" si="1956"/>
        <v/>
      </c>
      <c r="DU205" s="30" t="str">
        <f t="shared" si="1957"/>
        <v/>
      </c>
      <c r="DV205" s="30" t="str">
        <f t="shared" si="1958"/>
        <v/>
      </c>
      <c r="DW205" s="30" t="str">
        <f t="shared" si="1959"/>
        <v/>
      </c>
      <c r="DX205" s="30" t="str">
        <f t="shared" si="1960"/>
        <v/>
      </c>
      <c r="DY205" s="30" t="str">
        <f t="shared" si="1961"/>
        <v/>
      </c>
      <c r="DZ205" s="30" t="str">
        <f t="shared" si="1962"/>
        <v/>
      </c>
      <c r="EA205" s="30" t="str">
        <f t="shared" si="1963"/>
        <v/>
      </c>
      <c r="EB205" s="30" t="str">
        <f t="shared" si="1964"/>
        <v/>
      </c>
      <c r="EC205" s="30" t="str">
        <f t="shared" si="1965"/>
        <v/>
      </c>
      <c r="ED205" s="30" t="str">
        <f t="shared" si="1966"/>
        <v/>
      </c>
      <c r="EE205" s="30" t="str">
        <f t="shared" si="1967"/>
        <v/>
      </c>
      <c r="EF205" s="30" t="str">
        <f t="shared" si="1968"/>
        <v/>
      </c>
      <c r="EG205" s="30" t="str">
        <f t="shared" si="1969"/>
        <v/>
      </c>
      <c r="EH205" s="30" t="str">
        <f t="shared" si="1970"/>
        <v/>
      </c>
      <c r="EI205" s="30" t="str">
        <f t="shared" si="1971"/>
        <v/>
      </c>
      <c r="EJ205" s="30" t="str">
        <f t="shared" si="1972"/>
        <v/>
      </c>
      <c r="EK205" s="30" t="str">
        <f t="shared" si="1973"/>
        <v/>
      </c>
      <c r="EL205" s="30" t="str">
        <f t="shared" si="1974"/>
        <v/>
      </c>
      <c r="EM205" s="30" t="str">
        <f t="shared" si="1975"/>
        <v/>
      </c>
      <c r="EN205" s="30" t="str">
        <f t="shared" si="1976"/>
        <v/>
      </c>
      <c r="EO205" s="30" t="str">
        <f t="shared" si="1977"/>
        <v/>
      </c>
      <c r="EP205" s="30" t="str">
        <f t="shared" si="1978"/>
        <v/>
      </c>
      <c r="EQ205" s="30" t="str">
        <f t="shared" si="1979"/>
        <v/>
      </c>
      <c r="ER205" s="30" t="str">
        <f t="shared" si="1980"/>
        <v/>
      </c>
      <c r="ES205" s="30" t="str">
        <f t="shared" si="1981"/>
        <v/>
      </c>
      <c r="ET205" s="30" t="str">
        <f t="shared" si="1982"/>
        <v/>
      </c>
      <c r="EU205" s="30" t="str">
        <f t="shared" si="1983"/>
        <v/>
      </c>
      <c r="EV205" s="30" t="str">
        <f t="shared" si="1984"/>
        <v/>
      </c>
      <c r="EW205" s="30" t="str">
        <f t="shared" si="1985"/>
        <v/>
      </c>
      <c r="EX205" s="30" t="str">
        <f t="shared" si="1986"/>
        <v/>
      </c>
      <c r="EY205" s="30" t="str">
        <f t="shared" si="1987"/>
        <v/>
      </c>
      <c r="EZ205" s="30" t="str">
        <f t="shared" si="1988"/>
        <v/>
      </c>
      <c r="FA205" s="30" t="str">
        <f t="shared" si="1989"/>
        <v/>
      </c>
      <c r="FB205" s="30" t="str">
        <f t="shared" si="1990"/>
        <v/>
      </c>
      <c r="FC205" s="30" t="str">
        <f t="shared" si="1991"/>
        <v/>
      </c>
      <c r="FD205" s="30" t="str">
        <f t="shared" si="1992"/>
        <v/>
      </c>
      <c r="FE205" s="30" t="str">
        <f t="shared" si="1993"/>
        <v/>
      </c>
      <c r="FF205" s="30" t="str">
        <f t="shared" si="1994"/>
        <v/>
      </c>
      <c r="FG205" s="30" t="str">
        <f t="shared" si="1995"/>
        <v/>
      </c>
      <c r="FH205" s="30" t="str">
        <f t="shared" si="1996"/>
        <v/>
      </c>
      <c r="FI205" s="30" t="str">
        <f t="shared" si="1997"/>
        <v/>
      </c>
      <c r="FJ205" s="30" t="str">
        <f t="shared" si="1998"/>
        <v/>
      </c>
      <c r="FK205" s="30" t="str">
        <f t="shared" si="1999"/>
        <v/>
      </c>
      <c r="FL205" s="30" t="str">
        <f t="shared" si="2000"/>
        <v/>
      </c>
      <c r="FM205" s="30" t="str">
        <f t="shared" si="2001"/>
        <v/>
      </c>
      <c r="FN205" s="30" t="str">
        <f t="shared" si="2002"/>
        <v/>
      </c>
      <c r="FO205" s="30" t="str">
        <f t="shared" si="2003"/>
        <v/>
      </c>
      <c r="FP205" s="30" t="str">
        <f t="shared" si="2004"/>
        <v/>
      </c>
      <c r="FQ205" s="30" t="str">
        <f t="shared" si="2005"/>
        <v/>
      </c>
      <c r="FR205" s="30" t="str">
        <f t="shared" si="2006"/>
        <v/>
      </c>
      <c r="FS205" s="30" t="str">
        <f t="shared" si="2007"/>
        <v/>
      </c>
    </row>
    <row r="206" spans="92:175">
      <c r="CN206" s="7" t="str">
        <f t="shared" si="1932"/>
        <v>InitUnitState('',,,,,,,,,,)</v>
      </c>
      <c r="CO206" s="7" t="str">
        <f t="shared" si="1933"/>
        <v>InitUnitNormal('',,,,,,,,,,)</v>
      </c>
      <c r="CP206" s="7" t="str">
        <f t="shared" si="1934"/>
        <v>InitUnitMagic('',,,,,,,,,,)</v>
      </c>
      <c r="CQ206" s="7" t="str">
        <f t="shared" si="1935"/>
        <v>InitUnitAdd('',,,,,,,,,,)</v>
      </c>
      <c r="CR206" s="7" t="str">
        <f t="shared" si="1936"/>
        <v>InitEquipData('',,"",,,,,'','','','','','',"")</v>
      </c>
      <c r="CU206" s="29" t="str">
        <f t="shared" si="2008"/>
        <v>|n</v>
      </c>
      <c r="CW206" s="24"/>
      <c r="CX206" s="24"/>
      <c r="CY206" s="24"/>
      <c r="CZ206" s="24"/>
      <c r="DA206" s="24"/>
      <c r="DB206" s="30" t="str">
        <f t="shared" si="1938"/>
        <v/>
      </c>
      <c r="DC206" s="30" t="str">
        <f t="shared" si="1939"/>
        <v/>
      </c>
      <c r="DD206" s="30" t="str">
        <f t="shared" si="1940"/>
        <v/>
      </c>
      <c r="DE206" s="30" t="str">
        <f t="shared" si="1941"/>
        <v/>
      </c>
      <c r="DF206" s="30" t="str">
        <f t="shared" si="1942"/>
        <v/>
      </c>
      <c r="DG206" s="30" t="str">
        <f t="shared" si="1943"/>
        <v/>
      </c>
      <c r="DH206" s="30" t="str">
        <f t="shared" si="1944"/>
        <v/>
      </c>
      <c r="DI206" s="30" t="str">
        <f t="shared" si="1945"/>
        <v/>
      </c>
      <c r="DJ206" s="30" t="str">
        <f t="shared" si="1946"/>
        <v/>
      </c>
      <c r="DK206" s="30" t="str">
        <f t="shared" si="1947"/>
        <v/>
      </c>
      <c r="DL206" s="30" t="str">
        <f t="shared" si="1948"/>
        <v/>
      </c>
      <c r="DM206" s="30" t="str">
        <f t="shared" si="1949"/>
        <v/>
      </c>
      <c r="DN206" s="30" t="str">
        <f t="shared" si="1950"/>
        <v/>
      </c>
      <c r="DO206" s="30" t="str">
        <f t="shared" si="1951"/>
        <v/>
      </c>
      <c r="DP206" s="30" t="str">
        <f t="shared" si="1952"/>
        <v/>
      </c>
      <c r="DQ206" s="30" t="str">
        <f t="shared" si="1953"/>
        <v/>
      </c>
      <c r="DR206" s="30" t="str">
        <f t="shared" si="1954"/>
        <v/>
      </c>
      <c r="DS206" s="30" t="str">
        <f t="shared" si="1955"/>
        <v/>
      </c>
      <c r="DT206" s="30" t="str">
        <f t="shared" si="1956"/>
        <v/>
      </c>
      <c r="DU206" s="30" t="str">
        <f t="shared" si="1957"/>
        <v/>
      </c>
      <c r="DV206" s="30" t="str">
        <f t="shared" si="1958"/>
        <v/>
      </c>
      <c r="DW206" s="30" t="str">
        <f t="shared" si="1959"/>
        <v/>
      </c>
      <c r="DX206" s="30" t="str">
        <f t="shared" si="1960"/>
        <v/>
      </c>
      <c r="DY206" s="30" t="str">
        <f t="shared" si="1961"/>
        <v/>
      </c>
      <c r="DZ206" s="30" t="str">
        <f t="shared" si="1962"/>
        <v/>
      </c>
      <c r="EA206" s="30" t="str">
        <f t="shared" si="1963"/>
        <v/>
      </c>
      <c r="EB206" s="30" t="str">
        <f t="shared" si="1964"/>
        <v/>
      </c>
      <c r="EC206" s="30" t="str">
        <f t="shared" si="1965"/>
        <v/>
      </c>
      <c r="ED206" s="30" t="str">
        <f t="shared" si="1966"/>
        <v/>
      </c>
      <c r="EE206" s="30" t="str">
        <f t="shared" si="1967"/>
        <v/>
      </c>
      <c r="EF206" s="30" t="str">
        <f t="shared" si="1968"/>
        <v/>
      </c>
      <c r="EG206" s="30" t="str">
        <f t="shared" si="1969"/>
        <v/>
      </c>
      <c r="EH206" s="30" t="str">
        <f t="shared" si="1970"/>
        <v/>
      </c>
      <c r="EI206" s="30" t="str">
        <f t="shared" si="1971"/>
        <v/>
      </c>
      <c r="EJ206" s="30" t="str">
        <f t="shared" si="1972"/>
        <v/>
      </c>
      <c r="EK206" s="30" t="str">
        <f t="shared" si="1973"/>
        <v/>
      </c>
      <c r="EL206" s="30" t="str">
        <f t="shared" si="1974"/>
        <v/>
      </c>
      <c r="EM206" s="30" t="str">
        <f t="shared" si="1975"/>
        <v/>
      </c>
      <c r="EN206" s="30" t="str">
        <f t="shared" si="1976"/>
        <v/>
      </c>
      <c r="EO206" s="30" t="str">
        <f t="shared" si="1977"/>
        <v/>
      </c>
      <c r="EP206" s="30" t="str">
        <f t="shared" si="1978"/>
        <v/>
      </c>
      <c r="EQ206" s="30" t="str">
        <f t="shared" si="1979"/>
        <v/>
      </c>
      <c r="ER206" s="30" t="str">
        <f t="shared" si="1980"/>
        <v/>
      </c>
      <c r="ES206" s="30" t="str">
        <f t="shared" si="1981"/>
        <v/>
      </c>
      <c r="ET206" s="30" t="str">
        <f t="shared" si="1982"/>
        <v/>
      </c>
      <c r="EU206" s="30" t="str">
        <f t="shared" si="1983"/>
        <v/>
      </c>
      <c r="EV206" s="30" t="str">
        <f t="shared" si="1984"/>
        <v/>
      </c>
      <c r="EW206" s="30" t="str">
        <f t="shared" si="1985"/>
        <v/>
      </c>
      <c r="EX206" s="30" t="str">
        <f t="shared" si="1986"/>
        <v/>
      </c>
      <c r="EY206" s="30" t="str">
        <f t="shared" si="1987"/>
        <v/>
      </c>
      <c r="EZ206" s="30" t="str">
        <f t="shared" si="1988"/>
        <v/>
      </c>
      <c r="FA206" s="30" t="str">
        <f t="shared" si="1989"/>
        <v/>
      </c>
      <c r="FB206" s="30" t="str">
        <f t="shared" si="1990"/>
        <v/>
      </c>
      <c r="FC206" s="30" t="str">
        <f t="shared" si="1991"/>
        <v/>
      </c>
      <c r="FD206" s="30" t="str">
        <f t="shared" si="1992"/>
        <v/>
      </c>
      <c r="FE206" s="30" t="str">
        <f t="shared" si="1993"/>
        <v/>
      </c>
      <c r="FF206" s="30" t="str">
        <f t="shared" si="1994"/>
        <v/>
      </c>
      <c r="FG206" s="30" t="str">
        <f t="shared" si="1995"/>
        <v/>
      </c>
      <c r="FH206" s="30" t="str">
        <f t="shared" si="1996"/>
        <v/>
      </c>
      <c r="FI206" s="30" t="str">
        <f t="shared" si="1997"/>
        <v/>
      </c>
      <c r="FJ206" s="30" t="str">
        <f t="shared" si="1998"/>
        <v/>
      </c>
      <c r="FK206" s="30" t="str">
        <f t="shared" si="1999"/>
        <v/>
      </c>
      <c r="FL206" s="30" t="str">
        <f t="shared" si="2000"/>
        <v/>
      </c>
      <c r="FM206" s="30" t="str">
        <f t="shared" si="2001"/>
        <v/>
      </c>
      <c r="FN206" s="30" t="str">
        <f t="shared" si="2002"/>
        <v/>
      </c>
      <c r="FO206" s="30" t="str">
        <f t="shared" si="2003"/>
        <v/>
      </c>
      <c r="FP206" s="30" t="str">
        <f t="shared" si="2004"/>
        <v/>
      </c>
      <c r="FQ206" s="30" t="str">
        <f t="shared" si="2005"/>
        <v/>
      </c>
      <c r="FR206" s="30" t="str">
        <f t="shared" si="2006"/>
        <v/>
      </c>
      <c r="FS206" s="30" t="str">
        <f t="shared" si="2007"/>
        <v/>
      </c>
    </row>
    <row r="207" spans="92:175">
      <c r="CN207" s="7" t="str">
        <f t="shared" si="1932"/>
        <v>InitUnitState('',,,,,,,,,,)</v>
      </c>
      <c r="CO207" s="7" t="str">
        <f t="shared" si="1933"/>
        <v>InitUnitNormal('',,,,,,,,,,)</v>
      </c>
      <c r="CP207" s="7" t="str">
        <f t="shared" si="1934"/>
        <v>InitUnitMagic('',,,,,,,,,,)</v>
      </c>
      <c r="CQ207" s="7" t="str">
        <f t="shared" si="1935"/>
        <v>InitUnitAdd('',,,,,,,,,,)</v>
      </c>
      <c r="CR207" s="7" t="str">
        <f t="shared" si="1936"/>
        <v>InitEquipData('',,"",,,,,'','','','','','',"")</v>
      </c>
      <c r="CU207" s="29" t="str">
        <f t="shared" si="2008"/>
        <v>|n</v>
      </c>
      <c r="CW207" s="24"/>
      <c r="CX207" s="24"/>
      <c r="CY207" s="24"/>
      <c r="CZ207" s="24"/>
      <c r="DA207" s="24"/>
      <c r="DB207" s="30" t="str">
        <f t="shared" si="1938"/>
        <v/>
      </c>
      <c r="DC207" s="30" t="str">
        <f t="shared" si="1939"/>
        <v/>
      </c>
      <c r="DD207" s="30" t="str">
        <f t="shared" si="1940"/>
        <v/>
      </c>
      <c r="DE207" s="30" t="str">
        <f t="shared" si="1941"/>
        <v/>
      </c>
      <c r="DF207" s="30" t="str">
        <f t="shared" si="1942"/>
        <v/>
      </c>
      <c r="DG207" s="30" t="str">
        <f t="shared" si="1943"/>
        <v/>
      </c>
      <c r="DH207" s="30" t="str">
        <f t="shared" si="1944"/>
        <v/>
      </c>
      <c r="DI207" s="30" t="str">
        <f t="shared" si="1945"/>
        <v/>
      </c>
      <c r="DJ207" s="30" t="str">
        <f t="shared" si="1946"/>
        <v/>
      </c>
      <c r="DK207" s="30" t="str">
        <f t="shared" si="1947"/>
        <v/>
      </c>
      <c r="DL207" s="30" t="str">
        <f t="shared" si="1948"/>
        <v/>
      </c>
      <c r="DM207" s="30" t="str">
        <f t="shared" si="1949"/>
        <v/>
      </c>
      <c r="DN207" s="30" t="str">
        <f t="shared" si="1950"/>
        <v/>
      </c>
      <c r="DO207" s="30" t="str">
        <f t="shared" si="1951"/>
        <v/>
      </c>
      <c r="DP207" s="30" t="str">
        <f t="shared" si="1952"/>
        <v/>
      </c>
      <c r="DQ207" s="30" t="str">
        <f t="shared" si="1953"/>
        <v/>
      </c>
      <c r="DR207" s="30" t="str">
        <f t="shared" si="1954"/>
        <v/>
      </c>
      <c r="DS207" s="30" t="str">
        <f t="shared" si="1955"/>
        <v/>
      </c>
      <c r="DT207" s="30" t="str">
        <f t="shared" si="1956"/>
        <v/>
      </c>
      <c r="DU207" s="30" t="str">
        <f t="shared" si="1957"/>
        <v/>
      </c>
      <c r="DV207" s="30" t="str">
        <f t="shared" si="1958"/>
        <v/>
      </c>
      <c r="DW207" s="30" t="str">
        <f t="shared" si="1959"/>
        <v/>
      </c>
      <c r="DX207" s="30" t="str">
        <f t="shared" si="1960"/>
        <v/>
      </c>
      <c r="DY207" s="30" t="str">
        <f t="shared" si="1961"/>
        <v/>
      </c>
      <c r="DZ207" s="30" t="str">
        <f t="shared" si="1962"/>
        <v/>
      </c>
      <c r="EA207" s="30" t="str">
        <f t="shared" si="1963"/>
        <v/>
      </c>
      <c r="EB207" s="30" t="str">
        <f t="shared" si="1964"/>
        <v/>
      </c>
      <c r="EC207" s="30" t="str">
        <f t="shared" si="1965"/>
        <v/>
      </c>
      <c r="ED207" s="30" t="str">
        <f t="shared" si="1966"/>
        <v/>
      </c>
      <c r="EE207" s="30" t="str">
        <f t="shared" si="1967"/>
        <v/>
      </c>
      <c r="EF207" s="30" t="str">
        <f t="shared" si="1968"/>
        <v/>
      </c>
      <c r="EG207" s="30" t="str">
        <f t="shared" si="1969"/>
        <v/>
      </c>
      <c r="EH207" s="30" t="str">
        <f t="shared" si="1970"/>
        <v/>
      </c>
      <c r="EI207" s="30" t="str">
        <f t="shared" si="1971"/>
        <v/>
      </c>
      <c r="EJ207" s="30" t="str">
        <f t="shared" si="1972"/>
        <v/>
      </c>
      <c r="EK207" s="30" t="str">
        <f t="shared" si="1973"/>
        <v/>
      </c>
      <c r="EL207" s="30" t="str">
        <f t="shared" si="1974"/>
        <v/>
      </c>
      <c r="EM207" s="30" t="str">
        <f t="shared" si="1975"/>
        <v/>
      </c>
      <c r="EN207" s="30" t="str">
        <f t="shared" si="1976"/>
        <v/>
      </c>
      <c r="EO207" s="30" t="str">
        <f t="shared" si="1977"/>
        <v/>
      </c>
      <c r="EP207" s="30" t="str">
        <f t="shared" si="1978"/>
        <v/>
      </c>
      <c r="EQ207" s="30" t="str">
        <f t="shared" si="1979"/>
        <v/>
      </c>
      <c r="ER207" s="30" t="str">
        <f t="shared" si="1980"/>
        <v/>
      </c>
      <c r="ES207" s="30" t="str">
        <f t="shared" si="1981"/>
        <v/>
      </c>
      <c r="ET207" s="30" t="str">
        <f t="shared" si="1982"/>
        <v/>
      </c>
      <c r="EU207" s="30" t="str">
        <f t="shared" si="1983"/>
        <v/>
      </c>
      <c r="EV207" s="30" t="str">
        <f t="shared" si="1984"/>
        <v/>
      </c>
      <c r="EW207" s="30" t="str">
        <f t="shared" si="1985"/>
        <v/>
      </c>
      <c r="EX207" s="30" t="str">
        <f t="shared" si="1986"/>
        <v/>
      </c>
      <c r="EY207" s="30" t="str">
        <f t="shared" si="1987"/>
        <v/>
      </c>
      <c r="EZ207" s="30" t="str">
        <f t="shared" si="1988"/>
        <v/>
      </c>
      <c r="FA207" s="30" t="str">
        <f t="shared" si="1989"/>
        <v/>
      </c>
      <c r="FB207" s="30" t="str">
        <f t="shared" si="1990"/>
        <v/>
      </c>
      <c r="FC207" s="30" t="str">
        <f t="shared" si="1991"/>
        <v/>
      </c>
      <c r="FD207" s="30" t="str">
        <f t="shared" si="1992"/>
        <v/>
      </c>
      <c r="FE207" s="30" t="str">
        <f t="shared" si="1993"/>
        <v/>
      </c>
      <c r="FF207" s="30" t="str">
        <f t="shared" si="1994"/>
        <v/>
      </c>
      <c r="FG207" s="30" t="str">
        <f t="shared" si="1995"/>
        <v/>
      </c>
      <c r="FH207" s="30" t="str">
        <f t="shared" si="1996"/>
        <v/>
      </c>
      <c r="FI207" s="30" t="str">
        <f t="shared" si="1997"/>
        <v/>
      </c>
      <c r="FJ207" s="30" t="str">
        <f t="shared" si="1998"/>
        <v/>
      </c>
      <c r="FK207" s="30" t="str">
        <f t="shared" si="1999"/>
        <v/>
      </c>
      <c r="FL207" s="30" t="str">
        <f t="shared" si="2000"/>
        <v/>
      </c>
      <c r="FM207" s="30" t="str">
        <f t="shared" si="2001"/>
        <v/>
      </c>
      <c r="FN207" s="30" t="str">
        <f t="shared" si="2002"/>
        <v/>
      </c>
      <c r="FO207" s="30" t="str">
        <f t="shared" si="2003"/>
        <v/>
      </c>
      <c r="FP207" s="30" t="str">
        <f t="shared" si="2004"/>
        <v/>
      </c>
      <c r="FQ207" s="30" t="str">
        <f t="shared" si="2005"/>
        <v/>
      </c>
      <c r="FR207" s="30" t="str">
        <f t="shared" si="2006"/>
        <v/>
      </c>
      <c r="FS207" s="30" t="str">
        <f t="shared" si="2007"/>
        <v/>
      </c>
    </row>
    <row r="208" spans="92:175">
      <c r="CN208" s="7" t="str">
        <f t="shared" si="1932"/>
        <v>InitUnitState('',,,,,,,,,,)</v>
      </c>
      <c r="CO208" s="7" t="str">
        <f t="shared" si="1933"/>
        <v>InitUnitNormal('',,,,,,,,,,)</v>
      </c>
      <c r="CP208" s="7" t="str">
        <f t="shared" si="1934"/>
        <v>InitUnitMagic('',,,,,,,,,,)</v>
      </c>
      <c r="CQ208" s="7" t="str">
        <f t="shared" si="1935"/>
        <v>InitUnitAdd('',,,,,,,,,,)</v>
      </c>
      <c r="CR208" s="7" t="str">
        <f t="shared" si="1936"/>
        <v>InitEquipData('',,"",,,,,'','','','','','',"")</v>
      </c>
      <c r="CU208" s="29" t="str">
        <f t="shared" si="2008"/>
        <v>|n</v>
      </c>
      <c r="CW208" s="24"/>
      <c r="CX208" s="24"/>
      <c r="CY208" s="24"/>
      <c r="CZ208" s="24"/>
      <c r="DA208" s="24"/>
      <c r="DB208" s="30" t="str">
        <f t="shared" si="1938"/>
        <v/>
      </c>
      <c r="DC208" s="30" t="str">
        <f t="shared" si="1939"/>
        <v/>
      </c>
      <c r="DD208" s="30" t="str">
        <f t="shared" si="1940"/>
        <v/>
      </c>
      <c r="DE208" s="30" t="str">
        <f t="shared" si="1941"/>
        <v/>
      </c>
      <c r="DF208" s="30" t="str">
        <f t="shared" si="1942"/>
        <v/>
      </c>
      <c r="DG208" s="30" t="str">
        <f t="shared" si="1943"/>
        <v/>
      </c>
      <c r="DH208" s="30" t="str">
        <f t="shared" si="1944"/>
        <v/>
      </c>
      <c r="DI208" s="30" t="str">
        <f t="shared" si="1945"/>
        <v/>
      </c>
      <c r="DJ208" s="30" t="str">
        <f t="shared" si="1946"/>
        <v/>
      </c>
      <c r="DK208" s="30" t="str">
        <f t="shared" si="1947"/>
        <v/>
      </c>
      <c r="DL208" s="30" t="str">
        <f t="shared" si="1948"/>
        <v/>
      </c>
      <c r="DM208" s="30" t="str">
        <f t="shared" si="1949"/>
        <v/>
      </c>
      <c r="DN208" s="30" t="str">
        <f t="shared" si="1950"/>
        <v/>
      </c>
      <c r="DO208" s="30" t="str">
        <f t="shared" si="1951"/>
        <v/>
      </c>
      <c r="DP208" s="30" t="str">
        <f t="shared" si="1952"/>
        <v/>
      </c>
      <c r="DQ208" s="30" t="str">
        <f t="shared" si="1953"/>
        <v/>
      </c>
      <c r="DR208" s="30" t="str">
        <f t="shared" si="1954"/>
        <v/>
      </c>
      <c r="DS208" s="30" t="str">
        <f t="shared" si="1955"/>
        <v/>
      </c>
      <c r="DT208" s="30" t="str">
        <f t="shared" si="1956"/>
        <v/>
      </c>
      <c r="DU208" s="30" t="str">
        <f t="shared" si="1957"/>
        <v/>
      </c>
      <c r="DV208" s="30" t="str">
        <f t="shared" si="1958"/>
        <v/>
      </c>
      <c r="DW208" s="30" t="str">
        <f t="shared" si="1959"/>
        <v/>
      </c>
      <c r="DX208" s="30" t="str">
        <f t="shared" si="1960"/>
        <v/>
      </c>
      <c r="DY208" s="30" t="str">
        <f t="shared" si="1961"/>
        <v/>
      </c>
      <c r="DZ208" s="30" t="str">
        <f t="shared" si="1962"/>
        <v/>
      </c>
      <c r="EA208" s="30" t="str">
        <f t="shared" si="1963"/>
        <v/>
      </c>
      <c r="EB208" s="30" t="str">
        <f t="shared" si="1964"/>
        <v/>
      </c>
      <c r="EC208" s="30" t="str">
        <f t="shared" si="1965"/>
        <v/>
      </c>
      <c r="ED208" s="30" t="str">
        <f t="shared" si="1966"/>
        <v/>
      </c>
      <c r="EE208" s="30" t="str">
        <f t="shared" si="1967"/>
        <v/>
      </c>
      <c r="EF208" s="30" t="str">
        <f t="shared" si="1968"/>
        <v/>
      </c>
      <c r="EG208" s="30" t="str">
        <f t="shared" si="1969"/>
        <v/>
      </c>
      <c r="EH208" s="30" t="str">
        <f t="shared" si="1970"/>
        <v/>
      </c>
      <c r="EI208" s="30" t="str">
        <f t="shared" si="1971"/>
        <v/>
      </c>
      <c r="EJ208" s="30" t="str">
        <f t="shared" si="1972"/>
        <v/>
      </c>
      <c r="EK208" s="30" t="str">
        <f t="shared" si="1973"/>
        <v/>
      </c>
      <c r="EL208" s="30" t="str">
        <f t="shared" si="1974"/>
        <v/>
      </c>
      <c r="EM208" s="30" t="str">
        <f t="shared" si="1975"/>
        <v/>
      </c>
      <c r="EN208" s="30" t="str">
        <f t="shared" si="1976"/>
        <v/>
      </c>
      <c r="EO208" s="30" t="str">
        <f t="shared" si="1977"/>
        <v/>
      </c>
      <c r="EP208" s="30" t="str">
        <f t="shared" si="1978"/>
        <v/>
      </c>
      <c r="EQ208" s="30" t="str">
        <f t="shared" si="1979"/>
        <v/>
      </c>
      <c r="ER208" s="30" t="str">
        <f t="shared" si="1980"/>
        <v/>
      </c>
      <c r="ES208" s="30" t="str">
        <f t="shared" si="1981"/>
        <v/>
      </c>
      <c r="ET208" s="30" t="str">
        <f t="shared" si="1982"/>
        <v/>
      </c>
      <c r="EU208" s="30" t="str">
        <f t="shared" si="1983"/>
        <v/>
      </c>
      <c r="EV208" s="30" t="str">
        <f t="shared" si="1984"/>
        <v/>
      </c>
      <c r="EW208" s="30" t="str">
        <f t="shared" si="1985"/>
        <v/>
      </c>
      <c r="EX208" s="30" t="str">
        <f t="shared" si="1986"/>
        <v/>
      </c>
      <c r="EY208" s="30" t="str">
        <f t="shared" si="1987"/>
        <v/>
      </c>
      <c r="EZ208" s="30" t="str">
        <f t="shared" si="1988"/>
        <v/>
      </c>
      <c r="FA208" s="30" t="str">
        <f t="shared" si="1989"/>
        <v/>
      </c>
      <c r="FB208" s="30" t="str">
        <f t="shared" si="1990"/>
        <v/>
      </c>
      <c r="FC208" s="30" t="str">
        <f t="shared" si="1991"/>
        <v/>
      </c>
      <c r="FD208" s="30" t="str">
        <f t="shared" si="1992"/>
        <v/>
      </c>
      <c r="FE208" s="30" t="str">
        <f t="shared" si="1993"/>
        <v/>
      </c>
      <c r="FF208" s="30" t="str">
        <f t="shared" si="1994"/>
        <v/>
      </c>
      <c r="FG208" s="30" t="str">
        <f t="shared" si="1995"/>
        <v/>
      </c>
      <c r="FH208" s="30" t="str">
        <f t="shared" si="1996"/>
        <v/>
      </c>
      <c r="FI208" s="30" t="str">
        <f t="shared" si="1997"/>
        <v/>
      </c>
      <c r="FJ208" s="30" t="str">
        <f t="shared" si="1998"/>
        <v/>
      </c>
      <c r="FK208" s="30" t="str">
        <f t="shared" si="1999"/>
        <v/>
      </c>
      <c r="FL208" s="30" t="str">
        <f t="shared" si="2000"/>
        <v/>
      </c>
      <c r="FM208" s="30" t="str">
        <f t="shared" si="2001"/>
        <v/>
      </c>
      <c r="FN208" s="30" t="str">
        <f t="shared" si="2002"/>
        <v/>
      </c>
      <c r="FO208" s="30" t="str">
        <f t="shared" si="2003"/>
        <v/>
      </c>
      <c r="FP208" s="30" t="str">
        <f t="shared" si="2004"/>
        <v/>
      </c>
      <c r="FQ208" s="30" t="str">
        <f t="shared" si="2005"/>
        <v/>
      </c>
      <c r="FR208" s="30" t="str">
        <f t="shared" si="2006"/>
        <v/>
      </c>
      <c r="FS208" s="30" t="str">
        <f t="shared" si="2007"/>
        <v/>
      </c>
    </row>
    <row r="209" spans="92:175">
      <c r="CN209" s="7" t="str">
        <f t="shared" si="1932"/>
        <v>InitUnitState('',,,,,,,,,,)</v>
      </c>
      <c r="CO209" s="7" t="str">
        <f t="shared" si="1933"/>
        <v>InitUnitNormal('',,,,,,,,,,)</v>
      </c>
      <c r="CP209" s="7" t="str">
        <f t="shared" si="1934"/>
        <v>InitUnitMagic('',,,,,,,,,,)</v>
      </c>
      <c r="CQ209" s="7" t="str">
        <f t="shared" si="1935"/>
        <v>InitUnitAdd('',,,,,,,,,,)</v>
      </c>
      <c r="CR209" s="7" t="str">
        <f t="shared" si="1936"/>
        <v>InitEquipData('',,"",,,,,'','','','','','',"")</v>
      </c>
      <c r="CU209" s="29" t="str">
        <f t="shared" si="2008"/>
        <v>|n</v>
      </c>
      <c r="CW209" s="24"/>
      <c r="CX209" s="24"/>
      <c r="CY209" s="24"/>
      <c r="CZ209" s="24"/>
      <c r="DA209" s="24"/>
      <c r="DB209" s="30" t="str">
        <f t="shared" si="1938"/>
        <v/>
      </c>
      <c r="DC209" s="30" t="str">
        <f t="shared" si="1939"/>
        <v/>
      </c>
      <c r="DD209" s="30" t="str">
        <f t="shared" si="1940"/>
        <v/>
      </c>
      <c r="DE209" s="30" t="str">
        <f t="shared" si="1941"/>
        <v/>
      </c>
      <c r="DF209" s="30" t="str">
        <f t="shared" si="1942"/>
        <v/>
      </c>
      <c r="DG209" s="30" t="str">
        <f t="shared" si="1943"/>
        <v/>
      </c>
      <c r="DH209" s="30" t="str">
        <f t="shared" si="1944"/>
        <v/>
      </c>
      <c r="DI209" s="30" t="str">
        <f t="shared" si="1945"/>
        <v/>
      </c>
      <c r="DJ209" s="30" t="str">
        <f t="shared" si="1946"/>
        <v/>
      </c>
      <c r="DK209" s="30" t="str">
        <f t="shared" si="1947"/>
        <v/>
      </c>
      <c r="DL209" s="30" t="str">
        <f t="shared" si="1948"/>
        <v/>
      </c>
      <c r="DM209" s="30" t="str">
        <f t="shared" si="1949"/>
        <v/>
      </c>
      <c r="DN209" s="30" t="str">
        <f t="shared" si="1950"/>
        <v/>
      </c>
      <c r="DO209" s="30" t="str">
        <f t="shared" si="1951"/>
        <v/>
      </c>
      <c r="DP209" s="30" t="str">
        <f t="shared" si="1952"/>
        <v/>
      </c>
      <c r="DQ209" s="30" t="str">
        <f t="shared" si="1953"/>
        <v/>
      </c>
      <c r="DR209" s="30" t="str">
        <f t="shared" si="1954"/>
        <v/>
      </c>
      <c r="DS209" s="30" t="str">
        <f t="shared" si="1955"/>
        <v/>
      </c>
      <c r="DT209" s="30" t="str">
        <f t="shared" si="1956"/>
        <v/>
      </c>
      <c r="DU209" s="30" t="str">
        <f t="shared" si="1957"/>
        <v/>
      </c>
      <c r="DV209" s="30" t="str">
        <f t="shared" si="1958"/>
        <v/>
      </c>
      <c r="DW209" s="30" t="str">
        <f t="shared" si="1959"/>
        <v/>
      </c>
      <c r="DX209" s="30" t="str">
        <f t="shared" si="1960"/>
        <v/>
      </c>
      <c r="DY209" s="30" t="str">
        <f t="shared" si="1961"/>
        <v/>
      </c>
      <c r="DZ209" s="30" t="str">
        <f t="shared" si="1962"/>
        <v/>
      </c>
      <c r="EA209" s="30" t="str">
        <f t="shared" si="1963"/>
        <v/>
      </c>
      <c r="EB209" s="30" t="str">
        <f t="shared" si="1964"/>
        <v/>
      </c>
      <c r="EC209" s="30" t="str">
        <f t="shared" si="1965"/>
        <v/>
      </c>
      <c r="ED209" s="30" t="str">
        <f t="shared" si="1966"/>
        <v/>
      </c>
      <c r="EE209" s="30" t="str">
        <f t="shared" si="1967"/>
        <v/>
      </c>
      <c r="EF209" s="30" t="str">
        <f t="shared" si="1968"/>
        <v/>
      </c>
      <c r="EG209" s="30" t="str">
        <f t="shared" si="1969"/>
        <v/>
      </c>
      <c r="EH209" s="30" t="str">
        <f t="shared" si="1970"/>
        <v/>
      </c>
      <c r="EI209" s="30" t="str">
        <f t="shared" si="1971"/>
        <v/>
      </c>
      <c r="EJ209" s="30" t="str">
        <f t="shared" si="1972"/>
        <v/>
      </c>
      <c r="EK209" s="30" t="str">
        <f t="shared" si="1973"/>
        <v/>
      </c>
      <c r="EL209" s="30" t="str">
        <f t="shared" si="1974"/>
        <v/>
      </c>
      <c r="EM209" s="30" t="str">
        <f t="shared" si="1975"/>
        <v/>
      </c>
      <c r="EN209" s="30" t="str">
        <f t="shared" si="1976"/>
        <v/>
      </c>
      <c r="EO209" s="30" t="str">
        <f t="shared" si="1977"/>
        <v/>
      </c>
      <c r="EP209" s="30" t="str">
        <f t="shared" si="1978"/>
        <v/>
      </c>
      <c r="EQ209" s="30" t="str">
        <f t="shared" si="1979"/>
        <v/>
      </c>
      <c r="ER209" s="30" t="str">
        <f t="shared" si="1980"/>
        <v/>
      </c>
      <c r="ES209" s="30" t="str">
        <f t="shared" si="1981"/>
        <v/>
      </c>
      <c r="ET209" s="30" t="str">
        <f t="shared" si="1982"/>
        <v/>
      </c>
      <c r="EU209" s="30" t="str">
        <f t="shared" si="1983"/>
        <v/>
      </c>
      <c r="EV209" s="30" t="str">
        <f t="shared" si="1984"/>
        <v/>
      </c>
      <c r="EW209" s="30" t="str">
        <f t="shared" si="1985"/>
        <v/>
      </c>
      <c r="EX209" s="30" t="str">
        <f t="shared" si="1986"/>
        <v/>
      </c>
      <c r="EY209" s="30" t="str">
        <f t="shared" si="1987"/>
        <v/>
      </c>
      <c r="EZ209" s="30" t="str">
        <f t="shared" si="1988"/>
        <v/>
      </c>
      <c r="FA209" s="30" t="str">
        <f t="shared" si="1989"/>
        <v/>
      </c>
      <c r="FB209" s="30" t="str">
        <f t="shared" si="1990"/>
        <v/>
      </c>
      <c r="FC209" s="30" t="str">
        <f t="shared" si="1991"/>
        <v/>
      </c>
      <c r="FD209" s="30" t="str">
        <f t="shared" si="1992"/>
        <v/>
      </c>
      <c r="FE209" s="30" t="str">
        <f t="shared" si="1993"/>
        <v/>
      </c>
      <c r="FF209" s="30" t="str">
        <f t="shared" si="1994"/>
        <v/>
      </c>
      <c r="FG209" s="30" t="str">
        <f t="shared" si="1995"/>
        <v/>
      </c>
      <c r="FH209" s="30" t="str">
        <f t="shared" si="1996"/>
        <v/>
      </c>
      <c r="FI209" s="30" t="str">
        <f t="shared" si="1997"/>
        <v/>
      </c>
      <c r="FJ209" s="30" t="str">
        <f t="shared" si="1998"/>
        <v/>
      </c>
      <c r="FK209" s="30" t="str">
        <f t="shared" si="1999"/>
        <v/>
      </c>
      <c r="FL209" s="30" t="str">
        <f t="shared" si="2000"/>
        <v/>
      </c>
      <c r="FM209" s="30" t="str">
        <f t="shared" si="2001"/>
        <v/>
      </c>
      <c r="FN209" s="30" t="str">
        <f t="shared" si="2002"/>
        <v/>
      </c>
      <c r="FO209" s="30" t="str">
        <f t="shared" si="2003"/>
        <v/>
      </c>
      <c r="FP209" s="30" t="str">
        <f t="shared" si="2004"/>
        <v/>
      </c>
      <c r="FQ209" s="30" t="str">
        <f t="shared" si="2005"/>
        <v/>
      </c>
      <c r="FR209" s="30" t="str">
        <f t="shared" si="2006"/>
        <v/>
      </c>
      <c r="FS209" s="30" t="str">
        <f t="shared" si="2007"/>
        <v/>
      </c>
    </row>
    <row r="210" spans="92:175">
      <c r="CN210" s="7" t="str">
        <f t="shared" si="1932"/>
        <v>InitUnitState('',,,,,,,,,,)</v>
      </c>
      <c r="CO210" s="7" t="str">
        <f t="shared" si="1933"/>
        <v>InitUnitNormal('',,,,,,,,,,)</v>
      </c>
      <c r="CP210" s="7" t="str">
        <f t="shared" si="1934"/>
        <v>InitUnitMagic('',,,,,,,,,,)</v>
      </c>
      <c r="CQ210" s="7" t="str">
        <f t="shared" si="1935"/>
        <v>InitUnitAdd('',,,,,,,,,,)</v>
      </c>
      <c r="CR210" s="7" t="str">
        <f t="shared" si="1936"/>
        <v>InitEquipData('',,"",,,,,'','','','','','',"")</v>
      </c>
      <c r="CU210" s="29" t="str">
        <f t="shared" si="2008"/>
        <v>|n</v>
      </c>
      <c r="DB210" s="30" t="str">
        <f>IF(V210="","","|n"&amp;#REF!&amp;"+"&amp;V210)</f>
        <v/>
      </c>
      <c r="DC210" s="30" t="str">
        <f>IF(W210="","","|n"&amp;#REF!&amp;"+"&amp;W210)</f>
        <v/>
      </c>
      <c r="DD210" s="30" t="str">
        <f>IF(X210="","","|n"&amp;#REF!&amp;"+"&amp;X210)</f>
        <v/>
      </c>
      <c r="DE210" s="30" t="str">
        <f>IF(Y210="","","|n"&amp;#REF!&amp;"+"&amp;Y210)</f>
        <v/>
      </c>
      <c r="DF210" s="30" t="str">
        <f>IF(Z210="","","|n"&amp;#REF!&amp;"+"&amp;Z210)</f>
        <v/>
      </c>
      <c r="DG210" s="30" t="str">
        <f>IF(AA210="","","|n"&amp;#REF!&amp;"+"&amp;AA210)</f>
        <v/>
      </c>
      <c r="DH210" s="30" t="str">
        <f>IF(AB210="","","|n"&amp;#REF!&amp;"+"&amp;AB210)</f>
        <v/>
      </c>
      <c r="DI210" s="30" t="str">
        <f>IF(AC210="","","|n"&amp;#REF!&amp;"+"&amp;AC210&amp;"%")</f>
        <v/>
      </c>
      <c r="DJ210" s="30" t="str">
        <f>IF(AD210="","","|n"&amp;#REF!&amp;"+"&amp;AD210)</f>
        <v/>
      </c>
      <c r="DK210" s="30" t="str">
        <f>IF(AE210="","","|n"&amp;#REF!&amp;"+"&amp;AE210)</f>
        <v/>
      </c>
      <c r="DL210" s="30" t="str">
        <f>IF(AF210="","","|n"&amp;#REF!&amp;"+"&amp;AF210)</f>
        <v/>
      </c>
      <c r="DM210" s="30" t="str">
        <f>IF(AG210="","","|n"&amp;#REF!&amp;"+"&amp;AG210&amp;"%")</f>
        <v/>
      </c>
      <c r="DN210" s="30" t="str">
        <f>IF(AH210="","","|n"&amp;#REF!&amp;"+"&amp;AH210)</f>
        <v/>
      </c>
      <c r="DO210" s="30" t="str">
        <f>IF(AI210="","","|n"&amp;#REF!&amp;"+"&amp;AI210)</f>
        <v/>
      </c>
      <c r="DP210" s="30" t="str">
        <f>IF(AJ210="","","|n"&amp;#REF!&amp;"+"&amp;AJ210)</f>
        <v/>
      </c>
    </row>
    <row r="211" spans="92:175">
      <c r="CN211" s="7" t="str">
        <f t="shared" si="1932"/>
        <v>InitUnitState('',,,,,,,,,,)</v>
      </c>
      <c r="CO211" s="7" t="str">
        <f t="shared" si="1933"/>
        <v>InitUnitNormal('',,,,,,,,,,)</v>
      </c>
      <c r="CP211" s="7" t="str">
        <f t="shared" si="1934"/>
        <v>InitUnitMagic('',,,,,,,,,,)</v>
      </c>
      <c r="CQ211" s="7" t="str">
        <f t="shared" si="1935"/>
        <v>InitUnitAdd('',,,,,,,,,,)</v>
      </c>
      <c r="CR211" s="7" t="str">
        <f t="shared" si="1936"/>
        <v>InitEquipData('',,"",,,,,'','','','','','',"")</v>
      </c>
      <c r="CU211" s="29" t="str">
        <f t="shared" si="2008"/>
        <v>|n</v>
      </c>
      <c r="DB211" s="30" t="str">
        <f>IF(V211="","","|n"&amp;#REF!&amp;"+"&amp;V211)</f>
        <v/>
      </c>
      <c r="DC211" s="30" t="str">
        <f>IF(W211="","","|n"&amp;#REF!&amp;"+"&amp;W211)</f>
        <v/>
      </c>
      <c r="DD211" s="30" t="str">
        <f>IF(X211="","","|n"&amp;#REF!&amp;"+"&amp;X211)</f>
        <v/>
      </c>
      <c r="DE211" s="30" t="str">
        <f>IF(Y211="","","|n"&amp;#REF!&amp;"+"&amp;Y211)</f>
        <v/>
      </c>
      <c r="DF211" s="30" t="str">
        <f>IF(Z211="","","|n"&amp;#REF!&amp;"+"&amp;Z211)</f>
        <v/>
      </c>
      <c r="DG211" s="30" t="str">
        <f>IF(AA211="","","|n"&amp;#REF!&amp;"+"&amp;AA211)</f>
        <v/>
      </c>
      <c r="DH211" s="30" t="str">
        <f>IF(AB211="","","|n"&amp;#REF!&amp;"+"&amp;AB211)</f>
        <v/>
      </c>
      <c r="DI211" s="30" t="str">
        <f>IF(AC211="","","|n"&amp;#REF!&amp;"+"&amp;AC211&amp;"%")</f>
        <v/>
      </c>
      <c r="DJ211" s="30" t="str">
        <f>IF(AD211="","","|n"&amp;#REF!&amp;"+"&amp;AD211)</f>
        <v/>
      </c>
      <c r="DK211" s="30" t="str">
        <f>IF(AE211="","","|n"&amp;#REF!&amp;"+"&amp;AE211)</f>
        <v/>
      </c>
      <c r="DL211" s="30" t="str">
        <f>IF(AF211="","","|n"&amp;#REF!&amp;"+"&amp;AF211)</f>
        <v/>
      </c>
      <c r="DM211" s="30" t="str">
        <f>IF(AG211="","","|n"&amp;#REF!&amp;"+"&amp;AG211&amp;"%")</f>
        <v/>
      </c>
      <c r="DN211" s="30" t="str">
        <f>IF(AH211="","","|n"&amp;#REF!&amp;"+"&amp;AH211)</f>
        <v/>
      </c>
      <c r="DO211" s="30" t="str">
        <f>IF(AI211="","","|n"&amp;#REF!&amp;"+"&amp;AI211)</f>
        <v/>
      </c>
      <c r="DP211" s="30" t="str">
        <f>IF(AJ211="","","|n"&amp;#REF!&amp;"+"&amp;AJ211)</f>
        <v/>
      </c>
    </row>
    <row r="212" spans="92:175">
      <c r="CN212" s="7" t="str">
        <f t="shared" si="1932"/>
        <v>InitUnitState('',,,,,,,,,,)</v>
      </c>
      <c r="CO212" s="7" t="str">
        <f t="shared" si="1933"/>
        <v>InitUnitNormal('',,,,,,,,,,)</v>
      </c>
      <c r="CP212" s="7" t="str">
        <f t="shared" si="1934"/>
        <v>InitUnitMagic('',,,,,,,,,,)</v>
      </c>
      <c r="CQ212" s="7" t="str">
        <f t="shared" si="1935"/>
        <v>InitUnitAdd('',,,,,,,,,,)</v>
      </c>
      <c r="CR212" s="7" t="str">
        <f t="shared" si="1936"/>
        <v>InitEquipData('',,"",,,,,'','','','','','',"")</v>
      </c>
      <c r="CU212" s="29" t="str">
        <f t="shared" si="2008"/>
        <v>|n</v>
      </c>
      <c r="DB212" s="30" t="str">
        <f>IF(V212="","","|n"&amp;#REF!&amp;"+"&amp;V212)</f>
        <v/>
      </c>
      <c r="DC212" s="30" t="str">
        <f>IF(W212="","","|n"&amp;#REF!&amp;"+"&amp;W212)</f>
        <v/>
      </c>
      <c r="DD212" s="30" t="str">
        <f>IF(X212="","","|n"&amp;#REF!&amp;"+"&amp;X212)</f>
        <v/>
      </c>
      <c r="DE212" s="30" t="str">
        <f>IF(Y212="","","|n"&amp;#REF!&amp;"+"&amp;Y212)</f>
        <v/>
      </c>
      <c r="DF212" s="30" t="str">
        <f>IF(Z212="","","|n"&amp;#REF!&amp;"+"&amp;Z212)</f>
        <v/>
      </c>
      <c r="DG212" s="30" t="str">
        <f>IF(AA212="","","|n"&amp;#REF!&amp;"+"&amp;AA212)</f>
        <v/>
      </c>
      <c r="DH212" s="30" t="str">
        <f>IF(AB212="","","|n"&amp;#REF!&amp;"+"&amp;AB212)</f>
        <v/>
      </c>
      <c r="DI212" s="30" t="str">
        <f>IF(AC212="","","|n"&amp;#REF!&amp;"+"&amp;AC212&amp;"%")</f>
        <v/>
      </c>
      <c r="DJ212" s="30" t="str">
        <f>IF(AD212="","","|n"&amp;#REF!&amp;"+"&amp;AD212)</f>
        <v/>
      </c>
      <c r="DK212" s="30" t="str">
        <f>IF(AE212="","","|n"&amp;#REF!&amp;"+"&amp;AE212)</f>
        <v/>
      </c>
      <c r="DL212" s="30" t="str">
        <f>IF(AF212="","","|n"&amp;#REF!&amp;"+"&amp;AF212)</f>
        <v/>
      </c>
      <c r="DM212" s="30" t="str">
        <f>IF(AG212="","","|n"&amp;#REF!&amp;"+"&amp;AG212&amp;"%")</f>
        <v/>
      </c>
      <c r="DN212" s="30" t="str">
        <f>IF(AH212="","","|n"&amp;#REF!&amp;"+"&amp;AH212)</f>
        <v/>
      </c>
      <c r="DO212" s="30" t="str">
        <f>IF(AI212="","","|n"&amp;#REF!&amp;"+"&amp;AI212)</f>
        <v/>
      </c>
      <c r="DP212" s="30" t="str">
        <f>IF(AJ212="","","|n"&amp;#REF!&amp;"+"&amp;AJ212)</f>
        <v/>
      </c>
    </row>
    <row r="213" spans="92:175">
      <c r="CN213" s="7" t="str">
        <f t="shared" si="1932"/>
        <v>InitUnitState('',,,,,,,,,,)</v>
      </c>
      <c r="CO213" s="7" t="str">
        <f t="shared" si="1933"/>
        <v>InitUnitNormal('',,,,,,,,,,)</v>
      </c>
      <c r="CP213" s="7" t="str">
        <f t="shared" si="1934"/>
        <v>InitUnitMagic('',,,,,,,,,,)</v>
      </c>
      <c r="CQ213" s="7" t="str">
        <f t="shared" si="1935"/>
        <v>InitUnitAdd('',,,,,,,,,,)</v>
      </c>
      <c r="CR213" s="7" t="str">
        <f t="shared" si="1936"/>
        <v>InitEquipData('',,"",,,,,'','','','','','',"")</v>
      </c>
      <c r="CU213" s="29" t="str">
        <f t="shared" si="2008"/>
        <v>|n</v>
      </c>
      <c r="DB213" s="30" t="str">
        <f>IF(V213="","","|n"&amp;#REF!&amp;"+"&amp;V213)</f>
        <v/>
      </c>
      <c r="DC213" s="30" t="str">
        <f>IF(W213="","","|n"&amp;#REF!&amp;"+"&amp;W213)</f>
        <v/>
      </c>
      <c r="DD213" s="30" t="str">
        <f>IF(X213="","","|n"&amp;#REF!&amp;"+"&amp;X213)</f>
        <v/>
      </c>
      <c r="DE213" s="30" t="str">
        <f>IF(Y213="","","|n"&amp;#REF!&amp;"+"&amp;Y213)</f>
        <v/>
      </c>
      <c r="DF213" s="30" t="str">
        <f>IF(Z213="","","|n"&amp;#REF!&amp;"+"&amp;Z213)</f>
        <v/>
      </c>
      <c r="DG213" s="30" t="str">
        <f>IF(AA213="","","|n"&amp;#REF!&amp;"+"&amp;AA213)</f>
        <v/>
      </c>
      <c r="DH213" s="30" t="str">
        <f>IF(AB213="","","|n"&amp;#REF!&amp;"+"&amp;AB213)</f>
        <v/>
      </c>
      <c r="DI213" s="30" t="str">
        <f>IF(AC213="","","|n"&amp;#REF!&amp;"+"&amp;AC213&amp;"%")</f>
        <v/>
      </c>
      <c r="DJ213" s="30" t="str">
        <f>IF(AD213="","","|n"&amp;#REF!&amp;"+"&amp;AD213)</f>
        <v/>
      </c>
      <c r="DK213" s="30" t="str">
        <f>IF(AE213="","","|n"&amp;#REF!&amp;"+"&amp;AE213)</f>
        <v/>
      </c>
      <c r="DL213" s="30" t="str">
        <f>IF(AF213="","","|n"&amp;#REF!&amp;"+"&amp;AF213)</f>
        <v/>
      </c>
      <c r="DM213" s="30" t="str">
        <f>IF(AG213="","","|n"&amp;#REF!&amp;"+"&amp;AG213&amp;"%")</f>
        <v/>
      </c>
      <c r="DN213" s="30" t="str">
        <f>IF(AH213="","","|n"&amp;#REF!&amp;"+"&amp;AH213)</f>
        <v/>
      </c>
      <c r="DO213" s="30" t="str">
        <f>IF(AI213="","","|n"&amp;#REF!&amp;"+"&amp;AI213)</f>
        <v/>
      </c>
      <c r="DP213" s="30" t="str">
        <f>IF(AJ213="","","|n"&amp;#REF!&amp;"+"&amp;AJ213)</f>
        <v/>
      </c>
    </row>
    <row r="214" spans="92:175">
      <c r="CN214" s="7" t="str">
        <f t="shared" si="1932"/>
        <v>InitUnitState('',,,,,,,,,,)</v>
      </c>
      <c r="CO214" s="7" t="str">
        <f t="shared" si="1933"/>
        <v>InitUnitNormal('',,,,,,,,,,)</v>
      </c>
      <c r="CP214" s="7" t="str">
        <f t="shared" si="1934"/>
        <v>InitUnitMagic('',,,,,,,,,,)</v>
      </c>
      <c r="CQ214" s="7" t="str">
        <f t="shared" si="1935"/>
        <v>InitUnitAdd('',,,,,,,,,,)</v>
      </c>
      <c r="CR214" s="7" t="str">
        <f t="shared" si="1936"/>
        <v>InitEquipData('',,"",,,,,'','','','','','',"")</v>
      </c>
      <c r="CU214" s="29" t="str">
        <f t="shared" si="2008"/>
        <v>|n</v>
      </c>
      <c r="DB214" s="30" t="str">
        <f>IF(V214="","","|n"&amp;#REF!&amp;"+"&amp;V214)</f>
        <v/>
      </c>
      <c r="DC214" s="30" t="str">
        <f>IF(W214="","","|n"&amp;#REF!&amp;"+"&amp;W214)</f>
        <v/>
      </c>
      <c r="DD214" s="30" t="str">
        <f>IF(X214="","","|n"&amp;#REF!&amp;"+"&amp;X214)</f>
        <v/>
      </c>
      <c r="DE214" s="30" t="str">
        <f>IF(Y214="","","|n"&amp;#REF!&amp;"+"&amp;Y214)</f>
        <v/>
      </c>
      <c r="DF214" s="30" t="str">
        <f>IF(Z214="","","|n"&amp;#REF!&amp;"+"&amp;Z214)</f>
        <v/>
      </c>
      <c r="DG214" s="30" t="str">
        <f>IF(AA214="","","|n"&amp;#REF!&amp;"+"&amp;AA214)</f>
        <v/>
      </c>
      <c r="DH214" s="30" t="str">
        <f>IF(AB214="","","|n"&amp;#REF!&amp;"+"&amp;AB214)</f>
        <v/>
      </c>
      <c r="DI214" s="30" t="str">
        <f>IF(AC214="","","|n"&amp;#REF!&amp;"+"&amp;AC214&amp;"%")</f>
        <v/>
      </c>
      <c r="DJ214" s="30" t="str">
        <f>IF(AD214="","","|n"&amp;#REF!&amp;"+"&amp;AD214)</f>
        <v/>
      </c>
      <c r="DK214" s="30" t="str">
        <f>IF(AE214="","","|n"&amp;#REF!&amp;"+"&amp;AE214)</f>
        <v/>
      </c>
      <c r="DL214" s="30" t="str">
        <f>IF(AF214="","","|n"&amp;#REF!&amp;"+"&amp;AF214)</f>
        <v/>
      </c>
      <c r="DM214" s="30" t="str">
        <f>IF(AG214="","","|n"&amp;#REF!&amp;"+"&amp;AG214&amp;"%")</f>
        <v/>
      </c>
      <c r="DN214" s="30" t="str">
        <f>IF(AH214="","","|n"&amp;#REF!&amp;"+"&amp;AH214)</f>
        <v/>
      </c>
      <c r="DO214" s="30" t="str">
        <f>IF(AI214="","","|n"&amp;#REF!&amp;"+"&amp;AI214)</f>
        <v/>
      </c>
      <c r="DP214" s="30" t="str">
        <f>IF(AJ214="","","|n"&amp;#REF!&amp;"+"&amp;AJ214)</f>
        <v/>
      </c>
    </row>
    <row r="215" spans="92:175">
      <c r="CN215" s="7" t="str">
        <f t="shared" si="1932"/>
        <v>InitUnitState('',,,,,,,,,,)</v>
      </c>
      <c r="CO215" s="7" t="str">
        <f t="shared" si="1933"/>
        <v>InitUnitNormal('',,,,,,,,,,)</v>
      </c>
      <c r="CP215" s="7" t="str">
        <f t="shared" si="1934"/>
        <v>InitUnitMagic('',,,,,,,,,,)</v>
      </c>
      <c r="CQ215" s="7" t="str">
        <f t="shared" si="1935"/>
        <v>InitUnitAdd('',,,,,,,,,,)</v>
      </c>
      <c r="CR215" s="7" t="str">
        <f t="shared" si="1936"/>
        <v>InitEquipData('',,"",,,,,'','','','','','',"")</v>
      </c>
      <c r="CU215" s="29" t="str">
        <f t="shared" si="2008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1932"/>
        <v>InitUnitState('',,,,,,,,,,)</v>
      </c>
      <c r="CO216" s="7" t="str">
        <f t="shared" si="1933"/>
        <v>InitUnitNormal('',,,,,,,,,,)</v>
      </c>
      <c r="CP216" s="7" t="str">
        <f t="shared" si="1934"/>
        <v>InitUnitMagic('',,,,,,,,,,)</v>
      </c>
      <c r="CQ216" s="7" t="str">
        <f t="shared" si="1935"/>
        <v>InitUnitAdd('',,,,,,,,,,)</v>
      </c>
      <c r="CR216" s="7" t="str">
        <f t="shared" si="1936"/>
        <v>InitEquipData('',,"",,,,,'','','','','','',"")</v>
      </c>
      <c r="CU216" s="29" t="str">
        <f t="shared" si="2008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1932"/>
        <v>InitUnitState('',,,,,,,,,,)</v>
      </c>
      <c r="CO217" s="7" t="str">
        <f t="shared" si="1933"/>
        <v>InitUnitNormal('',,,,,,,,,,)</v>
      </c>
      <c r="CP217" s="7" t="str">
        <f t="shared" si="1934"/>
        <v>InitUnitMagic('',,,,,,,,,,)</v>
      </c>
      <c r="CQ217" s="7" t="str">
        <f t="shared" si="1935"/>
        <v>InitUnitAdd('',,,,,,,,,,)</v>
      </c>
      <c r="CR217" s="7" t="str">
        <f t="shared" si="1936"/>
        <v>InitEquipData('',,"",,,,,'','','','','','',"")</v>
      </c>
      <c r="CU217" s="29" t="str">
        <f t="shared" si="2008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1932"/>
        <v>InitUnitState('',,,,,,,,,,)</v>
      </c>
      <c r="CO218" s="7" t="str">
        <f t="shared" si="1933"/>
        <v>InitUnitNormal('',,,,,,,,,,)</v>
      </c>
      <c r="CP218" s="7" t="str">
        <f t="shared" si="1934"/>
        <v>InitUnitMagic('',,,,,,,,,,)</v>
      </c>
      <c r="CQ218" s="7" t="str">
        <f t="shared" si="1935"/>
        <v>InitUnitAdd('',,,,,,,,,,)</v>
      </c>
      <c r="CR218" s="7" t="str">
        <f t="shared" si="1936"/>
        <v>InitEquipData('',,"",,,,,'','','','','','',"")</v>
      </c>
      <c r="CU218" s="29" t="str">
        <f t="shared" si="2008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1932"/>
        <v>InitUnitState('',,,,,,,,,,)</v>
      </c>
      <c r="CO219" s="7" t="str">
        <f t="shared" si="1933"/>
        <v>InitUnitNormal('',,,,,,,,,,)</v>
      </c>
      <c r="CP219" s="7" t="str">
        <f t="shared" si="1934"/>
        <v>InitUnitMagic('',,,,,,,,,,)</v>
      </c>
      <c r="CQ219" s="7" t="str">
        <f t="shared" si="1935"/>
        <v>InitUnitAdd('',,,,,,,,,,)</v>
      </c>
      <c r="CR219" s="7" t="str">
        <f t="shared" si="1936"/>
        <v>InitEquipData('',,"",,,,,'','','','','','',"")</v>
      </c>
      <c r="CU219" s="29" t="str">
        <f t="shared" si="2008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1932"/>
        <v>InitUnitState('',,,,,,,,,,)</v>
      </c>
      <c r="CO220" s="7" t="str">
        <f t="shared" si="1933"/>
        <v>InitUnitNormal('',,,,,,,,,,)</v>
      </c>
      <c r="CP220" s="7" t="str">
        <f t="shared" si="1934"/>
        <v>InitUnitMagic('',,,,,,,,,,)</v>
      </c>
      <c r="CQ220" s="7" t="str">
        <f t="shared" si="1935"/>
        <v>InitUnitAdd('',,,,,,,,,,)</v>
      </c>
      <c r="CR220" s="7" t="str">
        <f t="shared" si="1936"/>
        <v>InitEquipData('',,"",,,,,'','','','','','',"")</v>
      </c>
      <c r="CU220" s="29" t="str">
        <f t="shared" si="2008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ref="CN221:CN240" si="2009">"InitUnitState('"&amp;B221&amp;"',"&amp;V221&amp;","&amp;W221&amp;","&amp;X221&amp;","&amp;Y221&amp;","&amp;Z221&amp;","&amp;AA221&amp;","&amp;AB221&amp;","&amp;AC221&amp;","&amp;AD221&amp;","&amp;AE221&amp;")"</f>
        <v>InitUnitState('',,,,,,,,,,)</v>
      </c>
      <c r="CO221" s="7" t="str">
        <f t="shared" ref="CO221:CO240" si="2010">"InitUnitNormal('"&amp;B221&amp;"',"&amp;AF221&amp;","&amp;AG221&amp;","&amp;AH221&amp;","&amp;AI221&amp;","&amp;AJ221&amp;","&amp;AK221&amp;","&amp;AL221&amp;","&amp;AM221&amp;","&amp;AN221&amp;","&amp;AO221&amp;")"</f>
        <v>InitUnitNormal('',,,,,,,,,,)</v>
      </c>
      <c r="CP221" s="7" t="str">
        <f t="shared" ref="CP221:CP240" si="2011">"InitUnitMagic('"&amp;B221&amp;"',"&amp;AP221&amp;","&amp;AQ221&amp;","&amp;AR221&amp;","&amp;AS221&amp;","&amp;AT221&amp;","&amp;AU221&amp;","&amp;AV221&amp;","&amp;AW221&amp;","&amp;BI221&amp;","&amp;BJ221&amp;")"</f>
        <v>InitUnitMagic('',,,,,,,,,,)</v>
      </c>
      <c r="CQ221" s="7" t="str">
        <f t="shared" ref="CQ221:CQ240" si="2012">"InitUnitAdd('"&amp;B221&amp;"',"&amp;BK221&amp;","&amp;BL221&amp;","&amp;BM221&amp;","&amp;BN221&amp;","&amp;BO221&amp;","&amp;BP221&amp;","&amp;BQ221&amp;","&amp;BR221&amp;","&amp;BS221&amp;","&amp;BT221&amp;")"</f>
        <v>InitUnitAdd('',,,,,,,,,,)</v>
      </c>
      <c r="CR221" s="7" t="str">
        <f t="shared" ref="CR221:CR240" si="2013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InitEquipData('',,"",,,,,'','','','','','',"")</v>
      </c>
      <c r="CU221" s="29" t="str">
        <f t="shared" si="2008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009"/>
        <v>InitUnitState('',,,,,,,,,,)</v>
      </c>
      <c r="CO222" s="7" t="str">
        <f t="shared" si="2010"/>
        <v>InitUnitNormal('',,,,,,,,,,)</v>
      </c>
      <c r="CP222" s="7" t="str">
        <f t="shared" si="2011"/>
        <v>InitUnitMagic('',,,,,,,,,,)</v>
      </c>
      <c r="CQ222" s="7" t="str">
        <f t="shared" si="2012"/>
        <v>InitUnitAdd('',,,,,,,,,,)</v>
      </c>
      <c r="CR222" s="7" t="str">
        <f t="shared" si="2013"/>
        <v>InitEquipData('',,"",,,,,'','','','','','',"")</v>
      </c>
      <c r="CU222" s="29" t="str">
        <f t="shared" si="2008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009"/>
        <v>InitUnitState('',,,,,,,,,,)</v>
      </c>
      <c r="CO223" s="7" t="str">
        <f t="shared" si="2010"/>
        <v>InitUnitNormal('',,,,,,,,,,)</v>
      </c>
      <c r="CP223" s="7" t="str">
        <f t="shared" si="2011"/>
        <v>InitUnitMagic('',,,,,,,,,,)</v>
      </c>
      <c r="CQ223" s="7" t="str">
        <f t="shared" si="2012"/>
        <v>InitUnitAdd('',,,,,,,,,,)</v>
      </c>
      <c r="CR223" s="7" t="str">
        <f t="shared" si="2013"/>
        <v>InitEquipData('',,"",,,,,'','','','','','',"")</v>
      </c>
      <c r="CU223" s="29" t="str">
        <f t="shared" si="2008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009"/>
        <v>InitUnitState('',,,,,,,,,,)</v>
      </c>
      <c r="CO224" s="7" t="str">
        <f t="shared" si="2010"/>
        <v>InitUnitNormal('',,,,,,,,,,)</v>
      </c>
      <c r="CP224" s="7" t="str">
        <f t="shared" si="2011"/>
        <v>InitUnitMagic('',,,,,,,,,,)</v>
      </c>
      <c r="CQ224" s="7" t="str">
        <f t="shared" si="2012"/>
        <v>InitUnitAdd('',,,,,,,,,,)</v>
      </c>
      <c r="CR224" s="7" t="str">
        <f t="shared" si="2013"/>
        <v>InitEquipData('',,"",,,,,'','','','','','',"")</v>
      </c>
      <c r="CU224" s="29" t="str">
        <f t="shared" si="2008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009"/>
        <v>InitUnitState('',,,,,,,,,,)</v>
      </c>
      <c r="CO225" s="7" t="str">
        <f t="shared" si="2010"/>
        <v>InitUnitNormal('',,,,,,,,,,)</v>
      </c>
      <c r="CP225" s="7" t="str">
        <f t="shared" si="2011"/>
        <v>InitUnitMagic('',,,,,,,,,,)</v>
      </c>
      <c r="CQ225" s="7" t="str">
        <f t="shared" si="2012"/>
        <v>InitUnitAdd('',,,,,,,,,,)</v>
      </c>
      <c r="CR225" s="7" t="str">
        <f t="shared" si="2013"/>
        <v>InitEquipData('',,"",,,,,'','','','','','',"")</v>
      </c>
      <c r="CU225" s="29" t="str">
        <f t="shared" si="2008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009"/>
        <v>InitUnitState('',,,,,,,,,,)</v>
      </c>
      <c r="CO226" s="7" t="str">
        <f t="shared" si="2010"/>
        <v>InitUnitNormal('',,,,,,,,,,)</v>
      </c>
      <c r="CP226" s="7" t="str">
        <f t="shared" si="2011"/>
        <v>InitUnitMagic('',,,,,,,,,,)</v>
      </c>
      <c r="CQ226" s="7" t="str">
        <f t="shared" si="2012"/>
        <v>InitUnitAdd('',,,,,,,,,,)</v>
      </c>
      <c r="CR226" s="7" t="str">
        <f t="shared" si="2013"/>
        <v>InitEquipData('',,"",,,,,'','','','','','',"")</v>
      </c>
      <c r="CU226" s="29" t="str">
        <f t="shared" si="2008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009"/>
        <v>InitUnitState('',,,,,,,,,,)</v>
      </c>
      <c r="CO227" s="7" t="str">
        <f t="shared" si="2010"/>
        <v>InitUnitNormal('',,,,,,,,,,)</v>
      </c>
      <c r="CP227" s="7" t="str">
        <f t="shared" si="2011"/>
        <v>InitUnitMagic('',,,,,,,,,,)</v>
      </c>
      <c r="CQ227" s="7" t="str">
        <f t="shared" si="2012"/>
        <v>InitUnitAdd('',,,,,,,,,,)</v>
      </c>
      <c r="CR227" s="7" t="str">
        <f t="shared" si="2013"/>
        <v>InitEquipData('',,"",,,,,'','','','','','',"")</v>
      </c>
      <c r="CU227" s="29" t="str">
        <f t="shared" si="2008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009"/>
        <v>InitUnitState('',,,,,,,,,,)</v>
      </c>
      <c r="CO228" s="7" t="str">
        <f t="shared" si="2010"/>
        <v>InitUnitNormal('',,,,,,,,,,)</v>
      </c>
      <c r="CP228" s="7" t="str">
        <f t="shared" si="2011"/>
        <v>InitUnitMagic('',,,,,,,,,,)</v>
      </c>
      <c r="CQ228" s="7" t="str">
        <f t="shared" si="2012"/>
        <v>InitUnitAdd('',,,,,,,,,,)</v>
      </c>
      <c r="CR228" s="7" t="str">
        <f t="shared" si="2013"/>
        <v>InitEquipData('',,"",,,,,'','','','','','',"")</v>
      </c>
      <c r="CU228" s="29" t="str">
        <f t="shared" si="2008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009"/>
        <v>InitUnitState('',,,,,,,,,,)</v>
      </c>
      <c r="CO229" s="7" t="str">
        <f t="shared" si="2010"/>
        <v>InitUnitNormal('',,,,,,,,,,)</v>
      </c>
      <c r="CP229" s="7" t="str">
        <f t="shared" si="2011"/>
        <v>InitUnitMagic('',,,,,,,,,,)</v>
      </c>
      <c r="CQ229" s="7" t="str">
        <f t="shared" si="2012"/>
        <v>InitUnitAdd('',,,,,,,,,,)</v>
      </c>
      <c r="CR229" s="7" t="str">
        <f t="shared" si="2013"/>
        <v>InitEquipData('',,"",,,,,'','','','','','',"")</v>
      </c>
      <c r="CU229" s="29" t="str">
        <f t="shared" si="2008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009"/>
        <v>InitUnitState('',,,,,,,,,,)</v>
      </c>
      <c r="CO230" s="7" t="str">
        <f t="shared" si="2010"/>
        <v>InitUnitNormal('',,,,,,,,,,)</v>
      </c>
      <c r="CP230" s="7" t="str">
        <f t="shared" si="2011"/>
        <v>InitUnitMagic('',,,,,,,,,,)</v>
      </c>
      <c r="CQ230" s="7" t="str">
        <f t="shared" si="2012"/>
        <v>InitUnitAdd('',,,,,,,,,,)</v>
      </c>
      <c r="CR230" s="7" t="str">
        <f t="shared" si="2013"/>
        <v>InitEquipData('',,"",,,,,'','','','','','',"")</v>
      </c>
      <c r="CU230" s="29" t="str">
        <f t="shared" si="2008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009"/>
        <v>InitUnitState('',,,,,,,,,,)</v>
      </c>
      <c r="CO231" s="7" t="str">
        <f t="shared" si="2010"/>
        <v>InitUnitNormal('',,,,,,,,,,)</v>
      </c>
      <c r="CP231" s="7" t="str">
        <f t="shared" si="2011"/>
        <v>InitUnitMagic('',,,,,,,,,,)</v>
      </c>
      <c r="CQ231" s="7" t="str">
        <f t="shared" si="2012"/>
        <v>InitUnitAdd('',,,,,,,,,,)</v>
      </c>
      <c r="CR231" s="7" t="str">
        <f t="shared" si="2013"/>
        <v>InitEquipData('',,"",,,,,'','','','','','',"")</v>
      </c>
      <c r="CU231" s="29" t="str">
        <f t="shared" si="2008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009"/>
        <v>InitUnitState('',,,,,,,,,,)</v>
      </c>
      <c r="CO232" s="7" t="str">
        <f t="shared" si="2010"/>
        <v>InitUnitNormal('',,,,,,,,,,)</v>
      </c>
      <c r="CP232" s="7" t="str">
        <f t="shared" si="2011"/>
        <v>InitUnitMagic('',,,,,,,,,,)</v>
      </c>
      <c r="CQ232" s="7" t="str">
        <f t="shared" si="2012"/>
        <v>InitUnitAdd('',,,,,,,,,,)</v>
      </c>
      <c r="CR232" s="7" t="str">
        <f t="shared" si="2013"/>
        <v>InitEquipData('',,"",,,,,'','','','','','',"")</v>
      </c>
      <c r="CU232" s="29" t="str">
        <f t="shared" si="2008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009"/>
        <v>InitUnitState('',,,,,,,,,,)</v>
      </c>
      <c r="CO233" s="7" t="str">
        <f t="shared" si="2010"/>
        <v>InitUnitNormal('',,,,,,,,,,)</v>
      </c>
      <c r="CP233" s="7" t="str">
        <f t="shared" si="2011"/>
        <v>InitUnitMagic('',,,,,,,,,,)</v>
      </c>
      <c r="CQ233" s="7" t="str">
        <f t="shared" si="2012"/>
        <v>InitUnitAdd('',,,,,,,,,,)</v>
      </c>
      <c r="CR233" s="7" t="str">
        <f t="shared" si="2013"/>
        <v>InitEquipData('',,"",,,,,'','','','','','',"")</v>
      </c>
      <c r="CU233" s="29" t="str">
        <f t="shared" si="2008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009"/>
        <v>InitUnitState('',,,,,,,,,,)</v>
      </c>
      <c r="CO234" s="7" t="str">
        <f t="shared" si="2010"/>
        <v>InitUnitNormal('',,,,,,,,,,)</v>
      </c>
      <c r="CP234" s="7" t="str">
        <f t="shared" si="2011"/>
        <v>InitUnitMagic('',,,,,,,,,,)</v>
      </c>
      <c r="CQ234" s="7" t="str">
        <f t="shared" si="2012"/>
        <v>InitUnitAdd('',,,,,,,,,,)</v>
      </c>
      <c r="CR234" s="7" t="str">
        <f t="shared" si="2013"/>
        <v>InitEquipData('',,"",,,,,'','','','','','',"")</v>
      </c>
      <c r="CU234" s="29" t="str">
        <f t="shared" si="2008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009"/>
        <v>InitUnitState('',,,,,,,,,,)</v>
      </c>
      <c r="CO235" s="7" t="str">
        <f t="shared" si="2010"/>
        <v>InitUnitNormal('',,,,,,,,,,)</v>
      </c>
      <c r="CP235" s="7" t="str">
        <f t="shared" si="2011"/>
        <v>InitUnitMagic('',,,,,,,,,,)</v>
      </c>
      <c r="CQ235" s="7" t="str">
        <f t="shared" si="2012"/>
        <v>InitUnitAdd('',,,,,,,,,,)</v>
      </c>
      <c r="CR235" s="7" t="str">
        <f t="shared" si="2013"/>
        <v>InitEquipData('',,"",,,,,'','','','','','',"")</v>
      </c>
      <c r="CU235" s="29" t="str">
        <f t="shared" si="2008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009"/>
        <v>InitUnitState('',,,,,,,,,,)</v>
      </c>
      <c r="CO236" s="7" t="str">
        <f t="shared" si="2010"/>
        <v>InitUnitNormal('',,,,,,,,,,)</v>
      </c>
      <c r="CP236" s="7" t="str">
        <f t="shared" si="2011"/>
        <v>InitUnitMagic('',,,,,,,,,,)</v>
      </c>
      <c r="CQ236" s="7" t="str">
        <f t="shared" si="2012"/>
        <v>InitUnitAdd('',,,,,,,,,,)</v>
      </c>
      <c r="CR236" s="7" t="str">
        <f t="shared" si="2013"/>
        <v>InitEquipData('',,"",,,,,'','','','','','',"")</v>
      </c>
      <c r="CU236" s="29" t="str">
        <f t="shared" si="2008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009"/>
        <v>InitUnitState('',,,,,,,,,,)</v>
      </c>
      <c r="CO237" s="7" t="str">
        <f t="shared" si="2010"/>
        <v>InitUnitNormal('',,,,,,,,,,)</v>
      </c>
      <c r="CP237" s="7" t="str">
        <f t="shared" si="2011"/>
        <v>InitUnitMagic('',,,,,,,,,,)</v>
      </c>
      <c r="CQ237" s="7" t="str">
        <f t="shared" si="2012"/>
        <v>InitUnitAdd('',,,,,,,,,,)</v>
      </c>
      <c r="CR237" s="7" t="str">
        <f t="shared" si="2013"/>
        <v>InitEquipData('',,"",,,,,'','','','','','',"")</v>
      </c>
      <c r="CU237" s="29" t="str">
        <f t="shared" si="2008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009"/>
        <v>InitUnitState('',,,,,,,,,,)</v>
      </c>
      <c r="CO238" s="7" t="str">
        <f t="shared" si="2010"/>
        <v>InitUnitNormal('',,,,,,,,,,)</v>
      </c>
      <c r="CP238" s="7" t="str">
        <f t="shared" si="2011"/>
        <v>InitUnitMagic('',,,,,,,,,,)</v>
      </c>
      <c r="CQ238" s="7" t="str">
        <f t="shared" si="2012"/>
        <v>InitUnitAdd('',,,,,,,,,,)</v>
      </c>
      <c r="CR238" s="7" t="str">
        <f t="shared" si="2013"/>
        <v>InitEquipData('',,"",,,,,'','','','','','',"")</v>
      </c>
      <c r="CU238" s="29" t="str">
        <f t="shared" si="2008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009"/>
        <v>InitUnitState('',,,,,,,,,,)</v>
      </c>
      <c r="CO239" s="7" t="str">
        <f t="shared" si="2010"/>
        <v>InitUnitNormal('',,,,,,,,,,)</v>
      </c>
      <c r="CP239" s="7" t="str">
        <f t="shared" si="2011"/>
        <v>InitUnitMagic('',,,,,,,,,,)</v>
      </c>
      <c r="CQ239" s="7" t="str">
        <f t="shared" si="2012"/>
        <v>InitUnitAdd('',,,,,,,,,,)</v>
      </c>
      <c r="CR239" s="7" t="str">
        <f t="shared" si="2013"/>
        <v>InitEquipData('',,"",,,,,'','','','','','',"")</v>
      </c>
      <c r="CU239" s="29" t="str">
        <f t="shared" si="2008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009"/>
        <v>InitUnitState('',,,,,,,,,,)</v>
      </c>
      <c r="CO240" s="7" t="str">
        <f t="shared" si="2010"/>
        <v>InitUnitNormal('',,,,,,,,,,)</v>
      </c>
      <c r="CP240" s="7" t="str">
        <f t="shared" si="2011"/>
        <v>InitUnitMagic('',,,,,,,,,,)</v>
      </c>
      <c r="CQ240" s="7" t="str">
        <f t="shared" si="2012"/>
        <v>InitUnitAdd('',,,,,,,,,,)</v>
      </c>
      <c r="CR240" s="7" t="str">
        <f t="shared" si="2013"/>
        <v>InitEquipData('',,"",,,,,'','','','','','',"")</v>
      </c>
      <c r="CU240" s="29" t="str">
        <f t="shared" si="2008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装备!A106</f>
        <v>0</v>
      </c>
      <c r="B186" s="19" t="str">
        <f>"'"&amp;装备!B106&amp;"'"</f>
        <v>'IS01'</v>
      </c>
      <c r="C186" s="19">
        <f>装备!J106</f>
        <v>0</v>
      </c>
      <c r="D186" s="19">
        <f>装备!K106</f>
        <v>0</v>
      </c>
      <c r="E186" s="19">
        <f>装备!L106</f>
        <v>0</v>
      </c>
      <c r="F186" s="19">
        <f>装备!M106</f>
        <v>0</v>
      </c>
      <c r="G186" s="19">
        <f>装备!N106</f>
        <v>0</v>
      </c>
      <c r="H186" s="19">
        <f>装备!O106</f>
        <v>0</v>
      </c>
      <c r="I186" s="19">
        <f>IF(装备!J106=0,0,"'"&amp;装备!J106&amp;"'")</f>
        <v>0</v>
      </c>
      <c r="J186" s="19">
        <f>IF(装备!K106=0,0,"'"&amp;装备!K106&amp;"'")</f>
        <v>0</v>
      </c>
      <c r="K186" s="19">
        <f>IF(装备!L106=0,0,"'"&amp;装备!L106&amp;"'")</f>
        <v>0</v>
      </c>
      <c r="L186" s="19">
        <f>IF(装备!M106=0,0,"'"&amp;装备!M106&amp;"'")</f>
        <v>0</v>
      </c>
      <c r="M186" s="19">
        <f>IF(装备!N106=0,0,"'"&amp;装备!N106&amp;"'")</f>
        <v>0</v>
      </c>
      <c r="N186" s="19">
        <f>IF(装备!O106=0,0,"'"&amp;装备!O106&amp;"'")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装备!A107</f>
        <v>0</v>
      </c>
      <c r="B187" s="19" t="str">
        <f>"'"&amp;装备!B107&amp;"'"</f>
        <v>'IS02'</v>
      </c>
      <c r="C187" s="19">
        <f>装备!J107</f>
        <v>0</v>
      </c>
      <c r="D187" s="19">
        <f>装备!K107</f>
        <v>0</v>
      </c>
      <c r="E187" s="19">
        <f>装备!L107</f>
        <v>0</v>
      </c>
      <c r="F187" s="19">
        <f>装备!M107</f>
        <v>0</v>
      </c>
      <c r="G187" s="19">
        <f>装备!N107</f>
        <v>0</v>
      </c>
      <c r="H187" s="19">
        <f>装备!O107</f>
        <v>0</v>
      </c>
      <c r="I187" s="19">
        <f>IF(装备!J107=0,0,"'"&amp;装备!J107&amp;"'")</f>
        <v>0</v>
      </c>
      <c r="J187" s="19">
        <f>IF(装备!K107=0,0,"'"&amp;装备!K107&amp;"'")</f>
        <v>0</v>
      </c>
      <c r="K187" s="19">
        <f>IF(装备!L107=0,0,"'"&amp;装备!L107&amp;"'")</f>
        <v>0</v>
      </c>
      <c r="L187" s="19">
        <f>IF(装备!M107=0,0,"'"&amp;装备!M107&amp;"'")</f>
        <v>0</v>
      </c>
      <c r="M187" s="19">
        <f>IF(装备!N107=0,0,"'"&amp;装备!N107&amp;"'")</f>
        <v>0</v>
      </c>
      <c r="N187" s="19">
        <f>IF(装备!O107=0,0,"'"&amp;装备!O107&amp;"'")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装备!A108</f>
        <v>0</v>
      </c>
      <c r="B188" s="19" t="str">
        <f>"'"&amp;装备!B108&amp;"'"</f>
        <v>'IS03'</v>
      </c>
      <c r="C188" s="19">
        <f>装备!J108</f>
        <v>0</v>
      </c>
      <c r="D188" s="19">
        <f>装备!K108</f>
        <v>0</v>
      </c>
      <c r="E188" s="19">
        <f>装备!L108</f>
        <v>0</v>
      </c>
      <c r="F188" s="19">
        <f>装备!M108</f>
        <v>0</v>
      </c>
      <c r="G188" s="19">
        <f>装备!N108</f>
        <v>0</v>
      </c>
      <c r="H188" s="19">
        <f>装备!O108</f>
        <v>0</v>
      </c>
      <c r="I188" s="19">
        <f>IF(装备!J108=0,0,"'"&amp;装备!J108&amp;"'")</f>
        <v>0</v>
      </c>
      <c r="J188" s="19">
        <f>IF(装备!K108=0,0,"'"&amp;装备!K108&amp;"'")</f>
        <v>0</v>
      </c>
      <c r="K188" s="19">
        <f>IF(装备!L108=0,0,"'"&amp;装备!L108&amp;"'")</f>
        <v>0</v>
      </c>
      <c r="L188" s="19">
        <f>IF(装备!M108=0,0,"'"&amp;装备!M108&amp;"'")</f>
        <v>0</v>
      </c>
      <c r="M188" s="19">
        <f>IF(装备!N108=0,0,"'"&amp;装备!N108&amp;"'")</f>
        <v>0</v>
      </c>
      <c r="N188" s="19">
        <f>IF(装备!O108=0,0,"'"&amp;装备!O108&amp;"'")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装备!A109</f>
        <v>0</v>
      </c>
      <c r="B189" s="19" t="str">
        <f>"'"&amp;装备!B109&amp;"'"</f>
        <v>'IS04'</v>
      </c>
      <c r="C189" s="19">
        <f>装备!J109</f>
        <v>0</v>
      </c>
      <c r="D189" s="19">
        <f>装备!K109</f>
        <v>0</v>
      </c>
      <c r="E189" s="19">
        <f>装备!L109</f>
        <v>0</v>
      </c>
      <c r="F189" s="19">
        <f>装备!M109</f>
        <v>0</v>
      </c>
      <c r="G189" s="19">
        <f>装备!N109</f>
        <v>0</v>
      </c>
      <c r="H189" s="19">
        <f>装备!O109</f>
        <v>0</v>
      </c>
      <c r="I189" s="19">
        <f>IF(装备!J109=0,0,"'"&amp;装备!J109&amp;"'")</f>
        <v>0</v>
      </c>
      <c r="J189" s="19">
        <f>IF(装备!K109=0,0,"'"&amp;装备!K109&amp;"'")</f>
        <v>0</v>
      </c>
      <c r="K189" s="19">
        <f>IF(装备!L109=0,0,"'"&amp;装备!L109&amp;"'")</f>
        <v>0</v>
      </c>
      <c r="L189" s="19">
        <f>IF(装备!M109=0,0,"'"&amp;装备!M109&amp;"'")</f>
        <v>0</v>
      </c>
      <c r="M189" s="19">
        <f>IF(装备!N109=0,0,"'"&amp;装备!N109&amp;"'")</f>
        <v>0</v>
      </c>
      <c r="N189" s="19">
        <f>IF(装备!O109=0,0,"'"&amp;装备!O109&amp;"'")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装备!A110</f>
        <v>0</v>
      </c>
      <c r="B190" s="19" t="str">
        <f>"'"&amp;装备!B110&amp;"'"</f>
        <v>'IH00'</v>
      </c>
      <c r="C190" s="19">
        <f>装备!J110</f>
        <v>0</v>
      </c>
      <c r="D190" s="19">
        <f>装备!K110</f>
        <v>0</v>
      </c>
      <c r="E190" s="19">
        <f>装备!L110</f>
        <v>0</v>
      </c>
      <c r="F190" s="19">
        <f>装备!M110</f>
        <v>0</v>
      </c>
      <c r="G190" s="19">
        <f>装备!N110</f>
        <v>0</v>
      </c>
      <c r="H190" s="19">
        <f>装备!O110</f>
        <v>0</v>
      </c>
      <c r="I190" s="19">
        <f>IF(装备!J110=0,0,"'"&amp;装备!J110&amp;"'")</f>
        <v>0</v>
      </c>
      <c r="J190" s="19">
        <f>IF(装备!K110=0,0,"'"&amp;装备!K110&amp;"'")</f>
        <v>0</v>
      </c>
      <c r="K190" s="19">
        <f>IF(装备!L110=0,0,"'"&amp;装备!L110&amp;"'")</f>
        <v>0</v>
      </c>
      <c r="L190" s="19">
        <f>IF(装备!M110=0,0,"'"&amp;装备!M110&amp;"'")</f>
        <v>0</v>
      </c>
      <c r="M190" s="19">
        <f>IF(装备!N110=0,0,"'"&amp;装备!N110&amp;"'")</f>
        <v>0</v>
      </c>
      <c r="N190" s="19">
        <f>IF(装备!O110=0,0,"'"&amp;装备!O110&amp;"'")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装备!A111</f>
        <v>0</v>
      </c>
      <c r="B191" s="19" t="str">
        <f>"'"&amp;装备!B111&amp;"'"</f>
        <v>'IH01'</v>
      </c>
      <c r="C191" s="19">
        <f>装备!J111</f>
        <v>0</v>
      </c>
      <c r="D191" s="19">
        <f>装备!K111</f>
        <v>0</v>
      </c>
      <c r="E191" s="19">
        <f>装备!L111</f>
        <v>0</v>
      </c>
      <c r="F191" s="19">
        <f>装备!M111</f>
        <v>0</v>
      </c>
      <c r="G191" s="19">
        <f>装备!N111</f>
        <v>0</v>
      </c>
      <c r="H191" s="19">
        <f>装备!O111</f>
        <v>0</v>
      </c>
      <c r="I191" s="19">
        <f>IF(装备!J111=0,0,"'"&amp;装备!J111&amp;"'")</f>
        <v>0</v>
      </c>
      <c r="J191" s="19">
        <f>IF(装备!K111=0,0,"'"&amp;装备!K111&amp;"'")</f>
        <v>0</v>
      </c>
      <c r="K191" s="19">
        <f>IF(装备!L111=0,0,"'"&amp;装备!L111&amp;"'")</f>
        <v>0</v>
      </c>
      <c r="L191" s="19">
        <f>IF(装备!M111=0,0,"'"&amp;装备!M111&amp;"'")</f>
        <v>0</v>
      </c>
      <c r="M191" s="19">
        <f>IF(装备!N111=0,0,"'"&amp;装备!N111&amp;"'")</f>
        <v>0</v>
      </c>
      <c r="N191" s="19">
        <f>IF(装备!O111=0,0,"'"&amp;装备!O111&amp;"'")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装备!A112</f>
        <v>0</v>
      </c>
      <c r="B192" s="19" t="str">
        <f>"'"&amp;装备!B112&amp;"'"</f>
        <v>'IH02'</v>
      </c>
      <c r="C192" s="19">
        <f>装备!J112</f>
        <v>0</v>
      </c>
      <c r="D192" s="19">
        <f>装备!K112</f>
        <v>0</v>
      </c>
      <c r="E192" s="19">
        <f>装备!L112</f>
        <v>0</v>
      </c>
      <c r="F192" s="19">
        <f>装备!M112</f>
        <v>0</v>
      </c>
      <c r="G192" s="19">
        <f>装备!N112</f>
        <v>0</v>
      </c>
      <c r="H192" s="19">
        <f>装备!O112</f>
        <v>0</v>
      </c>
      <c r="I192" s="19">
        <f>IF(装备!J112=0,0,"'"&amp;装备!J112&amp;"'")</f>
        <v>0</v>
      </c>
      <c r="J192" s="19">
        <f>IF(装备!K112=0,0,"'"&amp;装备!K112&amp;"'")</f>
        <v>0</v>
      </c>
      <c r="K192" s="19">
        <f>IF(装备!L112=0,0,"'"&amp;装备!L112&amp;"'")</f>
        <v>0</v>
      </c>
      <c r="L192" s="19">
        <f>IF(装备!M112=0,0,"'"&amp;装备!M112&amp;"'")</f>
        <v>0</v>
      </c>
      <c r="M192" s="19">
        <f>IF(装备!N112=0,0,"'"&amp;装备!N112&amp;"'")</f>
        <v>0</v>
      </c>
      <c r="N192" s="19">
        <f>IF(装备!O112=0,0,"'"&amp;装备!O112&amp;"'")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装备!A113</f>
        <v>0</v>
      </c>
      <c r="B193" s="19" t="str">
        <f>"'"&amp;装备!B113&amp;"'"</f>
        <v>'IH03'</v>
      </c>
      <c r="C193" s="19">
        <f>装备!J113</f>
        <v>0</v>
      </c>
      <c r="D193" s="19">
        <f>装备!K113</f>
        <v>0</v>
      </c>
      <c r="E193" s="19">
        <f>装备!L113</f>
        <v>0</v>
      </c>
      <c r="F193" s="19">
        <f>装备!M113</f>
        <v>0</v>
      </c>
      <c r="G193" s="19">
        <f>装备!N113</f>
        <v>0</v>
      </c>
      <c r="H193" s="19">
        <f>装备!O113</f>
        <v>0</v>
      </c>
      <c r="I193" s="19">
        <f>IF(装备!J113=0,0,"'"&amp;装备!J113&amp;"'")</f>
        <v>0</v>
      </c>
      <c r="J193" s="19">
        <f>IF(装备!K113=0,0,"'"&amp;装备!K113&amp;"'")</f>
        <v>0</v>
      </c>
      <c r="K193" s="19">
        <f>IF(装备!L113=0,0,"'"&amp;装备!L113&amp;"'")</f>
        <v>0</v>
      </c>
      <c r="L193" s="19">
        <f>IF(装备!M113=0,0,"'"&amp;装备!M113&amp;"'")</f>
        <v>0</v>
      </c>
      <c r="M193" s="19">
        <f>IF(装备!N113=0,0,"'"&amp;装备!N113&amp;"'")</f>
        <v>0</v>
      </c>
      <c r="N193" s="19">
        <f>IF(装备!O113=0,0,"'"&amp;装备!O113&amp;"'")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装备!A114</f>
        <v>0</v>
      </c>
      <c r="B194" s="19" t="str">
        <f>"'"&amp;装备!B114&amp;"'"</f>
        <v>'IH04'</v>
      </c>
      <c r="C194" s="19">
        <f>装备!J114</f>
        <v>0</v>
      </c>
      <c r="D194" s="19">
        <f>装备!K114</f>
        <v>0</v>
      </c>
      <c r="E194" s="19">
        <f>装备!L114</f>
        <v>0</v>
      </c>
      <c r="F194" s="19">
        <f>装备!M114</f>
        <v>0</v>
      </c>
      <c r="G194" s="19">
        <f>装备!N114</f>
        <v>0</v>
      </c>
      <c r="H194" s="19">
        <f>装备!O114</f>
        <v>0</v>
      </c>
      <c r="I194" s="19">
        <f>IF(装备!J114=0,0,"'"&amp;装备!J114&amp;"'")</f>
        <v>0</v>
      </c>
      <c r="J194" s="19">
        <f>IF(装备!K114=0,0,"'"&amp;装备!K114&amp;"'")</f>
        <v>0</v>
      </c>
      <c r="K194" s="19">
        <f>IF(装备!L114=0,0,"'"&amp;装备!L114&amp;"'")</f>
        <v>0</v>
      </c>
      <c r="L194" s="19">
        <f>IF(装备!M114=0,0,"'"&amp;装备!M114&amp;"'")</f>
        <v>0</v>
      </c>
      <c r="M194" s="19">
        <f>IF(装备!N114=0,0,"'"&amp;装备!N114&amp;"'")</f>
        <v>0</v>
      </c>
      <c r="N194" s="19">
        <f>IF(装备!O114=0,0,"'"&amp;装备!O114&amp;"'")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装备!A115</f>
        <v>0</v>
      </c>
      <c r="B195" s="19" t="str">
        <f>"'"&amp;装备!B115&amp;"'"</f>
        <v>'IH05'</v>
      </c>
      <c r="C195" s="19">
        <f>装备!J115</f>
        <v>0</v>
      </c>
      <c r="D195" s="19">
        <f>装备!K115</f>
        <v>0</v>
      </c>
      <c r="E195" s="19">
        <f>装备!L115</f>
        <v>0</v>
      </c>
      <c r="F195" s="19">
        <f>装备!M115</f>
        <v>0</v>
      </c>
      <c r="G195" s="19">
        <f>装备!N115</f>
        <v>0</v>
      </c>
      <c r="H195" s="19">
        <f>装备!O115</f>
        <v>0</v>
      </c>
      <c r="I195" s="19">
        <f>IF(装备!J115=0,0,"'"&amp;装备!J115&amp;"'")</f>
        <v>0</v>
      </c>
      <c r="J195" s="19">
        <f>IF(装备!K115=0,0,"'"&amp;装备!K115&amp;"'")</f>
        <v>0</v>
      </c>
      <c r="K195" s="19">
        <f>IF(装备!L115=0,0,"'"&amp;装备!L115&amp;"'")</f>
        <v>0</v>
      </c>
      <c r="L195" s="19">
        <f>IF(装备!M115=0,0,"'"&amp;装备!M115&amp;"'")</f>
        <v>0</v>
      </c>
      <c r="M195" s="19">
        <f>IF(装备!N115=0,0,"'"&amp;装备!N115&amp;"'")</f>
        <v>0</v>
      </c>
      <c r="N195" s="19">
        <f>IF(装备!O115=0,0,"'"&amp;装备!O115&amp;"'")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装备!A116</f>
        <v>0</v>
      </c>
      <c r="B196" s="19" t="str">
        <f>"'"&amp;装备!B116&amp;"'"</f>
        <v>'IH06'</v>
      </c>
      <c r="C196" s="19">
        <f>装备!J116</f>
        <v>0</v>
      </c>
      <c r="D196" s="19">
        <f>装备!K116</f>
        <v>0</v>
      </c>
      <c r="E196" s="19">
        <f>装备!L116</f>
        <v>0</v>
      </c>
      <c r="F196" s="19">
        <f>装备!M116</f>
        <v>0</v>
      </c>
      <c r="G196" s="19">
        <f>装备!N116</f>
        <v>0</v>
      </c>
      <c r="H196" s="19">
        <f>装备!O116</f>
        <v>0</v>
      </c>
      <c r="I196" s="19">
        <f>IF(装备!J116=0,0,"'"&amp;装备!J116&amp;"'")</f>
        <v>0</v>
      </c>
      <c r="J196" s="19">
        <f>IF(装备!K116=0,0,"'"&amp;装备!K116&amp;"'")</f>
        <v>0</v>
      </c>
      <c r="K196" s="19">
        <f>IF(装备!L116=0,0,"'"&amp;装备!L116&amp;"'")</f>
        <v>0</v>
      </c>
      <c r="L196" s="19">
        <f>IF(装备!M116=0,0,"'"&amp;装备!M116&amp;"'")</f>
        <v>0</v>
      </c>
      <c r="M196" s="19">
        <f>IF(装备!N116=0,0,"'"&amp;装备!N116&amp;"'")</f>
        <v>0</v>
      </c>
      <c r="N196" s="19">
        <f>IF(装备!O116=0,0,"'"&amp;装备!O116&amp;"'")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装备!A117</f>
        <v>0</v>
      </c>
      <c r="B197" s="19" t="str">
        <f>"'"&amp;装备!B117&amp;"'"</f>
        <v>'IH07'</v>
      </c>
      <c r="C197" s="19">
        <f>装备!J117</f>
        <v>0</v>
      </c>
      <c r="D197" s="19">
        <f>装备!K117</f>
        <v>0</v>
      </c>
      <c r="E197" s="19">
        <f>装备!L117</f>
        <v>0</v>
      </c>
      <c r="F197" s="19">
        <f>装备!M117</f>
        <v>0</v>
      </c>
      <c r="G197" s="19">
        <f>装备!N117</f>
        <v>0</v>
      </c>
      <c r="H197" s="19">
        <f>装备!O117</f>
        <v>0</v>
      </c>
      <c r="I197" s="19">
        <f>IF(装备!J117=0,0,"'"&amp;装备!J117&amp;"'")</f>
        <v>0</v>
      </c>
      <c r="J197" s="19">
        <f>IF(装备!K117=0,0,"'"&amp;装备!K117&amp;"'")</f>
        <v>0</v>
      </c>
      <c r="K197" s="19">
        <f>IF(装备!L117=0,0,"'"&amp;装备!L117&amp;"'")</f>
        <v>0</v>
      </c>
      <c r="L197" s="19">
        <f>IF(装备!M117=0,0,"'"&amp;装备!M117&amp;"'")</f>
        <v>0</v>
      </c>
      <c r="M197" s="19">
        <f>IF(装备!N117=0,0,"'"&amp;装备!N117&amp;"'")</f>
        <v>0</v>
      </c>
      <c r="N197" s="19">
        <f>IF(装备!O117=0,0,"'"&amp;装备!O117&amp;"'")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装备!A118</f>
        <v>0</v>
      </c>
      <c r="B198" s="19" t="str">
        <f>"'"&amp;装备!B118&amp;"'"</f>
        <v>'IH08'</v>
      </c>
      <c r="C198" s="19">
        <f>装备!J118</f>
        <v>0</v>
      </c>
      <c r="D198" s="19">
        <f>装备!K118</f>
        <v>0</v>
      </c>
      <c r="E198" s="19">
        <f>装备!L118</f>
        <v>0</v>
      </c>
      <c r="F198" s="19">
        <f>装备!M118</f>
        <v>0</v>
      </c>
      <c r="G198" s="19">
        <f>装备!N118</f>
        <v>0</v>
      </c>
      <c r="H198" s="19">
        <f>装备!O118</f>
        <v>0</v>
      </c>
      <c r="I198" s="19">
        <f>IF(装备!J118=0,0,"'"&amp;装备!J118&amp;"'")</f>
        <v>0</v>
      </c>
      <c r="J198" s="19">
        <f>IF(装备!K118=0,0,"'"&amp;装备!K118&amp;"'")</f>
        <v>0</v>
      </c>
      <c r="K198" s="19">
        <f>IF(装备!L118=0,0,"'"&amp;装备!L118&amp;"'")</f>
        <v>0</v>
      </c>
      <c r="L198" s="19">
        <f>IF(装备!M118=0,0,"'"&amp;装备!M118&amp;"'")</f>
        <v>0</v>
      </c>
      <c r="M198" s="19">
        <f>IF(装备!N118=0,0,"'"&amp;装备!N118&amp;"'")</f>
        <v>0</v>
      </c>
      <c r="N198" s="19">
        <f>IF(装备!O118=0,0,"'"&amp;装备!O118&amp;"'")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装备!A124</f>
        <v>0</v>
      </c>
      <c r="B199" s="19" t="str">
        <f>"'"&amp;装备!B124&amp;"'"</f>
        <v>''</v>
      </c>
      <c r="C199" s="19">
        <f>装备!J124</f>
        <v>0</v>
      </c>
      <c r="D199" s="19">
        <f>装备!K124</f>
        <v>0</v>
      </c>
      <c r="E199" s="19">
        <f>装备!L124</f>
        <v>0</v>
      </c>
      <c r="F199" s="19">
        <f>装备!M124</f>
        <v>0</v>
      </c>
      <c r="G199" s="19">
        <f>装备!N124</f>
        <v>0</v>
      </c>
      <c r="H199" s="19">
        <f>装备!O124</f>
        <v>0</v>
      </c>
      <c r="I199" s="19">
        <f>IF(装备!J124=0,0,"'"&amp;装备!J124&amp;"'")</f>
        <v>0</v>
      </c>
      <c r="J199" s="19">
        <f>IF(装备!K124=0,0,"'"&amp;装备!K124&amp;"'")</f>
        <v>0</v>
      </c>
      <c r="K199" s="19">
        <f>IF(装备!L124=0,0,"'"&amp;装备!L124&amp;"'")</f>
        <v>0</v>
      </c>
      <c r="L199" s="19">
        <f>IF(装备!M124=0,0,"'"&amp;装备!M124&amp;"'")</f>
        <v>0</v>
      </c>
      <c r="M199" s="19">
        <f>IF(装备!N124=0,0,"'"&amp;装备!N124&amp;"'")</f>
        <v>0</v>
      </c>
      <c r="N199" s="19">
        <f>IF(装备!O124=0,0,"'"&amp;装备!O124&amp;"'")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装备!A125</f>
        <v>0</v>
      </c>
      <c r="B200" s="19" t="str">
        <f>"'"&amp;装备!B125&amp;"'"</f>
        <v>''</v>
      </c>
      <c r="C200" s="19">
        <f>装备!J125</f>
        <v>0</v>
      </c>
      <c r="D200" s="19">
        <f>装备!K125</f>
        <v>0</v>
      </c>
      <c r="E200" s="19">
        <f>装备!L125</f>
        <v>0</v>
      </c>
      <c r="F200" s="19">
        <f>装备!M125</f>
        <v>0</v>
      </c>
      <c r="G200" s="19">
        <f>装备!N125</f>
        <v>0</v>
      </c>
      <c r="H200" s="19">
        <f>装备!O125</f>
        <v>0</v>
      </c>
      <c r="I200" s="19">
        <f>IF(装备!J125=0,0,"'"&amp;装备!J125&amp;"'")</f>
        <v>0</v>
      </c>
      <c r="J200" s="19">
        <f>IF(装备!K125=0,0,"'"&amp;装备!K125&amp;"'")</f>
        <v>0</v>
      </c>
      <c r="K200" s="19">
        <f>IF(装备!L125=0,0,"'"&amp;装备!L125&amp;"'")</f>
        <v>0</v>
      </c>
      <c r="L200" s="19">
        <f>IF(装备!M125=0,0,"'"&amp;装备!M125&amp;"'")</f>
        <v>0</v>
      </c>
      <c r="M200" s="19">
        <f>IF(装备!N125=0,0,"'"&amp;装备!N125&amp;"'")</f>
        <v>0</v>
      </c>
      <c r="N200" s="19">
        <f>IF(装备!O125=0,0,"'"&amp;装备!O125&amp;"'")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装备!A126</f>
        <v>0</v>
      </c>
      <c r="B201" s="19" t="str">
        <f>"'"&amp;装备!B126&amp;"'"</f>
        <v>''</v>
      </c>
      <c r="C201" s="19">
        <f>装备!J126</f>
        <v>0</v>
      </c>
      <c r="D201" s="19">
        <f>装备!K126</f>
        <v>0</v>
      </c>
      <c r="E201" s="19">
        <f>装备!L126</f>
        <v>0</v>
      </c>
      <c r="F201" s="19">
        <f>装备!M126</f>
        <v>0</v>
      </c>
      <c r="G201" s="19">
        <f>装备!N126</f>
        <v>0</v>
      </c>
      <c r="H201" s="19">
        <f>装备!O126</f>
        <v>0</v>
      </c>
      <c r="I201" s="19">
        <f>IF(装备!J126=0,0,"'"&amp;装备!J126&amp;"'")</f>
        <v>0</v>
      </c>
      <c r="J201" s="19">
        <f>IF(装备!K126=0,0,"'"&amp;装备!K126&amp;"'")</f>
        <v>0</v>
      </c>
      <c r="K201" s="19">
        <f>IF(装备!L126=0,0,"'"&amp;装备!L126&amp;"'")</f>
        <v>0</v>
      </c>
      <c r="L201" s="19">
        <f>IF(装备!M126=0,0,"'"&amp;装备!M126&amp;"'")</f>
        <v>0</v>
      </c>
      <c r="M201" s="19">
        <f>IF(装备!N126=0,0,"'"&amp;装备!N126&amp;"'")</f>
        <v>0</v>
      </c>
      <c r="N201" s="19">
        <f>IF(装备!O126=0,0,"'"&amp;装备!O126&amp;"'")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装备!A127</f>
        <v>0</v>
      </c>
      <c r="B202" s="19" t="str">
        <f>"'"&amp;装备!B127&amp;"'"</f>
        <v>''</v>
      </c>
      <c r="C202" s="19">
        <f>装备!J127</f>
        <v>0</v>
      </c>
      <c r="D202" s="19">
        <f>装备!K127</f>
        <v>0</v>
      </c>
      <c r="E202" s="19">
        <f>装备!L127</f>
        <v>0</v>
      </c>
      <c r="F202" s="19">
        <f>装备!M127</f>
        <v>0</v>
      </c>
      <c r="G202" s="19">
        <f>装备!N127</f>
        <v>0</v>
      </c>
      <c r="H202" s="19">
        <f>装备!O127</f>
        <v>0</v>
      </c>
      <c r="I202" s="19">
        <f>IF(装备!J127=0,0,"'"&amp;装备!J127&amp;"'")</f>
        <v>0</v>
      </c>
      <c r="J202" s="19">
        <f>IF(装备!K127=0,0,"'"&amp;装备!K127&amp;"'")</f>
        <v>0</v>
      </c>
      <c r="K202" s="19">
        <f>IF(装备!L127=0,0,"'"&amp;装备!L127&amp;"'")</f>
        <v>0</v>
      </c>
      <c r="L202" s="19">
        <f>IF(装备!M127=0,0,"'"&amp;装备!M127&amp;"'")</f>
        <v>0</v>
      </c>
      <c r="M202" s="19">
        <f>IF(装备!N127=0,0,"'"&amp;装备!N127&amp;"'")</f>
        <v>0</v>
      </c>
      <c r="N202" s="19">
        <f>IF(装备!O127=0,0,"'"&amp;装备!O127&amp;"'")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装备!A128</f>
        <v>0</v>
      </c>
      <c r="B203" s="19" t="str">
        <f>"'"&amp;装备!B128&amp;"'"</f>
        <v>''</v>
      </c>
      <c r="C203" s="19">
        <f>装备!J128</f>
        <v>0</v>
      </c>
      <c r="D203" s="19">
        <f>装备!K128</f>
        <v>0</v>
      </c>
      <c r="E203" s="19">
        <f>装备!L128</f>
        <v>0</v>
      </c>
      <c r="F203" s="19">
        <f>装备!M128</f>
        <v>0</v>
      </c>
      <c r="G203" s="19">
        <f>装备!N128</f>
        <v>0</v>
      </c>
      <c r="H203" s="19">
        <f>装备!O128</f>
        <v>0</v>
      </c>
      <c r="I203" s="19">
        <f>IF(装备!J128=0,0,"'"&amp;装备!J128&amp;"'")</f>
        <v>0</v>
      </c>
      <c r="J203" s="19">
        <f>IF(装备!K128=0,0,"'"&amp;装备!K128&amp;"'")</f>
        <v>0</v>
      </c>
      <c r="K203" s="19">
        <f>IF(装备!L128=0,0,"'"&amp;装备!L128&amp;"'")</f>
        <v>0</v>
      </c>
      <c r="L203" s="19">
        <f>IF(装备!M128=0,0,"'"&amp;装备!M128&amp;"'")</f>
        <v>0</v>
      </c>
      <c r="M203" s="19">
        <f>IF(装备!N128=0,0,"'"&amp;装备!N128&amp;"'")</f>
        <v>0</v>
      </c>
      <c r="N203" s="19">
        <f>IF(装备!O128=0,0,"'"&amp;装备!O128&amp;"'")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装备!A129</f>
        <v>0</v>
      </c>
      <c r="B204" s="19" t="str">
        <f>"'"&amp;装备!B129&amp;"'"</f>
        <v>''</v>
      </c>
      <c r="C204" s="19">
        <f>装备!J129</f>
        <v>0</v>
      </c>
      <c r="D204" s="19">
        <f>装备!K129</f>
        <v>0</v>
      </c>
      <c r="E204" s="19">
        <f>装备!L129</f>
        <v>0</v>
      </c>
      <c r="F204" s="19">
        <f>装备!M129</f>
        <v>0</v>
      </c>
      <c r="G204" s="19">
        <f>装备!N129</f>
        <v>0</v>
      </c>
      <c r="H204" s="19">
        <f>装备!O129</f>
        <v>0</v>
      </c>
      <c r="I204" s="19">
        <f>IF(装备!J129=0,0,"'"&amp;装备!J129&amp;"'")</f>
        <v>0</v>
      </c>
      <c r="J204" s="19">
        <f>IF(装备!K129=0,0,"'"&amp;装备!K129&amp;"'")</f>
        <v>0</v>
      </c>
      <c r="K204" s="19">
        <f>IF(装备!L129=0,0,"'"&amp;装备!L129&amp;"'")</f>
        <v>0</v>
      </c>
      <c r="L204" s="19">
        <f>IF(装备!M129=0,0,"'"&amp;装备!M129&amp;"'")</f>
        <v>0</v>
      </c>
      <c r="M204" s="19">
        <f>IF(装备!N129=0,0,"'"&amp;装备!N129&amp;"'")</f>
        <v>0</v>
      </c>
      <c r="N204" s="19">
        <f>IF(装备!O129=0,0,"'"&amp;装备!O129&amp;"'")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装备!A130</f>
        <v>0</v>
      </c>
      <c r="B205" s="19" t="str">
        <f>"'"&amp;装备!B130&amp;"'"</f>
        <v>''</v>
      </c>
      <c r="C205" s="19">
        <f>装备!J130</f>
        <v>0</v>
      </c>
      <c r="D205" s="19">
        <f>装备!K130</f>
        <v>0</v>
      </c>
      <c r="E205" s="19">
        <f>装备!L130</f>
        <v>0</v>
      </c>
      <c r="F205" s="19">
        <f>装备!M130</f>
        <v>0</v>
      </c>
      <c r="G205" s="19">
        <f>装备!N130</f>
        <v>0</v>
      </c>
      <c r="H205" s="19">
        <f>装备!O130</f>
        <v>0</v>
      </c>
      <c r="I205" s="19">
        <f>IF(装备!J130=0,0,"'"&amp;装备!J130&amp;"'")</f>
        <v>0</v>
      </c>
      <c r="J205" s="19">
        <f>IF(装备!K130=0,0,"'"&amp;装备!K130&amp;"'")</f>
        <v>0</v>
      </c>
      <c r="K205" s="19">
        <f>IF(装备!L130=0,0,"'"&amp;装备!L130&amp;"'")</f>
        <v>0</v>
      </c>
      <c r="L205" s="19">
        <f>IF(装备!M130=0,0,"'"&amp;装备!M130&amp;"'")</f>
        <v>0</v>
      </c>
      <c r="M205" s="19">
        <f>IF(装备!N130=0,0,"'"&amp;装备!N130&amp;"'")</f>
        <v>0</v>
      </c>
      <c r="N205" s="19">
        <f>IF(装备!O130=0,0,"'"&amp;装备!O130&amp;"'")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装备!A131</f>
        <v>0</v>
      </c>
      <c r="B206" s="19" t="str">
        <f>"'"&amp;装备!B131&amp;"'"</f>
        <v>''</v>
      </c>
      <c r="C206" s="19">
        <f>装备!J131</f>
        <v>0</v>
      </c>
      <c r="D206" s="19">
        <f>装备!K131</f>
        <v>0</v>
      </c>
      <c r="E206" s="19">
        <f>装备!L131</f>
        <v>0</v>
      </c>
      <c r="F206" s="19">
        <f>装备!M131</f>
        <v>0</v>
      </c>
      <c r="G206" s="19">
        <f>装备!N131</f>
        <v>0</v>
      </c>
      <c r="H206" s="19">
        <f>装备!O131</f>
        <v>0</v>
      </c>
      <c r="I206" s="19">
        <f>IF(装备!J131=0,0,"'"&amp;装备!J131&amp;"'")</f>
        <v>0</v>
      </c>
      <c r="J206" s="19">
        <f>IF(装备!K131=0,0,"'"&amp;装备!K131&amp;"'")</f>
        <v>0</v>
      </c>
      <c r="K206" s="19">
        <f>IF(装备!L131=0,0,"'"&amp;装备!L131&amp;"'")</f>
        <v>0</v>
      </c>
      <c r="L206" s="19">
        <f>IF(装备!M131=0,0,"'"&amp;装备!M131&amp;"'")</f>
        <v>0</v>
      </c>
      <c r="M206" s="19">
        <f>IF(装备!N131=0,0,"'"&amp;装备!N131&amp;"'")</f>
        <v>0</v>
      </c>
      <c r="N206" s="19">
        <f>IF(装备!O131=0,0,"'"&amp;装备!O131&amp;"'")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装备!A132</f>
        <v>0</v>
      </c>
      <c r="B207" s="19" t="str">
        <f>"'"&amp;装备!B132&amp;"'"</f>
        <v>''</v>
      </c>
      <c r="C207" s="19">
        <f>装备!J132</f>
        <v>0</v>
      </c>
      <c r="D207" s="19">
        <f>装备!K132</f>
        <v>0</v>
      </c>
      <c r="E207" s="19">
        <f>装备!L132</f>
        <v>0</v>
      </c>
      <c r="F207" s="19">
        <f>装备!M132</f>
        <v>0</v>
      </c>
      <c r="G207" s="19">
        <f>装备!N132</f>
        <v>0</v>
      </c>
      <c r="H207" s="19">
        <f>装备!O132</f>
        <v>0</v>
      </c>
      <c r="I207" s="19">
        <f>IF(装备!J132=0,0,"'"&amp;装备!J132&amp;"'")</f>
        <v>0</v>
      </c>
      <c r="J207" s="19">
        <f>IF(装备!K132=0,0,"'"&amp;装备!K132&amp;"'")</f>
        <v>0</v>
      </c>
      <c r="K207" s="19">
        <f>IF(装备!L132=0,0,"'"&amp;装备!L132&amp;"'")</f>
        <v>0</v>
      </c>
      <c r="L207" s="19">
        <f>IF(装备!M132=0,0,"'"&amp;装备!M132&amp;"'")</f>
        <v>0</v>
      </c>
      <c r="M207" s="19">
        <f>IF(装备!N132=0,0,"'"&amp;装备!N132&amp;"'")</f>
        <v>0</v>
      </c>
      <c r="N207" s="19">
        <f>IF(装备!O132=0,0,"'"&amp;装备!O132&amp;"'")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装备!A133</f>
        <v>0</v>
      </c>
      <c r="B208" s="19" t="str">
        <f>"'"&amp;装备!B133&amp;"'"</f>
        <v>''</v>
      </c>
      <c r="C208" s="19">
        <f>装备!J133</f>
        <v>0</v>
      </c>
      <c r="D208" s="19">
        <f>装备!K133</f>
        <v>0</v>
      </c>
      <c r="E208" s="19">
        <f>装备!L133</f>
        <v>0</v>
      </c>
      <c r="F208" s="19">
        <f>装备!M133</f>
        <v>0</v>
      </c>
      <c r="G208" s="19">
        <f>装备!N133</f>
        <v>0</v>
      </c>
      <c r="H208" s="19">
        <f>装备!O133</f>
        <v>0</v>
      </c>
      <c r="I208" s="19">
        <f>IF(装备!J133=0,0,"'"&amp;装备!J133&amp;"'")</f>
        <v>0</v>
      </c>
      <c r="J208" s="19">
        <f>IF(装备!K133=0,0,"'"&amp;装备!K133&amp;"'")</f>
        <v>0</v>
      </c>
      <c r="K208" s="19">
        <f>IF(装备!L133=0,0,"'"&amp;装备!L133&amp;"'")</f>
        <v>0</v>
      </c>
      <c r="L208" s="19">
        <f>IF(装备!M133=0,0,"'"&amp;装备!M133&amp;"'")</f>
        <v>0</v>
      </c>
      <c r="M208" s="19">
        <f>IF(装备!N133=0,0,"'"&amp;装备!N133&amp;"'")</f>
        <v>0</v>
      </c>
      <c r="N208" s="19">
        <f>IF(装备!O133=0,0,"'"&amp;装备!O133&amp;"'")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装备!A134</f>
        <v>0</v>
      </c>
      <c r="B209" s="19" t="str">
        <f>"'"&amp;装备!B134&amp;"'"</f>
        <v>''</v>
      </c>
      <c r="C209" s="19">
        <f>装备!J134</f>
        <v>0</v>
      </c>
      <c r="D209" s="19">
        <f>装备!K134</f>
        <v>0</v>
      </c>
      <c r="E209" s="19">
        <f>装备!L134</f>
        <v>0</v>
      </c>
      <c r="F209" s="19">
        <f>装备!M134</f>
        <v>0</v>
      </c>
      <c r="G209" s="19">
        <f>装备!N134</f>
        <v>0</v>
      </c>
      <c r="H209" s="19">
        <f>装备!O134</f>
        <v>0</v>
      </c>
      <c r="I209" s="19">
        <f>IF(装备!J134=0,0,"'"&amp;装备!J134&amp;"'")</f>
        <v>0</v>
      </c>
      <c r="J209" s="19">
        <f>IF(装备!K134=0,0,"'"&amp;装备!K134&amp;"'")</f>
        <v>0</v>
      </c>
      <c r="K209" s="19">
        <f>IF(装备!L134=0,0,"'"&amp;装备!L134&amp;"'")</f>
        <v>0</v>
      </c>
      <c r="L209" s="19">
        <f>IF(装备!M134=0,0,"'"&amp;装备!M134&amp;"'")</f>
        <v>0</v>
      </c>
      <c r="M209" s="19">
        <f>IF(装备!N134=0,0,"'"&amp;装备!N134&amp;"'")</f>
        <v>0</v>
      </c>
      <c r="N209" s="19">
        <f>IF(装备!O134=0,0,"'"&amp;装备!O134&amp;"'")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装备!A135</f>
        <v>0</v>
      </c>
      <c r="B210" s="19" t="str">
        <f>"'"&amp;装备!B135&amp;"'"</f>
        <v>''</v>
      </c>
      <c r="C210" s="19">
        <f>装备!J135</f>
        <v>0</v>
      </c>
      <c r="D210" s="19">
        <f>装备!K135</f>
        <v>0</v>
      </c>
      <c r="E210" s="19">
        <f>装备!L135</f>
        <v>0</v>
      </c>
      <c r="F210" s="19">
        <f>装备!M135</f>
        <v>0</v>
      </c>
      <c r="G210" s="19">
        <f>装备!N135</f>
        <v>0</v>
      </c>
      <c r="H210" s="19">
        <f>装备!O135</f>
        <v>0</v>
      </c>
      <c r="I210" s="19">
        <f>IF(装备!J135=0,0,"'"&amp;装备!J135&amp;"'")</f>
        <v>0</v>
      </c>
      <c r="J210" s="19">
        <f>IF(装备!K135=0,0,"'"&amp;装备!K135&amp;"'")</f>
        <v>0</v>
      </c>
      <c r="K210" s="19">
        <f>IF(装备!L135=0,0,"'"&amp;装备!L135&amp;"'")</f>
        <v>0</v>
      </c>
      <c r="L210" s="19">
        <f>IF(装备!M135=0,0,"'"&amp;装备!M135&amp;"'")</f>
        <v>0</v>
      </c>
      <c r="M210" s="19">
        <f>IF(装备!N135=0,0,"'"&amp;装备!N135&amp;"'")</f>
        <v>0</v>
      </c>
      <c r="N210" s="19">
        <f>IF(装备!O135=0,0,"'"&amp;装备!O135&amp;"'")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装备!A136</f>
        <v>0</v>
      </c>
      <c r="B211" s="19" t="str">
        <f>"'"&amp;装备!B136&amp;"'"</f>
        <v>''</v>
      </c>
      <c r="C211" s="19">
        <f>装备!J136</f>
        <v>0</v>
      </c>
      <c r="D211" s="19">
        <f>装备!K136</f>
        <v>0</v>
      </c>
      <c r="E211" s="19">
        <f>装备!L136</f>
        <v>0</v>
      </c>
      <c r="F211" s="19">
        <f>装备!M136</f>
        <v>0</v>
      </c>
      <c r="G211" s="19">
        <f>装备!N136</f>
        <v>0</v>
      </c>
      <c r="H211" s="19">
        <f>装备!O136</f>
        <v>0</v>
      </c>
      <c r="I211" s="19">
        <f>IF(装备!J136=0,0,"'"&amp;装备!J136&amp;"'")</f>
        <v>0</v>
      </c>
      <c r="J211" s="19">
        <f>IF(装备!K136=0,0,"'"&amp;装备!K136&amp;"'")</f>
        <v>0</v>
      </c>
      <c r="K211" s="19">
        <f>IF(装备!L136=0,0,"'"&amp;装备!L136&amp;"'")</f>
        <v>0</v>
      </c>
      <c r="L211" s="19">
        <f>IF(装备!M136=0,0,"'"&amp;装备!M136&amp;"'")</f>
        <v>0</v>
      </c>
      <c r="M211" s="19">
        <f>IF(装备!N136=0,0,"'"&amp;装备!N136&amp;"'")</f>
        <v>0</v>
      </c>
      <c r="N211" s="19">
        <f>IF(装备!O136=0,0,"'"&amp;装备!O136&amp;"'")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装备!A137</f>
        <v>0</v>
      </c>
      <c r="B212" s="19" t="str">
        <f>"'"&amp;装备!B137&amp;"'"</f>
        <v>''</v>
      </c>
      <c r="C212" s="19">
        <f>装备!J137</f>
        <v>0</v>
      </c>
      <c r="D212" s="19">
        <f>装备!K137</f>
        <v>0</v>
      </c>
      <c r="E212" s="19">
        <f>装备!L137</f>
        <v>0</v>
      </c>
      <c r="F212" s="19">
        <f>装备!M137</f>
        <v>0</v>
      </c>
      <c r="G212" s="19">
        <f>装备!N137</f>
        <v>0</v>
      </c>
      <c r="H212" s="19">
        <f>装备!O137</f>
        <v>0</v>
      </c>
      <c r="I212" s="19">
        <f>IF(装备!J137=0,0,"'"&amp;装备!J137&amp;"'")</f>
        <v>0</v>
      </c>
      <c r="J212" s="19">
        <f>IF(装备!K137=0,0,"'"&amp;装备!K137&amp;"'")</f>
        <v>0</v>
      </c>
      <c r="K212" s="19">
        <f>IF(装备!L137=0,0,"'"&amp;装备!L137&amp;"'")</f>
        <v>0</v>
      </c>
      <c r="L212" s="19">
        <f>IF(装备!M137=0,0,"'"&amp;装备!M137&amp;"'")</f>
        <v>0</v>
      </c>
      <c r="M212" s="19">
        <f>IF(装备!N137=0,0,"'"&amp;装备!N137&amp;"'")</f>
        <v>0</v>
      </c>
      <c r="N212" s="19">
        <f>IF(装备!O137=0,0,"'"&amp;装备!O137&amp;"'")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装备!A138</f>
        <v>0</v>
      </c>
      <c r="B213" s="19" t="str">
        <f>"'"&amp;装备!B138&amp;"'"</f>
        <v>''</v>
      </c>
      <c r="C213" s="19">
        <f>装备!J138</f>
        <v>0</v>
      </c>
      <c r="D213" s="19">
        <f>装备!K138</f>
        <v>0</v>
      </c>
      <c r="E213" s="19">
        <f>装备!L138</f>
        <v>0</v>
      </c>
      <c r="F213" s="19">
        <f>装备!M138</f>
        <v>0</v>
      </c>
      <c r="G213" s="19">
        <f>装备!N138</f>
        <v>0</v>
      </c>
      <c r="H213" s="19">
        <f>装备!O138</f>
        <v>0</v>
      </c>
      <c r="I213" s="19">
        <f>IF(装备!J138=0,0,"'"&amp;装备!J138&amp;"'")</f>
        <v>0</v>
      </c>
      <c r="J213" s="19">
        <f>IF(装备!K138=0,0,"'"&amp;装备!K138&amp;"'")</f>
        <v>0</v>
      </c>
      <c r="K213" s="19">
        <f>IF(装备!L138=0,0,"'"&amp;装备!L138&amp;"'")</f>
        <v>0</v>
      </c>
      <c r="L213" s="19">
        <f>IF(装备!M138=0,0,"'"&amp;装备!M138&amp;"'")</f>
        <v>0</v>
      </c>
      <c r="M213" s="19">
        <f>IF(装备!N138=0,0,"'"&amp;装备!N138&amp;"'")</f>
        <v>0</v>
      </c>
      <c r="N213" s="19">
        <f>IF(装备!O138=0,0,"'"&amp;装备!O138&amp;"'")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装备!A139</f>
        <v>0</v>
      </c>
      <c r="B214" s="19" t="str">
        <f>"'"&amp;装备!B139&amp;"'"</f>
        <v>''</v>
      </c>
      <c r="C214" s="19">
        <f>装备!J139</f>
        <v>0</v>
      </c>
      <c r="D214" s="19">
        <f>装备!K139</f>
        <v>0</v>
      </c>
      <c r="E214" s="19">
        <f>装备!L139</f>
        <v>0</v>
      </c>
      <c r="F214" s="19">
        <f>装备!M139</f>
        <v>0</v>
      </c>
      <c r="G214" s="19">
        <f>装备!N139</f>
        <v>0</v>
      </c>
      <c r="H214" s="19">
        <f>装备!O139</f>
        <v>0</v>
      </c>
      <c r="I214" s="19">
        <f>IF(装备!J139=0,0,"'"&amp;装备!J139&amp;"'")</f>
        <v>0</v>
      </c>
      <c r="J214" s="19">
        <f>IF(装备!K139=0,0,"'"&amp;装备!K139&amp;"'")</f>
        <v>0</v>
      </c>
      <c r="K214" s="19">
        <f>IF(装备!L139=0,0,"'"&amp;装备!L139&amp;"'")</f>
        <v>0</v>
      </c>
      <c r="L214" s="19">
        <f>IF(装备!M139=0,0,"'"&amp;装备!M139&amp;"'")</f>
        <v>0</v>
      </c>
      <c r="M214" s="19">
        <f>IF(装备!N139=0,0,"'"&amp;装备!N139&amp;"'")</f>
        <v>0</v>
      </c>
      <c r="N214" s="19">
        <f>IF(装备!O139=0,0,"'"&amp;装备!O139&amp;"'")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装备!A140</f>
        <v>0</v>
      </c>
      <c r="B215" s="19" t="str">
        <f>"'"&amp;装备!B140&amp;"'"</f>
        <v>''</v>
      </c>
      <c r="C215" s="19">
        <f>装备!J140</f>
        <v>0</v>
      </c>
      <c r="D215" s="19">
        <f>装备!K140</f>
        <v>0</v>
      </c>
      <c r="E215" s="19">
        <f>装备!L140</f>
        <v>0</v>
      </c>
      <c r="F215" s="19">
        <f>装备!M140</f>
        <v>0</v>
      </c>
      <c r="G215" s="19">
        <f>装备!N140</f>
        <v>0</v>
      </c>
      <c r="H215" s="19">
        <f>装备!O140</f>
        <v>0</v>
      </c>
      <c r="I215" s="19">
        <f>IF(装备!J140=0,0,"'"&amp;装备!J140&amp;"'")</f>
        <v>0</v>
      </c>
      <c r="J215" s="19">
        <f>IF(装备!K140=0,0,"'"&amp;装备!K140&amp;"'")</f>
        <v>0</v>
      </c>
      <c r="K215" s="19">
        <f>IF(装备!L140=0,0,"'"&amp;装备!L140&amp;"'")</f>
        <v>0</v>
      </c>
      <c r="L215" s="19">
        <f>IF(装备!M140=0,0,"'"&amp;装备!M140&amp;"'")</f>
        <v>0</v>
      </c>
      <c r="M215" s="19">
        <f>IF(装备!N140=0,0,"'"&amp;装备!N140&amp;"'")</f>
        <v>0</v>
      </c>
      <c r="N215" s="19">
        <f>IF(装备!O140=0,0,"'"&amp;装备!O140&amp;"'")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装备!A141</f>
        <v>0</v>
      </c>
      <c r="B216" s="19" t="str">
        <f>"'"&amp;装备!B141&amp;"'"</f>
        <v>''</v>
      </c>
      <c r="C216" s="19">
        <f>装备!J141</f>
        <v>0</v>
      </c>
      <c r="D216" s="19">
        <f>装备!K141</f>
        <v>0</v>
      </c>
      <c r="E216" s="19">
        <f>装备!L141</f>
        <v>0</v>
      </c>
      <c r="F216" s="19">
        <f>装备!M141</f>
        <v>0</v>
      </c>
      <c r="G216" s="19">
        <f>装备!N141</f>
        <v>0</v>
      </c>
      <c r="H216" s="19">
        <f>装备!O141</f>
        <v>0</v>
      </c>
      <c r="I216" s="19">
        <f>IF(装备!J141=0,0,"'"&amp;装备!J141&amp;"'")</f>
        <v>0</v>
      </c>
      <c r="J216" s="19">
        <f>IF(装备!K141=0,0,"'"&amp;装备!K141&amp;"'")</f>
        <v>0</v>
      </c>
      <c r="K216" s="19">
        <f>IF(装备!L141=0,0,"'"&amp;装备!L141&amp;"'")</f>
        <v>0</v>
      </c>
      <c r="L216" s="19">
        <f>IF(装备!M141=0,0,"'"&amp;装备!M141&amp;"'")</f>
        <v>0</v>
      </c>
      <c r="M216" s="19">
        <f>IF(装备!N141=0,0,"'"&amp;装备!N141&amp;"'")</f>
        <v>0</v>
      </c>
      <c r="N216" s="19">
        <f>IF(装备!O141=0,0,"'"&amp;装备!O141&amp;"'")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装备!A142</f>
        <v>0</v>
      </c>
      <c r="B217" s="19" t="str">
        <f>"'"&amp;装备!B142&amp;"'"</f>
        <v>''</v>
      </c>
      <c r="C217" s="19">
        <f>装备!J142</f>
        <v>0</v>
      </c>
      <c r="D217" s="19">
        <f>装备!K142</f>
        <v>0</v>
      </c>
      <c r="E217" s="19">
        <f>装备!L142</f>
        <v>0</v>
      </c>
      <c r="F217" s="19">
        <f>装备!M142</f>
        <v>0</v>
      </c>
      <c r="G217" s="19">
        <f>装备!N142</f>
        <v>0</v>
      </c>
      <c r="H217" s="19">
        <f>装备!O142</f>
        <v>0</v>
      </c>
      <c r="I217" s="19">
        <f>IF(装备!J142=0,0,"'"&amp;装备!J142&amp;"'")</f>
        <v>0</v>
      </c>
      <c r="J217" s="19">
        <f>IF(装备!K142=0,0,"'"&amp;装备!K142&amp;"'")</f>
        <v>0</v>
      </c>
      <c r="K217" s="19">
        <f>IF(装备!L142=0,0,"'"&amp;装备!L142&amp;"'")</f>
        <v>0</v>
      </c>
      <c r="L217" s="19">
        <f>IF(装备!M142=0,0,"'"&amp;装备!M142&amp;"'")</f>
        <v>0</v>
      </c>
      <c r="M217" s="19">
        <f>IF(装备!N142=0,0,"'"&amp;装备!N142&amp;"'")</f>
        <v>0</v>
      </c>
      <c r="N217" s="19">
        <f>IF(装备!O142=0,0,"'"&amp;装备!O142&amp;"'")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装备!A143</f>
        <v>0</v>
      </c>
      <c r="B218" s="19" t="str">
        <f>"'"&amp;装备!B143&amp;"'"</f>
        <v>''</v>
      </c>
      <c r="C218" s="19">
        <f>装备!J143</f>
        <v>0</v>
      </c>
      <c r="D218" s="19">
        <f>装备!K143</f>
        <v>0</v>
      </c>
      <c r="E218" s="19">
        <f>装备!L143</f>
        <v>0</v>
      </c>
      <c r="F218" s="19">
        <f>装备!M143</f>
        <v>0</v>
      </c>
      <c r="G218" s="19">
        <f>装备!N143</f>
        <v>0</v>
      </c>
      <c r="H218" s="19">
        <f>装备!O143</f>
        <v>0</v>
      </c>
      <c r="I218" s="19">
        <f>IF(装备!J143=0,0,"'"&amp;装备!J143&amp;"'")</f>
        <v>0</v>
      </c>
      <c r="J218" s="19">
        <f>IF(装备!K143=0,0,"'"&amp;装备!K143&amp;"'")</f>
        <v>0</v>
      </c>
      <c r="K218" s="19">
        <f>IF(装备!L143=0,0,"'"&amp;装备!L143&amp;"'")</f>
        <v>0</v>
      </c>
      <c r="L218" s="19">
        <f>IF(装备!M143=0,0,"'"&amp;装备!M143&amp;"'")</f>
        <v>0</v>
      </c>
      <c r="M218" s="19">
        <f>IF(装备!N143=0,0,"'"&amp;装备!N143&amp;"'")</f>
        <v>0</v>
      </c>
      <c r="N218" s="19">
        <f>IF(装备!O143=0,0,"'"&amp;装备!O143&amp;"'")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装备!A144</f>
        <v>0</v>
      </c>
      <c r="B219" s="19" t="str">
        <f>"'"&amp;装备!B144&amp;"'"</f>
        <v>''</v>
      </c>
      <c r="C219" s="19">
        <f>装备!J144</f>
        <v>0</v>
      </c>
      <c r="D219" s="19">
        <f>装备!K144</f>
        <v>0</v>
      </c>
      <c r="E219" s="19">
        <f>装备!L144</f>
        <v>0</v>
      </c>
      <c r="F219" s="19">
        <f>装备!M144</f>
        <v>0</v>
      </c>
      <c r="G219" s="19">
        <f>装备!N144</f>
        <v>0</v>
      </c>
      <c r="H219" s="19">
        <f>装备!O144</f>
        <v>0</v>
      </c>
      <c r="I219" s="19">
        <f>IF(装备!J144=0,0,"'"&amp;装备!J144&amp;"'")</f>
        <v>0</v>
      </c>
      <c r="J219" s="19">
        <f>IF(装备!K144=0,0,"'"&amp;装备!K144&amp;"'")</f>
        <v>0</v>
      </c>
      <c r="K219" s="19">
        <f>IF(装备!L144=0,0,"'"&amp;装备!L144&amp;"'")</f>
        <v>0</v>
      </c>
      <c r="L219" s="19">
        <f>IF(装备!M144=0,0,"'"&amp;装备!M144&amp;"'")</f>
        <v>0</v>
      </c>
      <c r="M219" s="19">
        <f>IF(装备!N144=0,0,"'"&amp;装备!N144&amp;"'")</f>
        <v>0</v>
      </c>
      <c r="N219" s="19">
        <f>IF(装备!O144=0,0,"'"&amp;装备!O144&amp;"'")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装备!A145</f>
        <v>0</v>
      </c>
      <c r="B220" s="19" t="str">
        <f>"'"&amp;装备!B145&amp;"'"</f>
        <v>''</v>
      </c>
      <c r="C220" s="19">
        <f>装备!J145</f>
        <v>0</v>
      </c>
      <c r="D220" s="19">
        <f>装备!K145</f>
        <v>0</v>
      </c>
      <c r="E220" s="19">
        <f>装备!L145</f>
        <v>0</v>
      </c>
      <c r="F220" s="19">
        <f>装备!M145</f>
        <v>0</v>
      </c>
      <c r="G220" s="19">
        <f>装备!N145</f>
        <v>0</v>
      </c>
      <c r="H220" s="19">
        <f>装备!O145</f>
        <v>0</v>
      </c>
      <c r="I220" s="19">
        <f>IF(装备!J145=0,0,"'"&amp;装备!J145&amp;"'")</f>
        <v>0</v>
      </c>
      <c r="J220" s="19">
        <f>IF(装备!K145=0,0,"'"&amp;装备!K145&amp;"'")</f>
        <v>0</v>
      </c>
      <c r="K220" s="19">
        <f>IF(装备!L145=0,0,"'"&amp;装备!L145&amp;"'")</f>
        <v>0</v>
      </c>
      <c r="L220" s="19">
        <f>IF(装备!M145=0,0,"'"&amp;装备!M145&amp;"'")</f>
        <v>0</v>
      </c>
      <c r="M220" s="19">
        <f>IF(装备!N145=0,0,"'"&amp;装备!N145&amp;"'")</f>
        <v>0</v>
      </c>
      <c r="N220" s="19">
        <f>IF(装备!O145=0,0,"'"&amp;装备!O145&amp;"'")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装备!A146</f>
        <v>0</v>
      </c>
      <c r="B221" s="19" t="str">
        <f>"'"&amp;装备!B146&amp;"'"</f>
        <v>''</v>
      </c>
      <c r="C221" s="19">
        <f>装备!J146</f>
        <v>0</v>
      </c>
      <c r="D221" s="19">
        <f>装备!K146</f>
        <v>0</v>
      </c>
      <c r="E221" s="19">
        <f>装备!L146</f>
        <v>0</v>
      </c>
      <c r="F221" s="19">
        <f>装备!M146</f>
        <v>0</v>
      </c>
      <c r="G221" s="19">
        <f>装备!N146</f>
        <v>0</v>
      </c>
      <c r="H221" s="19">
        <f>装备!O146</f>
        <v>0</v>
      </c>
      <c r="I221" s="19">
        <f>IF(装备!J146=0,0,"'"&amp;装备!J146&amp;"'")</f>
        <v>0</v>
      </c>
      <c r="J221" s="19">
        <f>IF(装备!K146=0,0,"'"&amp;装备!K146&amp;"'")</f>
        <v>0</v>
      </c>
      <c r="K221" s="19">
        <f>IF(装备!L146=0,0,"'"&amp;装备!L146&amp;"'")</f>
        <v>0</v>
      </c>
      <c r="L221" s="19">
        <f>IF(装备!M146=0,0,"'"&amp;装备!M146&amp;"'")</f>
        <v>0</v>
      </c>
      <c r="M221" s="19">
        <f>IF(装备!N146=0,0,"'"&amp;装备!N146&amp;"'")</f>
        <v>0</v>
      </c>
      <c r="N221" s="19">
        <f>IF(装备!O146=0,0,"'"&amp;装备!O146&amp;"'")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装备!A147</f>
        <v>0</v>
      </c>
      <c r="B222" s="19" t="str">
        <f>"'"&amp;装备!B147&amp;"'"</f>
        <v>''</v>
      </c>
      <c r="C222" s="19">
        <f>装备!J147</f>
        <v>0</v>
      </c>
      <c r="D222" s="19">
        <f>装备!K147</f>
        <v>0</v>
      </c>
      <c r="E222" s="19">
        <f>装备!L147</f>
        <v>0</v>
      </c>
      <c r="F222" s="19">
        <f>装备!M147</f>
        <v>0</v>
      </c>
      <c r="G222" s="19">
        <f>装备!N147</f>
        <v>0</v>
      </c>
      <c r="H222" s="19">
        <f>装备!O147</f>
        <v>0</v>
      </c>
      <c r="I222" s="19">
        <f>IF(装备!J147=0,0,"'"&amp;装备!J147&amp;"'")</f>
        <v>0</v>
      </c>
      <c r="J222" s="19">
        <f>IF(装备!K147=0,0,"'"&amp;装备!K147&amp;"'")</f>
        <v>0</v>
      </c>
      <c r="K222" s="19">
        <f>IF(装备!L147=0,0,"'"&amp;装备!L147&amp;"'")</f>
        <v>0</v>
      </c>
      <c r="L222" s="19">
        <f>IF(装备!M147=0,0,"'"&amp;装备!M147&amp;"'")</f>
        <v>0</v>
      </c>
      <c r="M222" s="19">
        <f>IF(装备!N147=0,0,"'"&amp;装备!N147&amp;"'")</f>
        <v>0</v>
      </c>
      <c r="N222" s="19">
        <f>IF(装备!O147=0,0,"'"&amp;装备!O147&amp;"'")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装备!A148</f>
        <v>0</v>
      </c>
      <c r="B223" s="19" t="str">
        <f>"'"&amp;装备!B148&amp;"'"</f>
        <v>''</v>
      </c>
      <c r="C223" s="19">
        <f>装备!J148</f>
        <v>0</v>
      </c>
      <c r="D223" s="19">
        <f>装备!K148</f>
        <v>0</v>
      </c>
      <c r="E223" s="19">
        <f>装备!L148</f>
        <v>0</v>
      </c>
      <c r="F223" s="19">
        <f>装备!M148</f>
        <v>0</v>
      </c>
      <c r="G223" s="19">
        <f>装备!N148</f>
        <v>0</v>
      </c>
      <c r="H223" s="19">
        <f>装备!O148</f>
        <v>0</v>
      </c>
      <c r="I223" s="19">
        <f>IF(装备!J148=0,0,"'"&amp;装备!J148&amp;"'")</f>
        <v>0</v>
      </c>
      <c r="J223" s="19">
        <f>IF(装备!K148=0,0,"'"&amp;装备!K148&amp;"'")</f>
        <v>0</v>
      </c>
      <c r="K223" s="19">
        <f>IF(装备!L148=0,0,"'"&amp;装备!L148&amp;"'")</f>
        <v>0</v>
      </c>
      <c r="L223" s="19">
        <f>IF(装备!M148=0,0,"'"&amp;装备!M148&amp;"'")</f>
        <v>0</v>
      </c>
      <c r="M223" s="19">
        <f>IF(装备!N148=0,0,"'"&amp;装备!N148&amp;"'")</f>
        <v>0</v>
      </c>
      <c r="N223" s="19">
        <f>IF(装备!O148=0,0,"'"&amp;装备!O148&amp;"'")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装备!A149</f>
        <v>0</v>
      </c>
      <c r="B224" s="19" t="str">
        <f>"'"&amp;装备!B149&amp;"'"</f>
        <v>''</v>
      </c>
      <c r="C224" s="19">
        <f>装备!J149</f>
        <v>0</v>
      </c>
      <c r="D224" s="19">
        <f>装备!K149</f>
        <v>0</v>
      </c>
      <c r="E224" s="19">
        <f>装备!L149</f>
        <v>0</v>
      </c>
      <c r="F224" s="19">
        <f>装备!M149</f>
        <v>0</v>
      </c>
      <c r="G224" s="19">
        <f>装备!N149</f>
        <v>0</v>
      </c>
      <c r="H224" s="19">
        <f>装备!O149</f>
        <v>0</v>
      </c>
      <c r="I224" s="19">
        <f>IF(装备!J149=0,0,"'"&amp;装备!J149&amp;"'")</f>
        <v>0</v>
      </c>
      <c r="J224" s="19">
        <f>IF(装备!K149=0,0,"'"&amp;装备!K149&amp;"'")</f>
        <v>0</v>
      </c>
      <c r="K224" s="19">
        <f>IF(装备!L149=0,0,"'"&amp;装备!L149&amp;"'")</f>
        <v>0</v>
      </c>
      <c r="L224" s="19">
        <f>IF(装备!M149=0,0,"'"&amp;装备!M149&amp;"'")</f>
        <v>0</v>
      </c>
      <c r="M224" s="19">
        <f>IF(装备!N149=0,0,"'"&amp;装备!N149&amp;"'")</f>
        <v>0</v>
      </c>
      <c r="N224" s="19">
        <f>IF(装备!O149=0,0,"'"&amp;装备!O149&amp;"'")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装备!A150</f>
        <v>0</v>
      </c>
      <c r="B225" s="19" t="str">
        <f>"'"&amp;装备!B150&amp;"'"</f>
        <v>''</v>
      </c>
      <c r="C225" s="19">
        <f>装备!J150</f>
        <v>0</v>
      </c>
      <c r="D225" s="19">
        <f>装备!K150</f>
        <v>0</v>
      </c>
      <c r="E225" s="19">
        <f>装备!L150</f>
        <v>0</v>
      </c>
      <c r="F225" s="19">
        <f>装备!M150</f>
        <v>0</v>
      </c>
      <c r="G225" s="19">
        <f>装备!N150</f>
        <v>0</v>
      </c>
      <c r="H225" s="19">
        <f>装备!O150</f>
        <v>0</v>
      </c>
      <c r="I225" s="19">
        <f>IF(装备!J150=0,0,"'"&amp;装备!J150&amp;"'")</f>
        <v>0</v>
      </c>
      <c r="J225" s="19">
        <f>IF(装备!K150=0,0,"'"&amp;装备!K150&amp;"'")</f>
        <v>0</v>
      </c>
      <c r="K225" s="19">
        <f>IF(装备!L150=0,0,"'"&amp;装备!L150&amp;"'")</f>
        <v>0</v>
      </c>
      <c r="L225" s="19">
        <f>IF(装备!M150=0,0,"'"&amp;装备!M150&amp;"'")</f>
        <v>0</v>
      </c>
      <c r="M225" s="19">
        <f>IF(装备!N150=0,0,"'"&amp;装备!N150&amp;"'")</f>
        <v>0</v>
      </c>
      <c r="N225" s="19">
        <f>IF(装备!O150=0,0,"'"&amp;装备!O150&amp;"'")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装备!A151</f>
        <v>0</v>
      </c>
      <c r="B226" s="19" t="str">
        <f>"'"&amp;装备!B151&amp;"'"</f>
        <v>''</v>
      </c>
      <c r="C226" s="19">
        <f>装备!J151</f>
        <v>0</v>
      </c>
      <c r="D226" s="19">
        <f>装备!K151</f>
        <v>0</v>
      </c>
      <c r="E226" s="19">
        <f>装备!L151</f>
        <v>0</v>
      </c>
      <c r="F226" s="19">
        <f>装备!M151</f>
        <v>0</v>
      </c>
      <c r="G226" s="19">
        <f>装备!N151</f>
        <v>0</v>
      </c>
      <c r="H226" s="19">
        <f>装备!O151</f>
        <v>0</v>
      </c>
      <c r="I226" s="19">
        <f>IF(装备!J151=0,0,"'"&amp;装备!J151&amp;"'")</f>
        <v>0</v>
      </c>
      <c r="J226" s="19">
        <f>IF(装备!K151=0,0,"'"&amp;装备!K151&amp;"'")</f>
        <v>0</v>
      </c>
      <c r="K226" s="19">
        <f>IF(装备!L151=0,0,"'"&amp;装备!L151&amp;"'")</f>
        <v>0</v>
      </c>
      <c r="L226" s="19">
        <f>IF(装备!M151=0,0,"'"&amp;装备!M151&amp;"'")</f>
        <v>0</v>
      </c>
      <c r="M226" s="19">
        <f>IF(装备!N151=0,0,"'"&amp;装备!N151&amp;"'")</f>
        <v>0</v>
      </c>
      <c r="N226" s="19">
        <f>IF(装备!O151=0,0,"'"&amp;装备!O151&amp;"'")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装备!A152</f>
        <v>0</v>
      </c>
      <c r="B227" s="19" t="str">
        <f>"'"&amp;装备!B152&amp;"'"</f>
        <v>''</v>
      </c>
      <c r="C227" s="19">
        <f>装备!J152</f>
        <v>0</v>
      </c>
      <c r="D227" s="19">
        <f>装备!K152</f>
        <v>0</v>
      </c>
      <c r="E227" s="19">
        <f>装备!L152</f>
        <v>0</v>
      </c>
      <c r="F227" s="19">
        <f>装备!M152</f>
        <v>0</v>
      </c>
      <c r="G227" s="19">
        <f>装备!N152</f>
        <v>0</v>
      </c>
      <c r="H227" s="19">
        <f>装备!O152</f>
        <v>0</v>
      </c>
      <c r="I227" s="19">
        <f>IF(装备!J152=0,0,"'"&amp;装备!J152&amp;"'")</f>
        <v>0</v>
      </c>
      <c r="J227" s="19">
        <f>IF(装备!K152=0,0,"'"&amp;装备!K152&amp;"'")</f>
        <v>0</v>
      </c>
      <c r="K227" s="19">
        <f>IF(装备!L152=0,0,"'"&amp;装备!L152&amp;"'")</f>
        <v>0</v>
      </c>
      <c r="L227" s="19">
        <f>IF(装备!M152=0,0,"'"&amp;装备!M152&amp;"'")</f>
        <v>0</v>
      </c>
      <c r="M227" s="19">
        <f>IF(装备!N152=0,0,"'"&amp;装备!N152&amp;"'")</f>
        <v>0</v>
      </c>
      <c r="N227" s="19">
        <f>IF(装备!O152=0,0,"'"&amp;装备!O152&amp;"'")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装备!A153</f>
        <v>0</v>
      </c>
      <c r="B228" s="19" t="str">
        <f>"'"&amp;装备!B153&amp;"'"</f>
        <v>''</v>
      </c>
      <c r="C228" s="19">
        <f>装备!J153</f>
        <v>0</v>
      </c>
      <c r="D228" s="19">
        <f>装备!K153</f>
        <v>0</v>
      </c>
      <c r="E228" s="19">
        <f>装备!L153</f>
        <v>0</v>
      </c>
      <c r="F228" s="19">
        <f>装备!M153</f>
        <v>0</v>
      </c>
      <c r="G228" s="19">
        <f>装备!N153</f>
        <v>0</v>
      </c>
      <c r="H228" s="19">
        <f>装备!O153</f>
        <v>0</v>
      </c>
      <c r="I228" s="19">
        <f>IF(装备!J153=0,0,"'"&amp;装备!J153&amp;"'")</f>
        <v>0</v>
      </c>
      <c r="J228" s="19">
        <f>IF(装备!K153=0,0,"'"&amp;装备!K153&amp;"'")</f>
        <v>0</v>
      </c>
      <c r="K228" s="19">
        <f>IF(装备!L153=0,0,"'"&amp;装备!L153&amp;"'")</f>
        <v>0</v>
      </c>
      <c r="L228" s="19">
        <f>IF(装备!M153=0,0,"'"&amp;装备!M153&amp;"'")</f>
        <v>0</v>
      </c>
      <c r="M228" s="19">
        <f>IF(装备!N153=0,0,"'"&amp;装备!N153&amp;"'")</f>
        <v>0</v>
      </c>
      <c r="N228" s="19">
        <f>IF(装备!O153=0,0,"'"&amp;装备!O153&amp;"'")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装备!A154</f>
        <v>0</v>
      </c>
      <c r="B229" s="19" t="str">
        <f>"'"&amp;装备!B154&amp;"'"</f>
        <v>''</v>
      </c>
      <c r="C229" s="19">
        <f>装备!J154</f>
        <v>0</v>
      </c>
      <c r="D229" s="19">
        <f>装备!K154</f>
        <v>0</v>
      </c>
      <c r="E229" s="19">
        <f>装备!L154</f>
        <v>0</v>
      </c>
      <c r="F229" s="19">
        <f>装备!M154</f>
        <v>0</v>
      </c>
      <c r="G229" s="19">
        <f>装备!N154</f>
        <v>0</v>
      </c>
      <c r="H229" s="19">
        <f>装备!O154</f>
        <v>0</v>
      </c>
      <c r="I229" s="19">
        <f>IF(装备!J154=0,0,"'"&amp;装备!J154&amp;"'")</f>
        <v>0</v>
      </c>
      <c r="J229" s="19">
        <f>IF(装备!K154=0,0,"'"&amp;装备!K154&amp;"'")</f>
        <v>0</v>
      </c>
      <c r="K229" s="19">
        <f>IF(装备!L154=0,0,"'"&amp;装备!L154&amp;"'")</f>
        <v>0</v>
      </c>
      <c r="L229" s="19">
        <f>IF(装备!M154=0,0,"'"&amp;装备!M154&amp;"'")</f>
        <v>0</v>
      </c>
      <c r="M229" s="19">
        <f>IF(装备!N154=0,0,"'"&amp;装备!N154&amp;"'")</f>
        <v>0</v>
      </c>
      <c r="N229" s="19">
        <f>IF(装备!O154=0,0,"'"&amp;装备!O154&amp;"'")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装备!A155</f>
        <v>0</v>
      </c>
      <c r="B230" s="19" t="str">
        <f>"'"&amp;装备!B155&amp;"'"</f>
        <v>''</v>
      </c>
      <c r="C230" s="19">
        <f>装备!J155</f>
        <v>0</v>
      </c>
      <c r="D230" s="19">
        <f>装备!K155</f>
        <v>0</v>
      </c>
      <c r="E230" s="19">
        <f>装备!L155</f>
        <v>0</v>
      </c>
      <c r="F230" s="19">
        <f>装备!M155</f>
        <v>0</v>
      </c>
      <c r="G230" s="19">
        <f>装备!N155</f>
        <v>0</v>
      </c>
      <c r="H230" s="19">
        <f>装备!O155</f>
        <v>0</v>
      </c>
      <c r="I230" s="19">
        <f>IF(装备!J155=0,0,"'"&amp;装备!J155&amp;"'")</f>
        <v>0</v>
      </c>
      <c r="J230" s="19">
        <f>IF(装备!K155=0,0,"'"&amp;装备!K155&amp;"'")</f>
        <v>0</v>
      </c>
      <c r="K230" s="19">
        <f>IF(装备!L155=0,0,"'"&amp;装备!L155&amp;"'")</f>
        <v>0</v>
      </c>
      <c r="L230" s="19">
        <f>IF(装备!M155=0,0,"'"&amp;装备!M155&amp;"'")</f>
        <v>0</v>
      </c>
      <c r="M230" s="19">
        <f>IF(装备!N155=0,0,"'"&amp;装备!N155&amp;"'")</f>
        <v>0</v>
      </c>
      <c r="N230" s="19">
        <f>IF(装备!O155=0,0,"'"&amp;装备!O155&amp;"'")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装备!A156</f>
        <v>0</v>
      </c>
      <c r="B231" s="19" t="str">
        <f>"'"&amp;装备!B156&amp;"'"</f>
        <v>''</v>
      </c>
      <c r="C231" s="19">
        <f>装备!J156</f>
        <v>0</v>
      </c>
      <c r="D231" s="19">
        <f>装备!K156</f>
        <v>0</v>
      </c>
      <c r="E231" s="19">
        <f>装备!L156</f>
        <v>0</v>
      </c>
      <c r="F231" s="19">
        <f>装备!M156</f>
        <v>0</v>
      </c>
      <c r="G231" s="19">
        <f>装备!N156</f>
        <v>0</v>
      </c>
      <c r="H231" s="19">
        <f>装备!O156</f>
        <v>0</v>
      </c>
      <c r="I231" s="19">
        <f>IF(装备!J156=0,0,"'"&amp;装备!J156&amp;"'")</f>
        <v>0</v>
      </c>
      <c r="J231" s="19">
        <f>IF(装备!K156=0,0,"'"&amp;装备!K156&amp;"'")</f>
        <v>0</v>
      </c>
      <c r="K231" s="19">
        <f>IF(装备!L156=0,0,"'"&amp;装备!L156&amp;"'")</f>
        <v>0</v>
      </c>
      <c r="L231" s="19">
        <f>IF(装备!M156=0,0,"'"&amp;装备!M156&amp;"'")</f>
        <v>0</v>
      </c>
      <c r="M231" s="19">
        <f>IF(装备!N156=0,0,"'"&amp;装备!N156&amp;"'")</f>
        <v>0</v>
      </c>
      <c r="N231" s="19">
        <f>IF(装备!O156=0,0,"'"&amp;装备!O156&amp;"'")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装备!A157</f>
        <v>0</v>
      </c>
      <c r="B232" s="19" t="str">
        <f>"'"&amp;装备!B157&amp;"'"</f>
        <v>''</v>
      </c>
      <c r="C232" s="19">
        <f>装备!J157</f>
        <v>0</v>
      </c>
      <c r="D232" s="19">
        <f>装备!K157</f>
        <v>0</v>
      </c>
      <c r="E232" s="19">
        <f>装备!L157</f>
        <v>0</v>
      </c>
      <c r="F232" s="19">
        <f>装备!M157</f>
        <v>0</v>
      </c>
      <c r="G232" s="19">
        <f>装备!N157</f>
        <v>0</v>
      </c>
      <c r="H232" s="19">
        <f>装备!O157</f>
        <v>0</v>
      </c>
      <c r="I232" s="19">
        <f>IF(装备!J157=0,0,"'"&amp;装备!J157&amp;"'")</f>
        <v>0</v>
      </c>
      <c r="J232" s="19">
        <f>IF(装备!K157=0,0,"'"&amp;装备!K157&amp;"'")</f>
        <v>0</v>
      </c>
      <c r="K232" s="19">
        <f>IF(装备!L157=0,0,"'"&amp;装备!L157&amp;"'")</f>
        <v>0</v>
      </c>
      <c r="L232" s="19">
        <f>IF(装备!M157=0,0,"'"&amp;装备!M157&amp;"'")</f>
        <v>0</v>
      </c>
      <c r="M232" s="19">
        <f>IF(装备!N157=0,0,"'"&amp;装备!N157&amp;"'")</f>
        <v>0</v>
      </c>
      <c r="N232" s="19">
        <f>IF(装备!O157=0,0,"'"&amp;装备!O157&amp;"'")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装备!A158</f>
        <v>0</v>
      </c>
      <c r="B233" s="19" t="str">
        <f>"'"&amp;装备!B158&amp;"'"</f>
        <v>''</v>
      </c>
      <c r="C233" s="19">
        <f>装备!J158</f>
        <v>0</v>
      </c>
      <c r="D233" s="19">
        <f>装备!K158</f>
        <v>0</v>
      </c>
      <c r="E233" s="19">
        <f>装备!L158</f>
        <v>0</v>
      </c>
      <c r="F233" s="19">
        <f>装备!M158</f>
        <v>0</v>
      </c>
      <c r="G233" s="19">
        <f>装备!N158</f>
        <v>0</v>
      </c>
      <c r="H233" s="19">
        <f>装备!O158</f>
        <v>0</v>
      </c>
      <c r="I233" s="19">
        <f>IF(装备!J158=0,0,"'"&amp;装备!J158&amp;"'")</f>
        <v>0</v>
      </c>
      <c r="J233" s="19">
        <f>IF(装备!K158=0,0,"'"&amp;装备!K158&amp;"'")</f>
        <v>0</v>
      </c>
      <c r="K233" s="19">
        <f>IF(装备!L158=0,0,"'"&amp;装备!L158&amp;"'")</f>
        <v>0</v>
      </c>
      <c r="L233" s="19">
        <f>IF(装备!M158=0,0,"'"&amp;装备!M158&amp;"'")</f>
        <v>0</v>
      </c>
      <c r="M233" s="19">
        <f>IF(装备!N158=0,0,"'"&amp;装备!N158&amp;"'")</f>
        <v>0</v>
      </c>
      <c r="N233" s="19">
        <f>IF(装备!O158=0,0,"'"&amp;装备!O158&amp;"'")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装备!A159</f>
        <v>0</v>
      </c>
      <c r="B234" s="19" t="str">
        <f>"'"&amp;装备!B159&amp;"'"</f>
        <v>''</v>
      </c>
      <c r="C234" s="19">
        <f>装备!J159</f>
        <v>0</v>
      </c>
      <c r="D234" s="19">
        <f>装备!K159</f>
        <v>0</v>
      </c>
      <c r="E234" s="19">
        <f>装备!L159</f>
        <v>0</v>
      </c>
      <c r="F234" s="19">
        <f>装备!M159</f>
        <v>0</v>
      </c>
      <c r="G234" s="19">
        <f>装备!N159</f>
        <v>0</v>
      </c>
      <c r="H234" s="19">
        <f>装备!O159</f>
        <v>0</v>
      </c>
      <c r="I234" s="19">
        <f>IF(装备!J159=0,0,"'"&amp;装备!J159&amp;"'")</f>
        <v>0</v>
      </c>
      <c r="J234" s="19">
        <f>IF(装备!K159=0,0,"'"&amp;装备!K159&amp;"'")</f>
        <v>0</v>
      </c>
      <c r="K234" s="19">
        <f>IF(装备!L159=0,0,"'"&amp;装备!L159&amp;"'")</f>
        <v>0</v>
      </c>
      <c r="L234" s="19">
        <f>IF(装备!M159=0,0,"'"&amp;装备!M159&amp;"'")</f>
        <v>0</v>
      </c>
      <c r="M234" s="19">
        <f>IF(装备!N159=0,0,"'"&amp;装备!N159&amp;"'")</f>
        <v>0</v>
      </c>
      <c r="N234" s="19">
        <f>IF(装备!O159=0,0,"'"&amp;装备!O159&amp;"'")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装备!A160</f>
        <v>0</v>
      </c>
      <c r="B235" s="19" t="str">
        <f>"'"&amp;装备!B160&amp;"'"</f>
        <v>''</v>
      </c>
      <c r="C235" s="19">
        <f>装备!J160</f>
        <v>0</v>
      </c>
      <c r="D235" s="19">
        <f>装备!K160</f>
        <v>0</v>
      </c>
      <c r="E235" s="19">
        <f>装备!L160</f>
        <v>0</v>
      </c>
      <c r="F235" s="19">
        <f>装备!M160</f>
        <v>0</v>
      </c>
      <c r="G235" s="19">
        <f>装备!N160</f>
        <v>0</v>
      </c>
      <c r="H235" s="19">
        <f>装备!O160</f>
        <v>0</v>
      </c>
      <c r="I235" s="19">
        <f>IF(装备!J160=0,0,"'"&amp;装备!J160&amp;"'")</f>
        <v>0</v>
      </c>
      <c r="J235" s="19">
        <f>IF(装备!K160=0,0,"'"&amp;装备!K160&amp;"'")</f>
        <v>0</v>
      </c>
      <c r="K235" s="19">
        <f>IF(装备!L160=0,0,"'"&amp;装备!L160&amp;"'")</f>
        <v>0</v>
      </c>
      <c r="L235" s="19">
        <f>IF(装备!M160=0,0,"'"&amp;装备!M160&amp;"'")</f>
        <v>0</v>
      </c>
      <c r="M235" s="19">
        <f>IF(装备!N160=0,0,"'"&amp;装备!N160&amp;"'")</f>
        <v>0</v>
      </c>
      <c r="N235" s="19">
        <f>IF(装备!O160=0,0,"'"&amp;装备!O160&amp;"'")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装备!A161</f>
        <v>0</v>
      </c>
      <c r="B236" s="19" t="str">
        <f>"'"&amp;装备!B161&amp;"'"</f>
        <v>''</v>
      </c>
      <c r="C236" s="19">
        <f>装备!J161</f>
        <v>0</v>
      </c>
      <c r="D236" s="19">
        <f>装备!K161</f>
        <v>0</v>
      </c>
      <c r="E236" s="19">
        <f>装备!L161</f>
        <v>0</v>
      </c>
      <c r="F236" s="19">
        <f>装备!M161</f>
        <v>0</v>
      </c>
      <c r="G236" s="19">
        <f>装备!N161</f>
        <v>0</v>
      </c>
      <c r="H236" s="19">
        <f>装备!O161</f>
        <v>0</v>
      </c>
      <c r="I236" s="19">
        <f>IF(装备!J161=0,0,"'"&amp;装备!J161&amp;"'")</f>
        <v>0</v>
      </c>
      <c r="J236" s="19">
        <f>IF(装备!K161=0,0,"'"&amp;装备!K161&amp;"'")</f>
        <v>0</v>
      </c>
      <c r="K236" s="19">
        <f>IF(装备!L161=0,0,"'"&amp;装备!L161&amp;"'")</f>
        <v>0</v>
      </c>
      <c r="L236" s="19">
        <f>IF(装备!M161=0,0,"'"&amp;装备!M161&amp;"'")</f>
        <v>0</v>
      </c>
      <c r="M236" s="19">
        <f>IF(装备!N161=0,0,"'"&amp;装备!N161&amp;"'")</f>
        <v>0</v>
      </c>
      <c r="N236" s="19">
        <f>IF(装备!O161=0,0,"'"&amp;装备!O161&amp;"'")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装备!A162</f>
        <v>0</v>
      </c>
      <c r="B237" s="19" t="str">
        <f>"'"&amp;装备!B162&amp;"'"</f>
        <v>''</v>
      </c>
      <c r="C237" s="19">
        <f>装备!J162</f>
        <v>0</v>
      </c>
      <c r="D237" s="19">
        <f>装备!K162</f>
        <v>0</v>
      </c>
      <c r="E237" s="19">
        <f>装备!L162</f>
        <v>0</v>
      </c>
      <c r="F237" s="19">
        <f>装备!M162</f>
        <v>0</v>
      </c>
      <c r="G237" s="19">
        <f>装备!N162</f>
        <v>0</v>
      </c>
      <c r="H237" s="19">
        <f>装备!O162</f>
        <v>0</v>
      </c>
      <c r="I237" s="19">
        <f>IF(装备!J162=0,0,"'"&amp;装备!J162&amp;"'")</f>
        <v>0</v>
      </c>
      <c r="J237" s="19">
        <f>IF(装备!K162=0,0,"'"&amp;装备!K162&amp;"'")</f>
        <v>0</v>
      </c>
      <c r="K237" s="19">
        <f>IF(装备!L162=0,0,"'"&amp;装备!L162&amp;"'")</f>
        <v>0</v>
      </c>
      <c r="L237" s="19">
        <f>IF(装备!M162=0,0,"'"&amp;装备!M162&amp;"'")</f>
        <v>0</v>
      </c>
      <c r="M237" s="19">
        <f>IF(装备!N162=0,0,"'"&amp;装备!N162&amp;"'")</f>
        <v>0</v>
      </c>
      <c r="N237" s="19">
        <f>IF(装备!O162=0,0,"'"&amp;装备!O162&amp;"'")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装备!A163</f>
        <v>0</v>
      </c>
      <c r="B238" s="19" t="str">
        <f>"'"&amp;装备!B163&amp;"'"</f>
        <v>''</v>
      </c>
      <c r="C238" s="19">
        <f>装备!J163</f>
        <v>0</v>
      </c>
      <c r="D238" s="19">
        <f>装备!K163</f>
        <v>0</v>
      </c>
      <c r="E238" s="19">
        <f>装备!L163</f>
        <v>0</v>
      </c>
      <c r="F238" s="19">
        <f>装备!M163</f>
        <v>0</v>
      </c>
      <c r="G238" s="19">
        <f>装备!N163</f>
        <v>0</v>
      </c>
      <c r="H238" s="19">
        <f>装备!O163</f>
        <v>0</v>
      </c>
      <c r="I238" s="19">
        <f>IF(装备!J163=0,0,"'"&amp;装备!J163&amp;"'")</f>
        <v>0</v>
      </c>
      <c r="J238" s="19">
        <f>IF(装备!K163=0,0,"'"&amp;装备!K163&amp;"'")</f>
        <v>0</v>
      </c>
      <c r="K238" s="19">
        <f>IF(装备!L163=0,0,"'"&amp;装备!L163&amp;"'")</f>
        <v>0</v>
      </c>
      <c r="L238" s="19">
        <f>IF(装备!M163=0,0,"'"&amp;装备!M163&amp;"'")</f>
        <v>0</v>
      </c>
      <c r="M238" s="19">
        <f>IF(装备!N163=0,0,"'"&amp;装备!N163&amp;"'")</f>
        <v>0</v>
      </c>
      <c r="N238" s="19">
        <f>IF(装备!O163=0,0,"'"&amp;装备!O163&amp;"'")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装备!A164</f>
        <v>0</v>
      </c>
      <c r="B239" s="19" t="str">
        <f>"'"&amp;装备!B164&amp;"'"</f>
        <v>''</v>
      </c>
      <c r="C239" s="19">
        <f>装备!J164</f>
        <v>0</v>
      </c>
      <c r="D239" s="19">
        <f>装备!K164</f>
        <v>0</v>
      </c>
      <c r="E239" s="19">
        <f>装备!L164</f>
        <v>0</v>
      </c>
      <c r="F239" s="19">
        <f>装备!M164</f>
        <v>0</v>
      </c>
      <c r="G239" s="19">
        <f>装备!N164</f>
        <v>0</v>
      </c>
      <c r="H239" s="19">
        <f>装备!O164</f>
        <v>0</v>
      </c>
      <c r="I239" s="19">
        <f>IF(装备!J164=0,0,"'"&amp;装备!J164&amp;"'")</f>
        <v>0</v>
      </c>
      <c r="J239" s="19">
        <f>IF(装备!K164=0,0,"'"&amp;装备!K164&amp;"'")</f>
        <v>0</v>
      </c>
      <c r="K239" s="19">
        <f>IF(装备!L164=0,0,"'"&amp;装备!L164&amp;"'")</f>
        <v>0</v>
      </c>
      <c r="L239" s="19">
        <f>IF(装备!M164=0,0,"'"&amp;装备!M164&amp;"'")</f>
        <v>0</v>
      </c>
      <c r="M239" s="19">
        <f>IF(装备!N164=0,0,"'"&amp;装备!N164&amp;"'")</f>
        <v>0</v>
      </c>
      <c r="N239" s="19">
        <f>IF(装备!O164=0,0,"'"&amp;装备!O164&amp;"'")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装备!A165</f>
        <v>0</v>
      </c>
      <c r="B240" s="19" t="str">
        <f>"'"&amp;装备!B165&amp;"'"</f>
        <v>''</v>
      </c>
      <c r="C240" s="19">
        <f>装备!J165</f>
        <v>0</v>
      </c>
      <c r="D240" s="19">
        <f>装备!K165</f>
        <v>0</v>
      </c>
      <c r="E240" s="19">
        <f>装备!L165</f>
        <v>0</v>
      </c>
      <c r="F240" s="19">
        <f>装备!M165</f>
        <v>0</v>
      </c>
      <c r="G240" s="19">
        <f>装备!N165</f>
        <v>0</v>
      </c>
      <c r="H240" s="19">
        <f>装备!O165</f>
        <v>0</v>
      </c>
      <c r="I240" s="19">
        <f>IF(装备!J165=0,0,"'"&amp;装备!J165&amp;"'")</f>
        <v>0</v>
      </c>
      <c r="J240" s="19">
        <f>IF(装备!K165=0,0,"'"&amp;装备!K165&amp;"'")</f>
        <v>0</v>
      </c>
      <c r="K240" s="19">
        <f>IF(装备!L165=0,0,"'"&amp;装备!L165&amp;"'")</f>
        <v>0</v>
      </c>
      <c r="L240" s="19">
        <f>IF(装备!M165=0,0,"'"&amp;装备!M165&amp;"'")</f>
        <v>0</v>
      </c>
      <c r="M240" s="19">
        <f>IF(装备!N165=0,0,"'"&amp;装备!N165&amp;"'")</f>
        <v>0</v>
      </c>
      <c r="N240" s="19">
        <f>IF(装备!O165=0,0,"'"&amp;装备!O165&amp;"'")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装备!A166</f>
        <v>0</v>
      </c>
      <c r="B241" s="19" t="str">
        <f>"'"&amp;装备!B166&amp;"'"</f>
        <v>''</v>
      </c>
      <c r="C241" s="19">
        <f>装备!J166</f>
        <v>0</v>
      </c>
      <c r="D241" s="19">
        <f>装备!K166</f>
        <v>0</v>
      </c>
      <c r="E241" s="19">
        <f>装备!L166</f>
        <v>0</v>
      </c>
      <c r="F241" s="19">
        <f>装备!M166</f>
        <v>0</v>
      </c>
      <c r="G241" s="19">
        <f>装备!N166</f>
        <v>0</v>
      </c>
      <c r="H241" s="19">
        <f>装备!O166</f>
        <v>0</v>
      </c>
      <c r="I241" s="19">
        <f>IF(装备!J166=0,0,"'"&amp;装备!J166&amp;"'")</f>
        <v>0</v>
      </c>
      <c r="J241" s="19">
        <f>IF(装备!K166=0,0,"'"&amp;装备!K166&amp;"'")</f>
        <v>0</v>
      </c>
      <c r="K241" s="19">
        <f>IF(装备!L166=0,0,"'"&amp;装备!L166&amp;"'")</f>
        <v>0</v>
      </c>
      <c r="L241" s="19">
        <f>IF(装备!M166=0,0,"'"&amp;装备!M166&amp;"'")</f>
        <v>0</v>
      </c>
      <c r="M241" s="19">
        <f>IF(装备!N166=0,0,"'"&amp;装备!N166&amp;"'")</f>
        <v>0</v>
      </c>
      <c r="N241" s="19">
        <f>IF(装备!O166=0,0,"'"&amp;装备!O166&amp;"'")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装备!A167</f>
        <v>0</v>
      </c>
      <c r="B242" s="19" t="str">
        <f>"'"&amp;装备!B167&amp;"'"</f>
        <v>''</v>
      </c>
      <c r="C242" s="19">
        <f>装备!J167</f>
        <v>0</v>
      </c>
      <c r="D242" s="19">
        <f>装备!K167</f>
        <v>0</v>
      </c>
      <c r="E242" s="19">
        <f>装备!L167</f>
        <v>0</v>
      </c>
      <c r="F242" s="19">
        <f>装备!M167</f>
        <v>0</v>
      </c>
      <c r="G242" s="19">
        <f>装备!N167</f>
        <v>0</v>
      </c>
      <c r="H242" s="19">
        <f>装备!O167</f>
        <v>0</v>
      </c>
      <c r="I242" s="19">
        <f>IF(装备!J167=0,0,"'"&amp;装备!J167&amp;"'")</f>
        <v>0</v>
      </c>
      <c r="J242" s="19">
        <f>IF(装备!K167=0,0,"'"&amp;装备!K167&amp;"'")</f>
        <v>0</v>
      </c>
      <c r="K242" s="19">
        <f>IF(装备!L167=0,0,"'"&amp;装备!L167&amp;"'")</f>
        <v>0</v>
      </c>
      <c r="L242" s="19">
        <f>IF(装备!M167=0,0,"'"&amp;装备!M167&amp;"'")</f>
        <v>0</v>
      </c>
      <c r="M242" s="19">
        <f>IF(装备!N167=0,0,"'"&amp;装备!N167&amp;"'")</f>
        <v>0</v>
      </c>
      <c r="N242" s="19">
        <f>IF(装备!O167=0,0,"'"&amp;装备!O167&amp;"'")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装备!A168</f>
        <v>0</v>
      </c>
      <c r="B243" s="19" t="str">
        <f>"'"&amp;装备!B168&amp;"'"</f>
        <v>''</v>
      </c>
      <c r="C243" s="19">
        <f>装备!J168</f>
        <v>0</v>
      </c>
      <c r="D243" s="19">
        <f>装备!K168</f>
        <v>0</v>
      </c>
      <c r="E243" s="19">
        <f>装备!L168</f>
        <v>0</v>
      </c>
      <c r="F243" s="19">
        <f>装备!M168</f>
        <v>0</v>
      </c>
      <c r="G243" s="19">
        <f>装备!N168</f>
        <v>0</v>
      </c>
      <c r="H243" s="19">
        <f>装备!O168</f>
        <v>0</v>
      </c>
      <c r="I243" s="19">
        <f>IF(装备!J168=0,0,"'"&amp;装备!J168&amp;"'")</f>
        <v>0</v>
      </c>
      <c r="J243" s="19">
        <f>IF(装备!K168=0,0,"'"&amp;装备!K168&amp;"'")</f>
        <v>0</v>
      </c>
      <c r="K243" s="19">
        <f>IF(装备!L168=0,0,"'"&amp;装备!L168&amp;"'")</f>
        <v>0</v>
      </c>
      <c r="L243" s="19">
        <f>IF(装备!M168=0,0,"'"&amp;装备!M168&amp;"'")</f>
        <v>0</v>
      </c>
      <c r="M243" s="19">
        <f>IF(装备!N168=0,0,"'"&amp;装备!N168&amp;"'")</f>
        <v>0</v>
      </c>
      <c r="N243" s="19">
        <f>IF(装备!O168=0,0,"'"&amp;装备!O168&amp;"'")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装备!A169</f>
        <v>0</v>
      </c>
      <c r="B244" s="19" t="str">
        <f>"'"&amp;装备!B169&amp;"'"</f>
        <v>''</v>
      </c>
      <c r="C244" s="19">
        <f>装备!J169</f>
        <v>0</v>
      </c>
      <c r="D244" s="19">
        <f>装备!K169</f>
        <v>0</v>
      </c>
      <c r="E244" s="19">
        <f>装备!L169</f>
        <v>0</v>
      </c>
      <c r="F244" s="19">
        <f>装备!M169</f>
        <v>0</v>
      </c>
      <c r="G244" s="19">
        <f>装备!N169</f>
        <v>0</v>
      </c>
      <c r="H244" s="19">
        <f>装备!O169</f>
        <v>0</v>
      </c>
      <c r="I244" s="19">
        <f>IF(装备!J169=0,0,"'"&amp;装备!J169&amp;"'")</f>
        <v>0</v>
      </c>
      <c r="J244" s="19">
        <f>IF(装备!K169=0,0,"'"&amp;装备!K169&amp;"'")</f>
        <v>0</v>
      </c>
      <c r="K244" s="19">
        <f>IF(装备!L169=0,0,"'"&amp;装备!L169&amp;"'")</f>
        <v>0</v>
      </c>
      <c r="L244" s="19">
        <f>IF(装备!M169=0,0,"'"&amp;装备!M169&amp;"'")</f>
        <v>0</v>
      </c>
      <c r="M244" s="19">
        <f>IF(装备!N169=0,0,"'"&amp;装备!N169&amp;"'")</f>
        <v>0</v>
      </c>
      <c r="N244" s="19">
        <f>IF(装备!O169=0,0,"'"&amp;装备!O169&amp;"'")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装备!A170</f>
        <v>0</v>
      </c>
      <c r="B245" s="19" t="str">
        <f>"'"&amp;装备!B170&amp;"'"</f>
        <v>''</v>
      </c>
      <c r="C245" s="19">
        <f>装备!J170</f>
        <v>0</v>
      </c>
      <c r="D245" s="19">
        <f>装备!K170</f>
        <v>0</v>
      </c>
      <c r="E245" s="19">
        <f>装备!L170</f>
        <v>0</v>
      </c>
      <c r="F245" s="19">
        <f>装备!M170</f>
        <v>0</v>
      </c>
      <c r="G245" s="19">
        <f>装备!N170</f>
        <v>0</v>
      </c>
      <c r="H245" s="19">
        <f>装备!O170</f>
        <v>0</v>
      </c>
      <c r="I245" s="19">
        <f>IF(装备!J170=0,0,"'"&amp;装备!J170&amp;"'")</f>
        <v>0</v>
      </c>
      <c r="J245" s="19">
        <f>IF(装备!K170=0,0,"'"&amp;装备!K170&amp;"'")</f>
        <v>0</v>
      </c>
      <c r="K245" s="19">
        <f>IF(装备!L170=0,0,"'"&amp;装备!L170&amp;"'")</f>
        <v>0</v>
      </c>
      <c r="L245" s="19">
        <f>IF(装备!M170=0,0,"'"&amp;装备!M170&amp;"'")</f>
        <v>0</v>
      </c>
      <c r="M245" s="19">
        <f>IF(装备!N170=0,0,"'"&amp;装备!N170&amp;"'")</f>
        <v>0</v>
      </c>
      <c r="N245" s="19">
        <f>IF(装备!O170=0,0,"'"&amp;装备!O170&amp;"'")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装备!A171</f>
        <v>0</v>
      </c>
      <c r="B246" s="19" t="str">
        <f>"'"&amp;装备!B171&amp;"'"</f>
        <v>''</v>
      </c>
      <c r="C246" s="19">
        <f>装备!J171</f>
        <v>0</v>
      </c>
      <c r="D246" s="19">
        <f>装备!K171</f>
        <v>0</v>
      </c>
      <c r="E246" s="19">
        <f>装备!L171</f>
        <v>0</v>
      </c>
      <c r="F246" s="19">
        <f>装备!M171</f>
        <v>0</v>
      </c>
      <c r="G246" s="19">
        <f>装备!N171</f>
        <v>0</v>
      </c>
      <c r="H246" s="19">
        <f>装备!O171</f>
        <v>0</v>
      </c>
      <c r="I246" s="19">
        <f>IF(装备!J171=0,0,"'"&amp;装备!J171&amp;"'")</f>
        <v>0</v>
      </c>
      <c r="J246" s="19">
        <f>IF(装备!K171=0,0,"'"&amp;装备!K171&amp;"'")</f>
        <v>0</v>
      </c>
      <c r="K246" s="19">
        <f>IF(装备!L171=0,0,"'"&amp;装备!L171&amp;"'")</f>
        <v>0</v>
      </c>
      <c r="L246" s="19">
        <f>IF(装备!M171=0,0,"'"&amp;装备!M171&amp;"'")</f>
        <v>0</v>
      </c>
      <c r="M246" s="19">
        <f>IF(装备!N171=0,0,"'"&amp;装备!N171&amp;"'")</f>
        <v>0</v>
      </c>
      <c r="N246" s="19">
        <f>IF(装备!O171=0,0,"'"&amp;装备!O171&amp;"'")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装备!A172</f>
        <v>0</v>
      </c>
      <c r="B247" s="19" t="str">
        <f>"'"&amp;装备!B172&amp;"'"</f>
        <v>''</v>
      </c>
      <c r="C247" s="19">
        <f>装备!J172</f>
        <v>0</v>
      </c>
      <c r="D247" s="19">
        <f>装备!K172</f>
        <v>0</v>
      </c>
      <c r="E247" s="19">
        <f>装备!L172</f>
        <v>0</v>
      </c>
      <c r="F247" s="19">
        <f>装备!M172</f>
        <v>0</v>
      </c>
      <c r="G247" s="19">
        <f>装备!N172</f>
        <v>0</v>
      </c>
      <c r="H247" s="19">
        <f>装备!O172</f>
        <v>0</v>
      </c>
      <c r="I247" s="19">
        <f>IF(装备!J172=0,0,"'"&amp;装备!J172&amp;"'")</f>
        <v>0</v>
      </c>
      <c r="J247" s="19">
        <f>IF(装备!K172=0,0,"'"&amp;装备!K172&amp;"'")</f>
        <v>0</v>
      </c>
      <c r="K247" s="19">
        <f>IF(装备!L172=0,0,"'"&amp;装备!L172&amp;"'")</f>
        <v>0</v>
      </c>
      <c r="L247" s="19">
        <f>IF(装备!M172=0,0,"'"&amp;装备!M172&amp;"'")</f>
        <v>0</v>
      </c>
      <c r="M247" s="19">
        <f>IF(装备!N172=0,0,"'"&amp;装备!N172&amp;"'")</f>
        <v>0</v>
      </c>
      <c r="N247" s="19">
        <f>IF(装备!O172=0,0,"'"&amp;装备!O172&amp;"'")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装备!A173</f>
        <v>0</v>
      </c>
      <c r="B248" s="19" t="str">
        <f>"'"&amp;装备!B173&amp;"'"</f>
        <v>''</v>
      </c>
      <c r="C248" s="19">
        <f>装备!J173</f>
        <v>0</v>
      </c>
      <c r="D248" s="19">
        <f>装备!K173</f>
        <v>0</v>
      </c>
      <c r="E248" s="19">
        <f>装备!L173</f>
        <v>0</v>
      </c>
      <c r="F248" s="19">
        <f>装备!M173</f>
        <v>0</v>
      </c>
      <c r="G248" s="19">
        <f>装备!N173</f>
        <v>0</v>
      </c>
      <c r="H248" s="19">
        <f>装备!O173</f>
        <v>0</v>
      </c>
      <c r="I248" s="19">
        <f>IF(装备!J173=0,0,"'"&amp;装备!J173&amp;"'")</f>
        <v>0</v>
      </c>
      <c r="J248" s="19">
        <f>IF(装备!K173=0,0,"'"&amp;装备!K173&amp;"'")</f>
        <v>0</v>
      </c>
      <c r="K248" s="19">
        <f>IF(装备!L173=0,0,"'"&amp;装备!L173&amp;"'")</f>
        <v>0</v>
      </c>
      <c r="L248" s="19">
        <f>IF(装备!M173=0,0,"'"&amp;装备!M173&amp;"'")</f>
        <v>0</v>
      </c>
      <c r="M248" s="19">
        <f>IF(装备!N173=0,0,"'"&amp;装备!N173&amp;"'")</f>
        <v>0</v>
      </c>
      <c r="N248" s="19">
        <f>IF(装备!O173=0,0,"'"&amp;装备!O173&amp;"'")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装备!A174</f>
        <v>0</v>
      </c>
      <c r="B249" s="19" t="str">
        <f>"'"&amp;装备!B174&amp;"'"</f>
        <v>''</v>
      </c>
      <c r="C249" s="19">
        <f>装备!J174</f>
        <v>0</v>
      </c>
      <c r="D249" s="19">
        <f>装备!K174</f>
        <v>0</v>
      </c>
      <c r="E249" s="19">
        <f>装备!L174</f>
        <v>0</v>
      </c>
      <c r="F249" s="19">
        <f>装备!M174</f>
        <v>0</v>
      </c>
      <c r="G249" s="19">
        <f>装备!N174</f>
        <v>0</v>
      </c>
      <c r="H249" s="19">
        <f>装备!O174</f>
        <v>0</v>
      </c>
      <c r="I249" s="19">
        <f>IF(装备!J174=0,0,"'"&amp;装备!J174&amp;"'")</f>
        <v>0</v>
      </c>
      <c r="J249" s="19">
        <f>IF(装备!K174=0,0,"'"&amp;装备!K174&amp;"'")</f>
        <v>0</v>
      </c>
      <c r="K249" s="19">
        <f>IF(装备!L174=0,0,"'"&amp;装备!L174&amp;"'")</f>
        <v>0</v>
      </c>
      <c r="L249" s="19">
        <f>IF(装备!M174=0,0,"'"&amp;装备!M174&amp;"'")</f>
        <v>0</v>
      </c>
      <c r="M249" s="19">
        <f>IF(装备!N174=0,0,"'"&amp;装备!N174&amp;"'")</f>
        <v>0</v>
      </c>
      <c r="N249" s="19">
        <f>IF(装备!O174=0,0,"'"&amp;装备!O174&amp;"'")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装备!A175</f>
        <v>0</v>
      </c>
      <c r="B250" s="19" t="str">
        <f>"'"&amp;装备!B175&amp;"'"</f>
        <v>''</v>
      </c>
      <c r="C250" s="19">
        <f>装备!J175</f>
        <v>0</v>
      </c>
      <c r="D250" s="19">
        <f>装备!K175</f>
        <v>0</v>
      </c>
      <c r="E250" s="19">
        <f>装备!L175</f>
        <v>0</v>
      </c>
      <c r="F250" s="19">
        <f>装备!M175</f>
        <v>0</v>
      </c>
      <c r="G250" s="19">
        <f>装备!N175</f>
        <v>0</v>
      </c>
      <c r="H250" s="19">
        <f>装备!O175</f>
        <v>0</v>
      </c>
      <c r="I250" s="19">
        <f>IF(装备!J175=0,0,"'"&amp;装备!J175&amp;"'")</f>
        <v>0</v>
      </c>
      <c r="J250" s="19">
        <f>IF(装备!K175=0,0,"'"&amp;装备!K175&amp;"'")</f>
        <v>0</v>
      </c>
      <c r="K250" s="19">
        <f>IF(装备!L175=0,0,"'"&amp;装备!L175&amp;"'")</f>
        <v>0</v>
      </c>
      <c r="L250" s="19">
        <f>IF(装备!M175=0,0,"'"&amp;装备!M175&amp;"'")</f>
        <v>0</v>
      </c>
      <c r="M250" s="19">
        <f>IF(装备!N175=0,0,"'"&amp;装备!N175&amp;"'")</f>
        <v>0</v>
      </c>
      <c r="N250" s="19">
        <f>IF(装备!O175=0,0,"'"&amp;装备!O175&amp;"'")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装备!A176</f>
        <v>0</v>
      </c>
      <c r="B251" s="19" t="str">
        <f>"'"&amp;装备!B176&amp;"'"</f>
        <v>''</v>
      </c>
      <c r="C251" s="19">
        <f>装备!J176</f>
        <v>0</v>
      </c>
      <c r="D251" s="19">
        <f>装备!K176</f>
        <v>0</v>
      </c>
      <c r="E251" s="19">
        <f>装备!L176</f>
        <v>0</v>
      </c>
      <c r="F251" s="19">
        <f>装备!M176</f>
        <v>0</v>
      </c>
      <c r="G251" s="19">
        <f>装备!N176</f>
        <v>0</v>
      </c>
      <c r="H251" s="19">
        <f>装备!O176</f>
        <v>0</v>
      </c>
      <c r="I251" s="19">
        <f>IF(装备!J176=0,0,"'"&amp;装备!J176&amp;"'")</f>
        <v>0</v>
      </c>
      <c r="J251" s="19">
        <f>IF(装备!K176=0,0,"'"&amp;装备!K176&amp;"'")</f>
        <v>0</v>
      </c>
      <c r="K251" s="19">
        <f>IF(装备!L176=0,0,"'"&amp;装备!L176&amp;"'")</f>
        <v>0</v>
      </c>
      <c r="L251" s="19">
        <f>IF(装备!M176=0,0,"'"&amp;装备!M176&amp;"'")</f>
        <v>0</v>
      </c>
      <c r="M251" s="19">
        <f>IF(装备!N176=0,0,"'"&amp;装备!N176&amp;"'")</f>
        <v>0</v>
      </c>
      <c r="N251" s="19">
        <f>IF(装备!O176=0,0,"'"&amp;装备!O176&amp;"'")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装备!A177</f>
        <v>0</v>
      </c>
      <c r="B252" s="19" t="str">
        <f>"'"&amp;装备!B177&amp;"'"</f>
        <v>''</v>
      </c>
      <c r="C252" s="19">
        <f>装备!J177</f>
        <v>0</v>
      </c>
      <c r="D252" s="19">
        <f>装备!K177</f>
        <v>0</v>
      </c>
      <c r="E252" s="19">
        <f>装备!L177</f>
        <v>0</v>
      </c>
      <c r="F252" s="19">
        <f>装备!M177</f>
        <v>0</v>
      </c>
      <c r="G252" s="19">
        <f>装备!N177</f>
        <v>0</v>
      </c>
      <c r="H252" s="19">
        <f>装备!O177</f>
        <v>0</v>
      </c>
      <c r="I252" s="19">
        <f>IF(装备!J177=0,0,"'"&amp;装备!J177&amp;"'")</f>
        <v>0</v>
      </c>
      <c r="J252" s="19">
        <f>IF(装备!K177=0,0,"'"&amp;装备!K177&amp;"'")</f>
        <v>0</v>
      </c>
      <c r="K252" s="19">
        <f>IF(装备!L177=0,0,"'"&amp;装备!L177&amp;"'")</f>
        <v>0</v>
      </c>
      <c r="L252" s="19">
        <f>IF(装备!M177=0,0,"'"&amp;装备!M177&amp;"'")</f>
        <v>0</v>
      </c>
      <c r="M252" s="19">
        <f>IF(装备!N177=0,0,"'"&amp;装备!N177&amp;"'")</f>
        <v>0</v>
      </c>
      <c r="N252" s="19">
        <f>IF(装备!O177=0,0,"'"&amp;装备!O177&amp;"'")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装备!A178</f>
        <v>0</v>
      </c>
      <c r="B253" s="19" t="str">
        <f>"'"&amp;装备!B178&amp;"'"</f>
        <v>''</v>
      </c>
      <c r="C253" s="19">
        <f>装备!J178</f>
        <v>0</v>
      </c>
      <c r="D253" s="19">
        <f>装备!K178</f>
        <v>0</v>
      </c>
      <c r="E253" s="19">
        <f>装备!L178</f>
        <v>0</v>
      </c>
      <c r="F253" s="19">
        <f>装备!M178</f>
        <v>0</v>
      </c>
      <c r="G253" s="19">
        <f>装备!N178</f>
        <v>0</v>
      </c>
      <c r="H253" s="19">
        <f>装备!O178</f>
        <v>0</v>
      </c>
      <c r="I253" s="19">
        <f>IF(装备!J178=0,0,"'"&amp;装备!J178&amp;"'")</f>
        <v>0</v>
      </c>
      <c r="J253" s="19">
        <f>IF(装备!K178=0,0,"'"&amp;装备!K178&amp;"'")</f>
        <v>0</v>
      </c>
      <c r="K253" s="19">
        <f>IF(装备!L178=0,0,"'"&amp;装备!L178&amp;"'")</f>
        <v>0</v>
      </c>
      <c r="L253" s="19">
        <f>IF(装备!M178=0,0,"'"&amp;装备!M178&amp;"'")</f>
        <v>0</v>
      </c>
      <c r="M253" s="19">
        <f>IF(装备!N178=0,0,"'"&amp;装备!N178&amp;"'")</f>
        <v>0</v>
      </c>
      <c r="N253" s="19">
        <f>IF(装备!O178=0,0,"'"&amp;装备!O178&amp;"'")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装备!A179</f>
        <v>0</v>
      </c>
      <c r="B254" s="19" t="str">
        <f>"'"&amp;装备!B179&amp;"'"</f>
        <v>''</v>
      </c>
      <c r="C254" s="19">
        <f>装备!J179</f>
        <v>0</v>
      </c>
      <c r="D254" s="19">
        <f>装备!K179</f>
        <v>0</v>
      </c>
      <c r="E254" s="19">
        <f>装备!L179</f>
        <v>0</v>
      </c>
      <c r="F254" s="19">
        <f>装备!M179</f>
        <v>0</v>
      </c>
      <c r="G254" s="19">
        <f>装备!N179</f>
        <v>0</v>
      </c>
      <c r="H254" s="19">
        <f>装备!O179</f>
        <v>0</v>
      </c>
      <c r="I254" s="19">
        <f>IF(装备!J179=0,0,"'"&amp;装备!J179&amp;"'")</f>
        <v>0</v>
      </c>
      <c r="J254" s="19">
        <f>IF(装备!K179=0,0,"'"&amp;装备!K179&amp;"'")</f>
        <v>0</v>
      </c>
      <c r="K254" s="19">
        <f>IF(装备!L179=0,0,"'"&amp;装备!L179&amp;"'")</f>
        <v>0</v>
      </c>
      <c r="L254" s="19">
        <f>IF(装备!M179=0,0,"'"&amp;装备!M179&amp;"'")</f>
        <v>0</v>
      </c>
      <c r="M254" s="19">
        <f>IF(装备!N179=0,0,"'"&amp;装备!N179&amp;"'")</f>
        <v>0</v>
      </c>
      <c r="N254" s="19">
        <f>IF(装备!O179=0,0,"'"&amp;装备!O179&amp;"'")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装备!A180</f>
        <v>0</v>
      </c>
      <c r="B255" s="19" t="str">
        <f>"'"&amp;装备!B180&amp;"'"</f>
        <v>''</v>
      </c>
      <c r="C255" s="19">
        <f>装备!J180</f>
        <v>0</v>
      </c>
      <c r="D255" s="19">
        <f>装备!K180</f>
        <v>0</v>
      </c>
      <c r="E255" s="19">
        <f>装备!L180</f>
        <v>0</v>
      </c>
      <c r="F255" s="19">
        <f>装备!M180</f>
        <v>0</v>
      </c>
      <c r="G255" s="19">
        <f>装备!N180</f>
        <v>0</v>
      </c>
      <c r="H255" s="19">
        <f>装备!O180</f>
        <v>0</v>
      </c>
      <c r="I255" s="19">
        <f>IF(装备!J180=0,0,"'"&amp;装备!J180&amp;"'")</f>
        <v>0</v>
      </c>
      <c r="J255" s="19">
        <f>IF(装备!K180=0,0,"'"&amp;装备!K180&amp;"'")</f>
        <v>0</v>
      </c>
      <c r="K255" s="19">
        <f>IF(装备!L180=0,0,"'"&amp;装备!L180&amp;"'")</f>
        <v>0</v>
      </c>
      <c r="L255" s="19">
        <f>IF(装备!M180=0,0,"'"&amp;装备!M180&amp;"'")</f>
        <v>0</v>
      </c>
      <c r="M255" s="19">
        <f>IF(装备!N180=0,0,"'"&amp;装备!N180&amp;"'")</f>
        <v>0</v>
      </c>
      <c r="N255" s="19">
        <f>IF(装备!O180=0,0,"'"&amp;装备!O180&amp;"'")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装备!A181</f>
        <v>0</v>
      </c>
      <c r="B256" s="19" t="str">
        <f>"'"&amp;装备!B181&amp;"'"</f>
        <v>''</v>
      </c>
      <c r="C256" s="19">
        <f>装备!J181</f>
        <v>0</v>
      </c>
      <c r="D256" s="19">
        <f>装备!K181</f>
        <v>0</v>
      </c>
      <c r="E256" s="19">
        <f>装备!L181</f>
        <v>0</v>
      </c>
      <c r="F256" s="19">
        <f>装备!M181</f>
        <v>0</v>
      </c>
      <c r="G256" s="19">
        <f>装备!N181</f>
        <v>0</v>
      </c>
      <c r="H256" s="19">
        <f>装备!O181</f>
        <v>0</v>
      </c>
      <c r="I256" s="19">
        <f>IF(装备!J181=0,0,"'"&amp;装备!J181&amp;"'")</f>
        <v>0</v>
      </c>
      <c r="J256" s="19">
        <f>IF(装备!K181=0,0,"'"&amp;装备!K181&amp;"'")</f>
        <v>0</v>
      </c>
      <c r="K256" s="19">
        <f>IF(装备!L181=0,0,"'"&amp;装备!L181&amp;"'")</f>
        <v>0</v>
      </c>
      <c r="L256" s="19">
        <f>IF(装备!M181=0,0,"'"&amp;装备!M181&amp;"'")</f>
        <v>0</v>
      </c>
      <c r="M256" s="19">
        <f>IF(装备!N181=0,0,"'"&amp;装备!N181&amp;"'")</f>
        <v>0</v>
      </c>
      <c r="N256" s="19">
        <f>IF(装备!O181=0,0,"'"&amp;装备!O181&amp;"'")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装备!A182</f>
        <v>0</v>
      </c>
      <c r="B257" s="19" t="str">
        <f>"'"&amp;装备!B182&amp;"'"</f>
        <v>''</v>
      </c>
      <c r="C257" s="19">
        <f>装备!J182</f>
        <v>0</v>
      </c>
      <c r="D257" s="19">
        <f>装备!K182</f>
        <v>0</v>
      </c>
      <c r="E257" s="19">
        <f>装备!L182</f>
        <v>0</v>
      </c>
      <c r="F257" s="19">
        <f>装备!M182</f>
        <v>0</v>
      </c>
      <c r="G257" s="19">
        <f>装备!N182</f>
        <v>0</v>
      </c>
      <c r="H257" s="19">
        <f>装备!O182</f>
        <v>0</v>
      </c>
      <c r="I257" s="19">
        <f>IF(装备!J182=0,0,"'"&amp;装备!J182&amp;"'")</f>
        <v>0</v>
      </c>
      <c r="J257" s="19">
        <f>IF(装备!K182=0,0,"'"&amp;装备!K182&amp;"'")</f>
        <v>0</v>
      </c>
      <c r="K257" s="19">
        <f>IF(装备!L182=0,0,"'"&amp;装备!L182&amp;"'")</f>
        <v>0</v>
      </c>
      <c r="L257" s="19">
        <f>IF(装备!M182=0,0,"'"&amp;装备!M182&amp;"'")</f>
        <v>0</v>
      </c>
      <c r="M257" s="19">
        <f>IF(装备!N182=0,0,"'"&amp;装备!N182&amp;"'")</f>
        <v>0</v>
      </c>
      <c r="N257" s="19">
        <f>IF(装备!O182=0,0,"'"&amp;装备!O182&amp;"'")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装备!A183</f>
        <v>0</v>
      </c>
      <c r="B258" s="19" t="str">
        <f>"'"&amp;装备!B183&amp;"'"</f>
        <v>''</v>
      </c>
      <c r="C258" s="19">
        <f>装备!J183</f>
        <v>0</v>
      </c>
      <c r="D258" s="19">
        <f>装备!K183</f>
        <v>0</v>
      </c>
      <c r="E258" s="19">
        <f>装备!L183</f>
        <v>0</v>
      </c>
      <c r="F258" s="19">
        <f>装备!M183</f>
        <v>0</v>
      </c>
      <c r="G258" s="19">
        <f>装备!N183</f>
        <v>0</v>
      </c>
      <c r="H258" s="19">
        <f>装备!O183</f>
        <v>0</v>
      </c>
      <c r="I258" s="19">
        <f>IF(装备!J183=0,0,"'"&amp;装备!J183&amp;"'")</f>
        <v>0</v>
      </c>
      <c r="J258" s="19">
        <f>IF(装备!K183=0,0,"'"&amp;装备!K183&amp;"'")</f>
        <v>0</v>
      </c>
      <c r="K258" s="19">
        <f>IF(装备!L183=0,0,"'"&amp;装备!L183&amp;"'")</f>
        <v>0</v>
      </c>
      <c r="L258" s="19">
        <f>IF(装备!M183=0,0,"'"&amp;装备!M183&amp;"'")</f>
        <v>0</v>
      </c>
      <c r="M258" s="19">
        <f>IF(装备!N183=0,0,"'"&amp;装备!N183&amp;"'")</f>
        <v>0</v>
      </c>
      <c r="N258" s="19">
        <f>IF(装备!O183=0,0,"'"&amp;装备!O183&amp;"'")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装备!A184</f>
        <v>0</v>
      </c>
      <c r="B259" s="19" t="str">
        <f>"'"&amp;装备!B184&amp;"'"</f>
        <v>''</v>
      </c>
      <c r="C259" s="19">
        <f>装备!J184</f>
        <v>0</v>
      </c>
      <c r="D259" s="19">
        <f>装备!K184</f>
        <v>0</v>
      </c>
      <c r="E259" s="19">
        <f>装备!L184</f>
        <v>0</v>
      </c>
      <c r="F259" s="19">
        <f>装备!M184</f>
        <v>0</v>
      </c>
      <c r="G259" s="19">
        <f>装备!N184</f>
        <v>0</v>
      </c>
      <c r="H259" s="19">
        <f>装备!O184</f>
        <v>0</v>
      </c>
      <c r="I259" s="19">
        <f>IF(装备!J184=0,0,"'"&amp;装备!J184&amp;"'")</f>
        <v>0</v>
      </c>
      <c r="J259" s="19">
        <f>IF(装备!K184=0,0,"'"&amp;装备!K184&amp;"'")</f>
        <v>0</v>
      </c>
      <c r="K259" s="19">
        <f>IF(装备!L184=0,0,"'"&amp;装备!L184&amp;"'")</f>
        <v>0</v>
      </c>
      <c r="L259" s="19">
        <f>IF(装备!M184=0,0,"'"&amp;装备!M184&amp;"'")</f>
        <v>0</v>
      </c>
      <c r="M259" s="19">
        <f>IF(装备!N184=0,0,"'"&amp;装备!N184&amp;"'")</f>
        <v>0</v>
      </c>
      <c r="N259" s="19">
        <f>IF(装备!O184=0,0,"'"&amp;装备!O184&amp;"'")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装备!A185</f>
        <v>0</v>
      </c>
      <c r="B260" s="19" t="str">
        <f>"'"&amp;装备!B185&amp;"'"</f>
        <v>''</v>
      </c>
      <c r="C260" s="19">
        <f>装备!J185</f>
        <v>0</v>
      </c>
      <c r="D260" s="19">
        <f>装备!K185</f>
        <v>0</v>
      </c>
      <c r="E260" s="19">
        <f>装备!L185</f>
        <v>0</v>
      </c>
      <c r="F260" s="19">
        <f>装备!M185</f>
        <v>0</v>
      </c>
      <c r="G260" s="19">
        <f>装备!N185</f>
        <v>0</v>
      </c>
      <c r="H260" s="19">
        <f>装备!O185</f>
        <v>0</v>
      </c>
      <c r="I260" s="19">
        <f>IF(装备!J185=0,0,"'"&amp;装备!J185&amp;"'")</f>
        <v>0</v>
      </c>
      <c r="J260" s="19">
        <f>IF(装备!K185=0,0,"'"&amp;装备!K185&amp;"'")</f>
        <v>0</v>
      </c>
      <c r="K260" s="19">
        <f>IF(装备!L185=0,0,"'"&amp;装备!L185&amp;"'")</f>
        <v>0</v>
      </c>
      <c r="L260" s="19">
        <f>IF(装备!M185=0,0,"'"&amp;装备!M185&amp;"'")</f>
        <v>0</v>
      </c>
      <c r="M260" s="19">
        <f>IF(装备!N185=0,0,"'"&amp;装备!N185&amp;"'")</f>
        <v>0</v>
      </c>
      <c r="N260" s="19">
        <f>IF(装备!O185=0,0,"'"&amp;装备!O185&amp;"'")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装备!A186</f>
        <v>0</v>
      </c>
      <c r="B261" s="19" t="str">
        <f>"'"&amp;装备!B186&amp;"'"</f>
        <v>''</v>
      </c>
      <c r="C261" s="19">
        <f>装备!J186</f>
        <v>0</v>
      </c>
      <c r="D261" s="19">
        <f>装备!K186</f>
        <v>0</v>
      </c>
      <c r="E261" s="19">
        <f>装备!L186</f>
        <v>0</v>
      </c>
      <c r="F261" s="19">
        <f>装备!M186</f>
        <v>0</v>
      </c>
      <c r="G261" s="19">
        <f>装备!N186</f>
        <v>0</v>
      </c>
      <c r="H261" s="19">
        <f>装备!O186</f>
        <v>0</v>
      </c>
      <c r="I261" s="19">
        <f>IF(装备!J186=0,0,"'"&amp;装备!J186&amp;"'")</f>
        <v>0</v>
      </c>
      <c r="J261" s="19">
        <f>IF(装备!K186=0,0,"'"&amp;装备!K186&amp;"'")</f>
        <v>0</v>
      </c>
      <c r="K261" s="19">
        <f>IF(装备!L186=0,0,"'"&amp;装备!L186&amp;"'")</f>
        <v>0</v>
      </c>
      <c r="L261" s="19">
        <f>IF(装备!M186=0,0,"'"&amp;装备!M186&amp;"'")</f>
        <v>0</v>
      </c>
      <c r="M261" s="19">
        <f>IF(装备!N186=0,0,"'"&amp;装备!N186&amp;"'")</f>
        <v>0</v>
      </c>
      <c r="N261" s="19">
        <f>IF(装备!O186=0,0,"'"&amp;装备!O186&amp;"'")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装备!A187</f>
        <v>0</v>
      </c>
      <c r="B262" s="19" t="str">
        <f>"'"&amp;装备!B187&amp;"'"</f>
        <v>''</v>
      </c>
      <c r="C262" s="19">
        <f>装备!J187</f>
        <v>0</v>
      </c>
      <c r="D262" s="19">
        <f>装备!K187</f>
        <v>0</v>
      </c>
      <c r="E262" s="19">
        <f>装备!L187</f>
        <v>0</v>
      </c>
      <c r="F262" s="19">
        <f>装备!M187</f>
        <v>0</v>
      </c>
      <c r="G262" s="19">
        <f>装备!N187</f>
        <v>0</v>
      </c>
      <c r="H262" s="19">
        <f>装备!O187</f>
        <v>0</v>
      </c>
      <c r="I262" s="19">
        <f>IF(装备!J187=0,0,"'"&amp;装备!J187&amp;"'")</f>
        <v>0</v>
      </c>
      <c r="J262" s="19">
        <f>IF(装备!K187=0,0,"'"&amp;装备!K187&amp;"'")</f>
        <v>0</v>
      </c>
      <c r="K262" s="19">
        <f>IF(装备!L187=0,0,"'"&amp;装备!L187&amp;"'")</f>
        <v>0</v>
      </c>
      <c r="L262" s="19">
        <f>IF(装备!M187=0,0,"'"&amp;装备!M187&amp;"'")</f>
        <v>0</v>
      </c>
      <c r="M262" s="19">
        <f>IF(装备!N187=0,0,"'"&amp;装备!N187&amp;"'")</f>
        <v>0</v>
      </c>
      <c r="N262" s="19">
        <f>IF(装备!O187=0,0,"'"&amp;装备!O187&amp;"'")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装备!A188</f>
        <v>0</v>
      </c>
      <c r="B263" s="19" t="str">
        <f>"'"&amp;装备!B188&amp;"'"</f>
        <v>''</v>
      </c>
      <c r="C263" s="19">
        <f>装备!J188</f>
        <v>0</v>
      </c>
      <c r="D263" s="19">
        <f>装备!K188</f>
        <v>0</v>
      </c>
      <c r="E263" s="19">
        <f>装备!L188</f>
        <v>0</v>
      </c>
      <c r="F263" s="19">
        <f>装备!M188</f>
        <v>0</v>
      </c>
      <c r="G263" s="19">
        <f>装备!N188</f>
        <v>0</v>
      </c>
      <c r="H263" s="19">
        <f>装备!O188</f>
        <v>0</v>
      </c>
      <c r="I263" s="19">
        <f>IF(装备!J188=0,0,"'"&amp;装备!J188&amp;"'")</f>
        <v>0</v>
      </c>
      <c r="J263" s="19">
        <f>IF(装备!K188=0,0,"'"&amp;装备!K188&amp;"'")</f>
        <v>0</v>
      </c>
      <c r="K263" s="19">
        <f>IF(装备!L188=0,0,"'"&amp;装备!L188&amp;"'")</f>
        <v>0</v>
      </c>
      <c r="L263" s="19">
        <f>IF(装备!M188=0,0,"'"&amp;装备!M188&amp;"'")</f>
        <v>0</v>
      </c>
      <c r="M263" s="19">
        <f>IF(装备!N188=0,0,"'"&amp;装备!N188&amp;"'")</f>
        <v>0</v>
      </c>
      <c r="N263" s="19">
        <f>IF(装备!O188=0,0,"'"&amp;装备!O188&amp;"'")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M37" workbookViewId="0">
      <selection activeCell="N74" sqref="N74"/>
    </sheetView>
  </sheetViews>
  <sheetFormatPr defaultColWidth="9" defaultRowHeight="14.25"/>
  <cols>
    <col min="1" max="1" width="9" customWidth="1"/>
    <col min="2" max="9" width="9" hidden="1" customWidth="1"/>
    <col min="10" max="10" width="17.625" hidden="1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装备!G3</f>
        <v>0</v>
      </c>
      <c r="F3">
        <f>装备!H3</f>
        <v>0</v>
      </c>
      <c r="G3" t="str">
        <f>IF(装备!I3="",0,"'"&amp;装备!I3&amp;"'")</f>
        <v>'E002'</v>
      </c>
      <c r="H3">
        <f>IF(装备!R3="",0,"'"&amp;装备!R3&amp;"'")</f>
        <v>0</v>
      </c>
      <c r="I3">
        <f>IF(装备!S3="",0,"'"&amp;装备!S3&amp;"'")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0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装备!G4</f>
        <v>0</v>
      </c>
      <c r="F4">
        <f>装备!H4</f>
        <v>0</v>
      </c>
      <c r="G4" t="str">
        <f>IF(装备!I4="",0,"'"&amp;装备!I4&amp;"'")</f>
        <v>'E003'</v>
      </c>
      <c r="H4">
        <f>IF(装备!R4="",0,"'"&amp;装备!R4&amp;"'")</f>
        <v>0</v>
      </c>
      <c r="I4">
        <f>IF(装备!S4="",0,"'"&amp;装备!S4&amp;"'")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ref="M4:M67" si="1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InitEquipData('E002',0,0,9000,0,0,'E003',0,0)</v>
      </c>
      <c r="N4" t="str">
        <f t="shared" si="0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装备!G5</f>
        <v>0</v>
      </c>
      <c r="F5">
        <f>装备!H5</f>
        <v>0</v>
      </c>
      <c r="G5" t="str">
        <f>IF(装备!I5="",0,"'"&amp;装备!I5&amp;"'")</f>
        <v>'E004'</v>
      </c>
      <c r="H5">
        <f>IF(装备!R5="",0,"'"&amp;装备!R5&amp;"'")</f>
        <v>0</v>
      </c>
      <c r="I5">
        <f>IF(装备!S5="",0,"'"&amp;装备!S5&amp;"'")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1"/>
        <v>InitEquipData('E003',0,0,12000,0,0,'E004',0,0)</v>
      </c>
      <c r="N5" t="str">
        <f t="shared" si="0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装备!G6</f>
        <v>0</v>
      </c>
      <c r="F6">
        <f>装备!H6</f>
        <v>0</v>
      </c>
      <c r="G6" t="str">
        <f>IF(装备!I6="",0,"'"&amp;装备!I6&amp;"'")</f>
        <v>'E005'</v>
      </c>
      <c r="H6">
        <f>IF(装备!R6="",0,"'"&amp;装备!R6&amp;"'")</f>
        <v>0</v>
      </c>
      <c r="I6">
        <f>IF(装备!S6="",0,"'"&amp;装备!S6&amp;"'")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1"/>
        <v>InitEquipData('E004',0,0,15000,0,0,'E005',0,0)</v>
      </c>
      <c r="N6" t="str">
        <f t="shared" si="0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装备!G7</f>
        <v>0</v>
      </c>
      <c r="F7">
        <f>装备!H7</f>
        <v>0</v>
      </c>
      <c r="G7" t="str">
        <f>IF(装备!I7="",0,"'"&amp;装备!I7&amp;"'")</f>
        <v>'E006'</v>
      </c>
      <c r="H7">
        <f>IF(装备!R7="",0,"'"&amp;装备!R7&amp;"'")</f>
        <v>0</v>
      </c>
      <c r="I7">
        <f>IF(装备!S7="",0,"'"&amp;装备!S7&amp;"'")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1"/>
        <v>InitEquipData('E005',0,0,18000,0,0,'E006',0,0)</v>
      </c>
      <c r="N7" t="str">
        <f t="shared" si="0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装备!G8</f>
        <v>0</v>
      </c>
      <c r="F8">
        <f>装备!H8</f>
        <v>0</v>
      </c>
      <c r="G8" t="str">
        <f>IF(装备!I8="",0,"'"&amp;装备!I8&amp;"'")</f>
        <v>'E007'</v>
      </c>
      <c r="H8">
        <f>IF(装备!R8="",0,"'"&amp;装备!R8&amp;"'")</f>
        <v>0</v>
      </c>
      <c r="I8">
        <f>IF(装备!S8="",0,"'"&amp;装备!S8&amp;"'")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1"/>
        <v>InitEquipData('E006',0,0,18600,0,0,'E007',0,0)</v>
      </c>
      <c r="N8" t="str">
        <f t="shared" si="0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装备!G9</f>
        <v>0</v>
      </c>
      <c r="F9">
        <f>装备!H9</f>
        <v>0</v>
      </c>
      <c r="G9" t="str">
        <f>IF(装备!I9="",0,"'"&amp;装备!I9&amp;"'")</f>
        <v>'E008'</v>
      </c>
      <c r="H9">
        <f>IF(装备!R9="",0,"'"&amp;装备!R9&amp;"'")</f>
        <v>0</v>
      </c>
      <c r="I9">
        <f>IF(装备!S9="",0,"'"&amp;装备!S9&amp;"'")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1"/>
        <v>InitEquipData('E007',0,0,19200,0,0,'E008',0,0)</v>
      </c>
      <c r="N9" t="str">
        <f t="shared" si="0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装备!G10</f>
        <v>0</v>
      </c>
      <c r="F10">
        <f>装备!H10</f>
        <v>0</v>
      </c>
      <c r="G10" t="str">
        <f>IF(装备!I10="",0,"'"&amp;装备!I10&amp;"'")</f>
        <v>'E009'</v>
      </c>
      <c r="H10">
        <f>IF(装备!R10="",0,"'"&amp;装备!R10&amp;"'")</f>
        <v>0</v>
      </c>
      <c r="I10">
        <f>IF(装备!S10="",0,"'"&amp;装备!S10&amp;"'")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1"/>
        <v>InitEquipData('E008',0,0,19800,0,0,'E009',0,0)</v>
      </c>
      <c r="N10" t="str">
        <f t="shared" si="0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装备!G11</f>
        <v>0</v>
      </c>
      <c r="F11">
        <f>装备!H11</f>
        <v>0</v>
      </c>
      <c r="G11" t="str">
        <f>IF(装备!I11="",0,"'"&amp;装备!I11&amp;"'")</f>
        <v>'E010'</v>
      </c>
      <c r="H11">
        <f>IF(装备!R11="",0,"'"&amp;装备!R11&amp;"'")</f>
        <v>0</v>
      </c>
      <c r="I11">
        <f>IF(装备!S11="",0,"'"&amp;装备!S11&amp;"'")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1"/>
        <v>InitEquipData('E009',0,0,20400,0,0,'E010',0,0)</v>
      </c>
      <c r="N11" t="str">
        <f t="shared" si="0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装备!G12</f>
        <v>0</v>
      </c>
      <c r="F12">
        <f>装备!H12</f>
        <v>0</v>
      </c>
      <c r="G12" t="str">
        <f>IF(装备!I12="",0,"'"&amp;装备!I12&amp;"'")</f>
        <v>'E011'</v>
      </c>
      <c r="H12">
        <f>IF(装备!R12="",0,"'"&amp;装备!R12&amp;"'")</f>
        <v>0</v>
      </c>
      <c r="I12">
        <f>IF(装备!S12="",0,"'"&amp;装备!S12&amp;"'")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1"/>
        <v>InitEquipData('E010',0,0,21000,0,0,'E011',0,0)</v>
      </c>
      <c r="N12" t="str">
        <f t="shared" si="0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装备!G13</f>
        <v>0</v>
      </c>
      <c r="F13">
        <f>装备!H13</f>
        <v>0</v>
      </c>
      <c r="G13" t="str">
        <f>IF(装备!I13="",0,"'"&amp;装备!I13&amp;"'")</f>
        <v>'E012'</v>
      </c>
      <c r="H13">
        <f>IF(装备!R13="",0,"'"&amp;装备!R13&amp;"'")</f>
        <v>0</v>
      </c>
      <c r="I13">
        <f>IF(装备!S13="",0,"'"&amp;装备!S13&amp;"'")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1"/>
        <v>InitEquipData('E011',0,0,21800,0,0,'E012',0,0)</v>
      </c>
      <c r="N13" t="str">
        <f t="shared" si="0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装备!G14</f>
        <v>0</v>
      </c>
      <c r="F14">
        <f>装备!H14</f>
        <v>0</v>
      </c>
      <c r="G14" t="str">
        <f>IF(装备!I14="",0,"'"&amp;装备!I14&amp;"'")</f>
        <v>'E013'</v>
      </c>
      <c r="H14">
        <f>IF(装备!R14="",0,"'"&amp;装备!R14&amp;"'")</f>
        <v>0</v>
      </c>
      <c r="I14">
        <f>IF(装备!S14="",0,"'"&amp;装备!S14&amp;"'")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1"/>
        <v>InitEquipData('E012',0,0,22600,0,0,'E013',0,0)</v>
      </c>
      <c r="N14" t="str">
        <f t="shared" si="0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装备!G15</f>
        <v>0</v>
      </c>
      <c r="F15">
        <f>装备!H15</f>
        <v>0</v>
      </c>
      <c r="G15" t="str">
        <f>IF(装备!I15="",0,"'"&amp;装备!I15&amp;"'")</f>
        <v>'E014'</v>
      </c>
      <c r="H15">
        <f>IF(装备!R15="",0,"'"&amp;装备!R15&amp;"'")</f>
        <v>0</v>
      </c>
      <c r="I15">
        <f>IF(装备!S15="",0,"'"&amp;装备!S15&amp;"'")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1"/>
        <v>InitEquipData('E013',0,0,23400,0,0,'E014',0,0)</v>
      </c>
      <c r="N15" t="str">
        <f t="shared" si="0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装备!G16</f>
        <v>0</v>
      </c>
      <c r="F16">
        <f>装备!H16</f>
        <v>0</v>
      </c>
      <c r="G16" t="str">
        <f>IF(装备!I16="",0,"'"&amp;装备!I16&amp;"'")</f>
        <v>'E015'</v>
      </c>
      <c r="H16">
        <f>IF(装备!R16="",0,"'"&amp;装备!R16&amp;"'")</f>
        <v>0</v>
      </c>
      <c r="I16">
        <f>IF(装备!S16="",0,"'"&amp;装备!S16&amp;"'")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1"/>
        <v>InitEquipData('E014',0,0,24200,0,0,'E015',0,0)</v>
      </c>
      <c r="N16" t="str">
        <f t="shared" si="0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装备!G17</f>
        <v>0</v>
      </c>
      <c r="F17">
        <f>装备!H17</f>
        <v>0</v>
      </c>
      <c r="G17" t="str">
        <f>IF(装备!I17="",0,"'"&amp;装备!I17&amp;"'")</f>
        <v>'E016'</v>
      </c>
      <c r="H17">
        <f>IF(装备!R17="",0,"'"&amp;装备!R17&amp;"'")</f>
        <v>0</v>
      </c>
      <c r="I17">
        <f>IF(装备!S17="",0,"'"&amp;装备!S17&amp;"'")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1"/>
        <v>InitEquipData('E015',0,0,25000,0,0,'E016',0,0)</v>
      </c>
      <c r="N17" t="str">
        <f t="shared" si="0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装备!G18</f>
        <v>0</v>
      </c>
      <c r="F18">
        <f>装备!H18</f>
        <v>0</v>
      </c>
      <c r="G18" t="str">
        <f>IF(装备!I18="",0,"'"&amp;装备!I18&amp;"'")</f>
        <v>'E017'</v>
      </c>
      <c r="H18">
        <f>IF(装备!R18="",0,"'"&amp;装备!R18&amp;"'")</f>
        <v>0</v>
      </c>
      <c r="I18">
        <f>IF(装备!S18="",0,"'"&amp;装备!S18&amp;"'")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1"/>
        <v>InitEquipData('E016',0,0,26000,0,0,'E017',0,0)</v>
      </c>
      <c r="N18" t="str">
        <f t="shared" si="0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装备!G19</f>
        <v>0</v>
      </c>
      <c r="F19">
        <f>装备!H19</f>
        <v>0</v>
      </c>
      <c r="G19" t="str">
        <f>IF(装备!I19="",0,"'"&amp;装备!I19&amp;"'")</f>
        <v>'E018'</v>
      </c>
      <c r="H19">
        <f>IF(装备!R19="",0,"'"&amp;装备!R19&amp;"'")</f>
        <v>0</v>
      </c>
      <c r="I19">
        <f>IF(装备!S19="",0,"'"&amp;装备!S19&amp;"'")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1"/>
        <v>InitEquipData('E017',0,0,27000,0,0,'E018',0,0)</v>
      </c>
      <c r="N19" t="str">
        <f t="shared" si="0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装备!G20</f>
        <v>0</v>
      </c>
      <c r="F20">
        <f>装备!H20</f>
        <v>0</v>
      </c>
      <c r="G20" t="str">
        <f>IF(装备!I20="",0,"'"&amp;装备!I20&amp;"'")</f>
        <v>'E019'</v>
      </c>
      <c r="H20">
        <f>IF(装备!R20="",0,"'"&amp;装备!R20&amp;"'")</f>
        <v>0</v>
      </c>
      <c r="I20">
        <f>IF(装备!S20="",0,"'"&amp;装备!S20&amp;"'")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1"/>
        <v>InitEquipData('E018',0,0,28000,0,0,'E019',0,0)</v>
      </c>
      <c r="N20" t="str">
        <f t="shared" si="0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装备!G21</f>
        <v>0</v>
      </c>
      <c r="F21">
        <f>装备!H21</f>
        <v>0</v>
      </c>
      <c r="G21" t="str">
        <f>IF(装备!I21="",0,"'"&amp;装备!I21&amp;"'")</f>
        <v>'E020'</v>
      </c>
      <c r="H21">
        <f>IF(装备!R21="",0,"'"&amp;装备!R21&amp;"'")</f>
        <v>0</v>
      </c>
      <c r="I21">
        <f>IF(装备!S21="",0,"'"&amp;装备!S21&amp;"'")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1"/>
        <v>InitEquipData('E019',0,0,29000,0,0,'E020',0,0)</v>
      </c>
      <c r="N21" t="str">
        <f t="shared" si="0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装备!G22</f>
        <v>0</v>
      </c>
      <c r="F22">
        <f>装备!H22</f>
        <v>0</v>
      </c>
      <c r="G22" t="str">
        <f>IF(装备!I22="",0,"'"&amp;装备!I22&amp;"'")</f>
        <v>'E021'</v>
      </c>
      <c r="H22">
        <f>IF(装备!R22="",0,"'"&amp;装备!R22&amp;"'")</f>
        <v>0</v>
      </c>
      <c r="I22">
        <f>IF(装备!S22="",0,"'"&amp;装备!S22&amp;"'")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1"/>
        <v>InitEquipData('E020',0,0,30000,0,0,'E021',0,0)</v>
      </c>
      <c r="N22" t="str">
        <f t="shared" si="0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装备!G23</f>
        <v>0</v>
      </c>
      <c r="F23">
        <f>装备!H23</f>
        <v>0</v>
      </c>
      <c r="G23" t="str">
        <f>IF(装备!I23="",0,"'"&amp;装备!I23&amp;"'")</f>
        <v>'E022'</v>
      </c>
      <c r="H23">
        <f>IF(装备!R23="",0,"'"&amp;装备!R23&amp;"'")</f>
        <v>0</v>
      </c>
      <c r="I23">
        <f>IF(装备!S23="",0,"'"&amp;装备!S23&amp;"'")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1"/>
        <v>InitEquipData('E021',0,0,31200,0,0,'E022',0,0)</v>
      </c>
      <c r="N23" t="str">
        <f t="shared" si="0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装备!G24</f>
        <v>0</v>
      </c>
      <c r="F24">
        <f>装备!H24</f>
        <v>0</v>
      </c>
      <c r="G24" t="str">
        <f>IF(装备!I24="",0,"'"&amp;装备!I24&amp;"'")</f>
        <v>'E023'</v>
      </c>
      <c r="H24">
        <f>IF(装备!R24="",0,"'"&amp;装备!R24&amp;"'")</f>
        <v>0</v>
      </c>
      <c r="I24">
        <f>IF(装备!S24="",0,"'"&amp;装备!S24&amp;"'")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1"/>
        <v>InitEquipData('E022',0,0,32400,0,0,'E023',0,0)</v>
      </c>
      <c r="N24" t="str">
        <f t="shared" si="0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装备!G25</f>
        <v>0</v>
      </c>
      <c r="F25">
        <f>装备!H25</f>
        <v>0</v>
      </c>
      <c r="G25" t="str">
        <f>IF(装备!I25="",0,"'"&amp;装备!I25&amp;"'")</f>
        <v>'E024'</v>
      </c>
      <c r="H25">
        <f>IF(装备!R25="",0,"'"&amp;装备!R25&amp;"'")</f>
        <v>0</v>
      </c>
      <c r="I25">
        <f>IF(装备!S25="",0,"'"&amp;装备!S25&amp;"'")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1"/>
        <v>InitEquipData('E023',0,0,33600,0,0,'E024',0,0)</v>
      </c>
      <c r="N25" t="str">
        <f t="shared" si="0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装备!G26</f>
        <v>0</v>
      </c>
      <c r="F26">
        <f>装备!H26</f>
        <v>0</v>
      </c>
      <c r="G26" t="str">
        <f>IF(装备!I26="",0,"'"&amp;装备!I26&amp;"'")</f>
        <v>'E025'</v>
      </c>
      <c r="H26">
        <f>IF(装备!R26="",0,"'"&amp;装备!R26&amp;"'")</f>
        <v>0</v>
      </c>
      <c r="I26">
        <f>IF(装备!S26="",0,"'"&amp;装备!S26&amp;"'")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1"/>
        <v>InitEquipData('E024',0,0,34800,0,0,'E025',0,0)</v>
      </c>
      <c r="N26" t="str">
        <f t="shared" si="0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装备!G27</f>
        <v>0</v>
      </c>
      <c r="F27">
        <f>装备!H27</f>
        <v>0</v>
      </c>
      <c r="G27">
        <f>IF(装备!I27="",0,"'"&amp;装备!I27&amp;"'")</f>
        <v>0</v>
      </c>
      <c r="H27">
        <f>IF(装备!R27="",0,"'"&amp;装备!R27&amp;"'")</f>
        <v>0</v>
      </c>
      <c r="I27">
        <f>IF(装备!S27="",0,"'"&amp;装备!S27&amp;"'")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1"/>
        <v/>
      </c>
      <c r="N27" t="str">
        <f t="shared" si="0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装备!G28</f>
        <v>0</v>
      </c>
      <c r="F28">
        <f>装备!H28</f>
        <v>0</v>
      </c>
      <c r="G28" t="str">
        <f>IF(装备!I28="",0,"'"&amp;装备!I28&amp;"'")</f>
        <v>'E102'</v>
      </c>
      <c r="H28">
        <f>IF(装备!R28="",0,"'"&amp;装备!R28&amp;"'")</f>
        <v>0</v>
      </c>
      <c r="I28">
        <f>IF(装备!S28="",0,"'"&amp;装备!S28&amp;"'")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1"/>
        <v>InitEquipData('E101',0,0,6000,0,0,'E102',0,0)</v>
      </c>
      <c r="N28" t="str">
        <f t="shared" si="0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装备!G29</f>
        <v>0</v>
      </c>
      <c r="F29">
        <f>装备!H29</f>
        <v>0</v>
      </c>
      <c r="G29" t="str">
        <f>IF(装备!I29="",0,"'"&amp;装备!I29&amp;"'")</f>
        <v>'E103'</v>
      </c>
      <c r="H29">
        <f>IF(装备!R29="",0,"'"&amp;装备!R29&amp;"'")</f>
        <v>0</v>
      </c>
      <c r="I29">
        <f>IF(装备!S29="",0,"'"&amp;装备!S29&amp;"'")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1"/>
        <v>InitEquipData('E102',0,0,9000,0,0,'E103',0,0)</v>
      </c>
      <c r="N29" t="str">
        <f t="shared" si="0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装备!G30</f>
        <v>0</v>
      </c>
      <c r="F30">
        <f>装备!H30</f>
        <v>0</v>
      </c>
      <c r="G30" t="str">
        <f>IF(装备!I30="",0,"'"&amp;装备!I30&amp;"'")</f>
        <v>'E104'</v>
      </c>
      <c r="H30">
        <f>IF(装备!R30="",0,"'"&amp;装备!R30&amp;"'")</f>
        <v>0</v>
      </c>
      <c r="I30">
        <f>IF(装备!S30="",0,"'"&amp;装备!S30&amp;"'")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1"/>
        <v>InitEquipData('E103',0,0,12000,0,0,'E104',0,0)</v>
      </c>
      <c r="N30" t="str">
        <f t="shared" si="0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装备!G31</f>
        <v>0</v>
      </c>
      <c r="F31">
        <f>装备!H31</f>
        <v>0</v>
      </c>
      <c r="G31" t="str">
        <f>IF(装备!I31="",0,"'"&amp;装备!I31&amp;"'")</f>
        <v>'E105'</v>
      </c>
      <c r="H31">
        <f>IF(装备!R31="",0,"'"&amp;装备!R31&amp;"'")</f>
        <v>0</v>
      </c>
      <c r="I31">
        <f>IF(装备!S31="",0,"'"&amp;装备!S31&amp;"'")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1"/>
        <v>InitEquipData('E104',0,0,15000,0,0,'E105',0,0)</v>
      </c>
      <c r="N31" t="str">
        <f t="shared" si="0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装备!G32</f>
        <v>0</v>
      </c>
      <c r="F32">
        <f>装备!H32</f>
        <v>0</v>
      </c>
      <c r="G32" t="str">
        <f>IF(装备!I32="",0,"'"&amp;装备!I32&amp;"'")</f>
        <v>'E106'</v>
      </c>
      <c r="H32">
        <f>IF(装备!R32="",0,"'"&amp;装备!R32&amp;"'")</f>
        <v>0</v>
      </c>
      <c r="I32">
        <f>IF(装备!S32="",0,"'"&amp;装备!S32&amp;"'")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1"/>
        <v>InitEquipData('E105',0,0,18000,0,0,'E106',0,0)</v>
      </c>
      <c r="N32" t="str">
        <f t="shared" si="0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装备!G33</f>
        <v>0</v>
      </c>
      <c r="F33">
        <f>装备!H33</f>
        <v>0</v>
      </c>
      <c r="G33" t="str">
        <f>IF(装备!I33="",0,"'"&amp;装备!I33&amp;"'")</f>
        <v>'E107'</v>
      </c>
      <c r="H33">
        <f>IF(装备!R33="",0,"'"&amp;装备!R33&amp;"'")</f>
        <v>0</v>
      </c>
      <c r="I33">
        <f>IF(装备!S33="",0,"'"&amp;装备!S33&amp;"'")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1"/>
        <v>InitEquipData('E106',0,0,18600,0,0,'E107',0,0)</v>
      </c>
      <c r="N33" t="str">
        <f t="shared" si="0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装备!G34</f>
        <v>0</v>
      </c>
      <c r="F34">
        <f>装备!H34</f>
        <v>0</v>
      </c>
      <c r="G34" t="str">
        <f>IF(装备!I34="",0,"'"&amp;装备!I34&amp;"'")</f>
        <v>'E108'</v>
      </c>
      <c r="H34">
        <f>IF(装备!R34="",0,"'"&amp;装备!R34&amp;"'")</f>
        <v>0</v>
      </c>
      <c r="I34">
        <f>IF(装备!S34="",0,"'"&amp;装备!S34&amp;"'")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1"/>
        <v>InitEquipData('E107',0,0,19200,0,0,'E108',0,0)</v>
      </c>
      <c r="N34" t="str">
        <f t="shared" si="0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装备!G35</f>
        <v>0</v>
      </c>
      <c r="F35">
        <f>装备!H35</f>
        <v>0</v>
      </c>
      <c r="G35" t="str">
        <f>IF(装备!I35="",0,"'"&amp;装备!I35&amp;"'")</f>
        <v>'E109'</v>
      </c>
      <c r="H35">
        <f>IF(装备!R35="",0,"'"&amp;装备!R35&amp;"'")</f>
        <v>0</v>
      </c>
      <c r="I35">
        <f>IF(装备!S35="",0,"'"&amp;装备!S35&amp;"'")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1"/>
        <v>InitEquipData('E108',0,0,19800,0,0,'E109',0,0)</v>
      </c>
      <c r="N35" t="str">
        <f t="shared" si="0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装备!G36</f>
        <v>0</v>
      </c>
      <c r="F36">
        <f>装备!H36</f>
        <v>0</v>
      </c>
      <c r="G36" t="str">
        <f>IF(装备!I36="",0,"'"&amp;装备!I36&amp;"'")</f>
        <v>'E110'</v>
      </c>
      <c r="H36">
        <f>IF(装备!R36="",0,"'"&amp;装备!R36&amp;"'")</f>
        <v>0</v>
      </c>
      <c r="I36">
        <f>IF(装备!S36="",0,"'"&amp;装备!S36&amp;"'")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1"/>
        <v>InitEquipData('E109',0,0,20400,0,0,'E110',0,0)</v>
      </c>
      <c r="N36" t="str">
        <f t="shared" si="0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装备!G37</f>
        <v>0</v>
      </c>
      <c r="F37">
        <f>装备!H37</f>
        <v>0</v>
      </c>
      <c r="G37" t="str">
        <f>IF(装备!I37="",0,"'"&amp;装备!I37&amp;"'")</f>
        <v>'E111'</v>
      </c>
      <c r="H37">
        <f>IF(装备!R37="",0,"'"&amp;装备!R37&amp;"'")</f>
        <v>0</v>
      </c>
      <c r="I37">
        <f>IF(装备!S37="",0,"'"&amp;装备!S37&amp;"'")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1"/>
        <v>InitEquipData('E110',0,0,21000,0,0,'E111',0,0)</v>
      </c>
      <c r="N37" t="str">
        <f t="shared" si="0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装备!G38</f>
        <v>0</v>
      </c>
      <c r="F38">
        <f>装备!H38</f>
        <v>0</v>
      </c>
      <c r="G38" t="str">
        <f>IF(装备!I38="",0,"'"&amp;装备!I38&amp;"'")</f>
        <v>'E112'</v>
      </c>
      <c r="H38">
        <f>IF(装备!R38="",0,"'"&amp;装备!R38&amp;"'")</f>
        <v>0</v>
      </c>
      <c r="I38">
        <f>IF(装备!S38="",0,"'"&amp;装备!S38&amp;"'")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1"/>
        <v>InitEquipData('E111',0,0,21800,0,0,'E112',0,0)</v>
      </c>
      <c r="N38" t="str">
        <f t="shared" si="0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装备!G39</f>
        <v>0</v>
      </c>
      <c r="F39">
        <f>装备!H39</f>
        <v>0</v>
      </c>
      <c r="G39" t="str">
        <f>IF(装备!I39="",0,"'"&amp;装备!I39&amp;"'")</f>
        <v>'E113'</v>
      </c>
      <c r="H39">
        <f>IF(装备!R39="",0,"'"&amp;装备!R39&amp;"'")</f>
        <v>0</v>
      </c>
      <c r="I39">
        <f>IF(装备!S39="",0,"'"&amp;装备!S39&amp;"'")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1"/>
        <v>InitEquipData('E112',0,0,22600,0,0,'E113',0,0)</v>
      </c>
      <c r="N39" t="str">
        <f t="shared" si="0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装备!G40</f>
        <v>0</v>
      </c>
      <c r="F40">
        <f>装备!H40</f>
        <v>0</v>
      </c>
      <c r="G40" t="str">
        <f>IF(装备!I40="",0,"'"&amp;装备!I40&amp;"'")</f>
        <v>'E114'</v>
      </c>
      <c r="H40">
        <f>IF(装备!R40="",0,"'"&amp;装备!R40&amp;"'")</f>
        <v>0</v>
      </c>
      <c r="I40">
        <f>IF(装备!S40="",0,"'"&amp;装备!S40&amp;"'")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1"/>
        <v>InitEquipData('E113',0,0,23400,0,0,'E114',0,0)</v>
      </c>
      <c r="N40" t="str">
        <f t="shared" si="0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装备!G41</f>
        <v>0</v>
      </c>
      <c r="F41">
        <f>装备!H41</f>
        <v>0</v>
      </c>
      <c r="G41" t="str">
        <f>IF(装备!I41="",0,"'"&amp;装备!I41&amp;"'")</f>
        <v>'E115'</v>
      </c>
      <c r="H41">
        <f>IF(装备!R41="",0,"'"&amp;装备!R41&amp;"'")</f>
        <v>0</v>
      </c>
      <c r="I41">
        <f>IF(装备!S41="",0,"'"&amp;装备!S41&amp;"'")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1"/>
        <v>InitEquipData('E114',0,0,24200,0,0,'E115',0,0)</v>
      </c>
      <c r="N41" t="str">
        <f t="shared" si="0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装备!G42</f>
        <v>0</v>
      </c>
      <c r="F42">
        <f>装备!H42</f>
        <v>0</v>
      </c>
      <c r="G42" t="str">
        <f>IF(装备!I42="",0,"'"&amp;装备!I42&amp;"'")</f>
        <v>'E116'</v>
      </c>
      <c r="H42">
        <f>IF(装备!R42="",0,"'"&amp;装备!R42&amp;"'")</f>
        <v>0</v>
      </c>
      <c r="I42">
        <f>IF(装备!S42="",0,"'"&amp;装备!S42&amp;"'")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1"/>
        <v>InitEquipData('E115',0,0,25000,0,0,'E116',0,0)</v>
      </c>
      <c r="N42" t="str">
        <f t="shared" si="0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装备!G43</f>
        <v>0</v>
      </c>
      <c r="F43">
        <f>装备!H43</f>
        <v>0</v>
      </c>
      <c r="G43" t="str">
        <f>IF(装备!I43="",0,"'"&amp;装备!I43&amp;"'")</f>
        <v>'E117'</v>
      </c>
      <c r="H43">
        <f>IF(装备!R43="",0,"'"&amp;装备!R43&amp;"'")</f>
        <v>0</v>
      </c>
      <c r="I43">
        <f>IF(装备!S43="",0,"'"&amp;装备!S43&amp;"'")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1"/>
        <v>InitEquipData('E116',0,0,26000,0,0,'E117',0,0)</v>
      </c>
      <c r="N43" t="str">
        <f t="shared" si="0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装备!G44</f>
        <v>0</v>
      </c>
      <c r="F44">
        <f>装备!H44</f>
        <v>0</v>
      </c>
      <c r="G44" t="str">
        <f>IF(装备!I44="",0,"'"&amp;装备!I44&amp;"'")</f>
        <v>'E118'</v>
      </c>
      <c r="H44">
        <f>IF(装备!R44="",0,"'"&amp;装备!R44&amp;"'")</f>
        <v>0</v>
      </c>
      <c r="I44">
        <f>IF(装备!S44="",0,"'"&amp;装备!S44&amp;"'")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1"/>
        <v>InitEquipData('E117',0,0,27000,0,0,'E118',0,0)</v>
      </c>
      <c r="N44" t="str">
        <f t="shared" si="0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装备!G45</f>
        <v>0</v>
      </c>
      <c r="F45">
        <f>装备!H45</f>
        <v>0</v>
      </c>
      <c r="G45" t="str">
        <f>IF(装备!I45="",0,"'"&amp;装备!I45&amp;"'")</f>
        <v>'E119'</v>
      </c>
      <c r="H45">
        <f>IF(装备!R45="",0,"'"&amp;装备!R45&amp;"'")</f>
        <v>0</v>
      </c>
      <c r="I45">
        <f>IF(装备!S45="",0,"'"&amp;装备!S45&amp;"'")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1"/>
        <v>InitEquipData('E118',0,0,28000,0,0,'E119',0,0)</v>
      </c>
      <c r="N45" t="str">
        <f t="shared" si="0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装备!G46</f>
        <v>0</v>
      </c>
      <c r="F46">
        <f>装备!H46</f>
        <v>0</v>
      </c>
      <c r="G46" t="str">
        <f>IF(装备!I46="",0,"'"&amp;装备!I46&amp;"'")</f>
        <v>'E120'</v>
      </c>
      <c r="H46">
        <f>IF(装备!R46="",0,"'"&amp;装备!R46&amp;"'")</f>
        <v>0</v>
      </c>
      <c r="I46">
        <f>IF(装备!S46="",0,"'"&amp;装备!S46&amp;"'")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1"/>
        <v>InitEquipData('E119',0,0,29000,0,0,'E120',0,0)</v>
      </c>
      <c r="N46" t="str">
        <f t="shared" si="0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装备!G47</f>
        <v>0</v>
      </c>
      <c r="F47">
        <f>装备!H47</f>
        <v>0</v>
      </c>
      <c r="G47" t="str">
        <f>IF(装备!I47="",0,"'"&amp;装备!I47&amp;"'")</f>
        <v>'E121'</v>
      </c>
      <c r="H47">
        <f>IF(装备!R47="",0,"'"&amp;装备!R47&amp;"'")</f>
        <v>0</v>
      </c>
      <c r="I47">
        <f>IF(装备!S47="",0,"'"&amp;装备!S47&amp;"'")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1"/>
        <v>InitEquipData('E120',0,0,30000,0,0,'E121',0,0)</v>
      </c>
      <c r="N47" t="str">
        <f t="shared" si="0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装备!G48</f>
        <v>0</v>
      </c>
      <c r="F48">
        <f>装备!H48</f>
        <v>0</v>
      </c>
      <c r="G48" t="str">
        <f>IF(装备!I48="",0,"'"&amp;装备!I48&amp;"'")</f>
        <v>'E122'</v>
      </c>
      <c r="H48">
        <f>IF(装备!R48="",0,"'"&amp;装备!R48&amp;"'")</f>
        <v>0</v>
      </c>
      <c r="I48">
        <f>IF(装备!S48="",0,"'"&amp;装备!S48&amp;"'")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1"/>
        <v>InitEquipData('E121',0,0,31200,0,0,'E122',0,0)</v>
      </c>
      <c r="N48" t="str">
        <f t="shared" si="0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装备!G49</f>
        <v>0</v>
      </c>
      <c r="F49">
        <f>装备!H49</f>
        <v>0</v>
      </c>
      <c r="G49" t="str">
        <f>IF(装备!I49="",0,"'"&amp;装备!I49&amp;"'")</f>
        <v>'E123'</v>
      </c>
      <c r="H49">
        <f>IF(装备!R49="",0,"'"&amp;装备!R49&amp;"'")</f>
        <v>0</v>
      </c>
      <c r="I49">
        <f>IF(装备!S49="",0,"'"&amp;装备!S49&amp;"'")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1"/>
        <v>InitEquipData('E122',0,0,32400,0,0,'E123',0,0)</v>
      </c>
      <c r="N49" t="str">
        <f t="shared" si="0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装备!G50</f>
        <v>0</v>
      </c>
      <c r="F50">
        <f>装备!H50</f>
        <v>0</v>
      </c>
      <c r="G50" t="str">
        <f>IF(装备!I50="",0,"'"&amp;装备!I50&amp;"'")</f>
        <v>'E124'</v>
      </c>
      <c r="H50">
        <f>IF(装备!R50="",0,"'"&amp;装备!R50&amp;"'")</f>
        <v>0</v>
      </c>
      <c r="I50">
        <f>IF(装备!S50="",0,"'"&amp;装备!S50&amp;"'")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1"/>
        <v>InitEquipData('E123',0,0,33600,0,0,'E124',0,0)</v>
      </c>
      <c r="N50" t="str">
        <f t="shared" si="0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装备!G51</f>
        <v>0</v>
      </c>
      <c r="F51">
        <f>装备!H51</f>
        <v>0</v>
      </c>
      <c r="G51" t="str">
        <f>IF(装备!I51="",0,"'"&amp;装备!I51&amp;"'")</f>
        <v>'E125'</v>
      </c>
      <c r="H51">
        <f>IF(装备!R51="",0,"'"&amp;装备!R51&amp;"'")</f>
        <v>0</v>
      </c>
      <c r="I51">
        <f>IF(装备!S51="",0,"'"&amp;装备!S51&amp;"'")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1"/>
        <v>InitEquipData('E124',0,0,34800,0,0,'E125',0,0)</v>
      </c>
      <c r="N51" t="str">
        <f t="shared" si="0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装备!G52</f>
        <v>0</v>
      </c>
      <c r="F52">
        <f>装备!H52</f>
        <v>0</v>
      </c>
      <c r="G52">
        <f>IF(装备!I52="",0,"'"&amp;装备!I52&amp;"'")</f>
        <v>0</v>
      </c>
      <c r="H52">
        <f>IF(装备!R52="",0,"'"&amp;装备!R52&amp;"'")</f>
        <v>0</v>
      </c>
      <c r="I52">
        <f>IF(装备!S52="",0,"'"&amp;装备!S52&amp;"'")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1"/>
        <v/>
      </c>
      <c r="N52" t="str">
        <f t="shared" si="0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装备!G53</f>
        <v>0</v>
      </c>
      <c r="F53">
        <f>装备!H53</f>
        <v>0</v>
      </c>
      <c r="G53" t="str">
        <f>IF(装备!I53="",0,"'"&amp;装备!I53&amp;"'")</f>
        <v>'E202'</v>
      </c>
      <c r="H53">
        <f>IF(装备!R53="",0,"'"&amp;装备!R53&amp;"'")</f>
        <v>0</v>
      </c>
      <c r="I53">
        <f>IF(装备!S53="",0,"'"&amp;装备!S53&amp;"'")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1"/>
        <v>InitEquipData('E201',0,0,6000,0,0,'E202',0,0)</v>
      </c>
      <c r="N53" t="str">
        <f t="shared" si="0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装备!G54</f>
        <v>0</v>
      </c>
      <c r="F54">
        <f>装备!H54</f>
        <v>0</v>
      </c>
      <c r="G54" t="str">
        <f>IF(装备!I54="",0,"'"&amp;装备!I54&amp;"'")</f>
        <v>'E203'</v>
      </c>
      <c r="H54">
        <f>IF(装备!R54="",0,"'"&amp;装备!R54&amp;"'")</f>
        <v>0</v>
      </c>
      <c r="I54">
        <f>IF(装备!S54="",0,"'"&amp;装备!S54&amp;"'")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1"/>
        <v>InitEquipData('E202',0,0,9000,0,0,'E203',0,0)</v>
      </c>
      <c r="N54" t="str">
        <f t="shared" si="0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装备!G55</f>
        <v>0</v>
      </c>
      <c r="F55">
        <f>装备!H55</f>
        <v>0</v>
      </c>
      <c r="G55" t="str">
        <f>IF(装备!I55="",0,"'"&amp;装备!I55&amp;"'")</f>
        <v>'E204'</v>
      </c>
      <c r="H55">
        <f>IF(装备!R55="",0,"'"&amp;装备!R55&amp;"'")</f>
        <v>0</v>
      </c>
      <c r="I55">
        <f>IF(装备!S55="",0,"'"&amp;装备!S55&amp;"'")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1"/>
        <v>InitEquipData('E203',0,0,12000,0,0,'E204',0,0)</v>
      </c>
      <c r="N55" t="str">
        <f t="shared" si="0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装备!G56</f>
        <v>0</v>
      </c>
      <c r="F56">
        <f>装备!H56</f>
        <v>0</v>
      </c>
      <c r="G56" t="str">
        <f>IF(装备!I56="",0,"'"&amp;装备!I56&amp;"'")</f>
        <v>'E205'</v>
      </c>
      <c r="H56">
        <f>IF(装备!R56="",0,"'"&amp;装备!R56&amp;"'")</f>
        <v>0</v>
      </c>
      <c r="I56">
        <f>IF(装备!S56="",0,"'"&amp;装备!S56&amp;"'")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1"/>
        <v>InitEquipData('E204',0,0,15000,0,0,'E205',0,0)</v>
      </c>
      <c r="N56" t="str">
        <f t="shared" si="0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装备!G57</f>
        <v>0</v>
      </c>
      <c r="F57">
        <f>装备!H57</f>
        <v>0</v>
      </c>
      <c r="G57" t="str">
        <f>IF(装备!I57="",0,"'"&amp;装备!I57&amp;"'")</f>
        <v>'E206'</v>
      </c>
      <c r="H57">
        <f>IF(装备!R57="",0,"'"&amp;装备!R57&amp;"'")</f>
        <v>0</v>
      </c>
      <c r="I57">
        <f>IF(装备!S57="",0,"'"&amp;装备!S57&amp;"'")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1"/>
        <v>InitEquipData('E205',0,0,18000,0,0,'E206',0,0)</v>
      </c>
      <c r="N57" t="str">
        <f t="shared" si="0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装备!G58</f>
        <v>0</v>
      </c>
      <c r="F58">
        <f>装备!H58</f>
        <v>0</v>
      </c>
      <c r="G58" t="str">
        <f>IF(装备!I58="",0,"'"&amp;装备!I58&amp;"'")</f>
        <v>'E207'</v>
      </c>
      <c r="H58">
        <f>IF(装备!R58="",0,"'"&amp;装备!R58&amp;"'")</f>
        <v>0</v>
      </c>
      <c r="I58">
        <f>IF(装备!S58="",0,"'"&amp;装备!S58&amp;"'")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1"/>
        <v>InitEquipData('E206',0,0,18600,0,0,'E207',0,0)</v>
      </c>
      <c r="N58" t="str">
        <f t="shared" si="0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装备!G59</f>
        <v>0</v>
      </c>
      <c r="F59">
        <f>装备!H59</f>
        <v>0</v>
      </c>
      <c r="G59" t="str">
        <f>IF(装备!I59="",0,"'"&amp;装备!I59&amp;"'")</f>
        <v>'E208'</v>
      </c>
      <c r="H59">
        <f>IF(装备!R59="",0,"'"&amp;装备!R59&amp;"'")</f>
        <v>0</v>
      </c>
      <c r="I59">
        <f>IF(装备!S59="",0,"'"&amp;装备!S59&amp;"'")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1"/>
        <v>InitEquipData('E207',0,0,19200,0,0,'E208',0,0)</v>
      </c>
      <c r="N59" t="str">
        <f t="shared" si="0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装备!G60</f>
        <v>0</v>
      </c>
      <c r="F60">
        <f>装备!H60</f>
        <v>0</v>
      </c>
      <c r="G60" t="str">
        <f>IF(装备!I60="",0,"'"&amp;装备!I60&amp;"'")</f>
        <v>'E209'</v>
      </c>
      <c r="H60">
        <f>IF(装备!R60="",0,"'"&amp;装备!R60&amp;"'")</f>
        <v>0</v>
      </c>
      <c r="I60">
        <f>IF(装备!S60="",0,"'"&amp;装备!S60&amp;"'")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1"/>
        <v>InitEquipData('E208',0,0,19800,0,0,'E209',0,0)</v>
      </c>
      <c r="N60" t="str">
        <f t="shared" si="0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装备!G61</f>
        <v>0</v>
      </c>
      <c r="F61">
        <f>装备!H61</f>
        <v>0</v>
      </c>
      <c r="G61" t="str">
        <f>IF(装备!I61="",0,"'"&amp;装备!I61&amp;"'")</f>
        <v>'E210'</v>
      </c>
      <c r="H61">
        <f>IF(装备!R61="",0,"'"&amp;装备!R61&amp;"'")</f>
        <v>0</v>
      </c>
      <c r="I61">
        <f>IF(装备!S61="",0,"'"&amp;装备!S61&amp;"'")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1"/>
        <v>InitEquipData('E209',0,0,20400,0,0,'E210',0,0)</v>
      </c>
      <c r="N61" t="str">
        <f t="shared" si="0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装备!G62</f>
        <v>0</v>
      </c>
      <c r="F62">
        <f>装备!H62</f>
        <v>0</v>
      </c>
      <c r="G62" t="str">
        <f>IF(装备!I62="",0,"'"&amp;装备!I62&amp;"'")</f>
        <v>'E211'</v>
      </c>
      <c r="H62">
        <f>IF(装备!R62="",0,"'"&amp;装备!R62&amp;"'")</f>
        <v>0</v>
      </c>
      <c r="I62">
        <f>IF(装备!S62="",0,"'"&amp;装备!S62&amp;"'")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1"/>
        <v>InitEquipData('E210',0,0,21000,0,0,'E211',0,0)</v>
      </c>
      <c r="N62" t="str">
        <f t="shared" si="0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装备!G63</f>
        <v>0</v>
      </c>
      <c r="F63">
        <f>装备!H63</f>
        <v>0</v>
      </c>
      <c r="G63" t="str">
        <f>IF(装备!I63="",0,"'"&amp;装备!I63&amp;"'")</f>
        <v>'E212'</v>
      </c>
      <c r="H63">
        <f>IF(装备!R63="",0,"'"&amp;装备!R63&amp;"'")</f>
        <v>0</v>
      </c>
      <c r="I63">
        <f>IF(装备!S63="",0,"'"&amp;装备!S63&amp;"'")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1"/>
        <v>InitEquipData('E211',0,0,21800,0,0,'E212',0,0)</v>
      </c>
      <c r="N63" t="str">
        <f t="shared" si="0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装备!G64</f>
        <v>0</v>
      </c>
      <c r="F64">
        <f>装备!H64</f>
        <v>0</v>
      </c>
      <c r="G64" t="str">
        <f>IF(装备!I64="",0,"'"&amp;装备!I64&amp;"'")</f>
        <v>'E213'</v>
      </c>
      <c r="H64">
        <f>IF(装备!R64="",0,"'"&amp;装备!R64&amp;"'")</f>
        <v>0</v>
      </c>
      <c r="I64">
        <f>IF(装备!S64="",0,"'"&amp;装备!S64&amp;"'")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1"/>
        <v>InitEquipData('E212',0,0,22600,0,0,'E213',0,0)</v>
      </c>
      <c r="N64" t="str">
        <f t="shared" si="0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装备!G65</f>
        <v>0</v>
      </c>
      <c r="F65">
        <f>装备!H65</f>
        <v>0</v>
      </c>
      <c r="G65" t="str">
        <f>IF(装备!I65="",0,"'"&amp;装备!I65&amp;"'")</f>
        <v>'E214'</v>
      </c>
      <c r="H65">
        <f>IF(装备!R65="",0,"'"&amp;装备!R65&amp;"'")</f>
        <v>0</v>
      </c>
      <c r="I65">
        <f>IF(装备!S65="",0,"'"&amp;装备!S65&amp;"'")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1"/>
        <v>InitEquipData('E213',0,0,23400,0,0,'E214',0,0)</v>
      </c>
      <c r="N65" t="str">
        <f t="shared" si="0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装备!G66</f>
        <v>0</v>
      </c>
      <c r="F66">
        <f>装备!H66</f>
        <v>0</v>
      </c>
      <c r="G66" t="str">
        <f>IF(装备!I66="",0,"'"&amp;装备!I66&amp;"'")</f>
        <v>'E215'</v>
      </c>
      <c r="H66">
        <f>IF(装备!R66="",0,"'"&amp;装备!R66&amp;"'")</f>
        <v>0</v>
      </c>
      <c r="I66">
        <f>IF(装备!S66="",0,"'"&amp;装备!S66&amp;"'")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1"/>
        <v>InitEquipData('E214',0,0,24200,0,0,'E215',0,0)</v>
      </c>
      <c r="N66" t="str">
        <f t="shared" si="0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装备!G67</f>
        <v>0</v>
      </c>
      <c r="F67">
        <f>装备!H67</f>
        <v>0</v>
      </c>
      <c r="G67" t="str">
        <f>IF(装备!I67="",0,"'"&amp;装备!I67&amp;"'")</f>
        <v>'E216'</v>
      </c>
      <c r="H67">
        <f>IF(装备!R67="",0,"'"&amp;装备!R67&amp;"'")</f>
        <v>0</v>
      </c>
      <c r="I67">
        <f>IF(装备!S67="",0,"'"&amp;装备!S67&amp;"'")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1"/>
        <v>InitEquipData('E215',0,0,25000,0,0,'E216',0,0)</v>
      </c>
      <c r="N67" t="str">
        <f t="shared" ref="N67:N130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装备!G68</f>
        <v>0</v>
      </c>
      <c r="F68">
        <f>装备!H68</f>
        <v>0</v>
      </c>
      <c r="G68" t="str">
        <f>IF(装备!I68="",0,"'"&amp;装备!I68&amp;"'")</f>
        <v>'E217'</v>
      </c>
      <c r="H68">
        <f>IF(装备!R68="",0,"'"&amp;装备!R68&amp;"'")</f>
        <v>0</v>
      </c>
      <c r="I68">
        <f>IF(装备!S68="",0,"'"&amp;装备!S68&amp;"'")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131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装备!G69</f>
        <v>0</v>
      </c>
      <c r="F69">
        <f>装备!H69</f>
        <v>0</v>
      </c>
      <c r="G69" t="str">
        <f>IF(装备!I69="",0,"'"&amp;装备!I69&amp;"'")</f>
        <v>'E218'</v>
      </c>
      <c r="H69">
        <f>IF(装备!R69="",0,"'"&amp;装备!R69&amp;"'")</f>
        <v>0</v>
      </c>
      <c r="I69">
        <f>IF(装备!S69="",0,"'"&amp;装备!S69&amp;"'")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装备!G70</f>
        <v>0</v>
      </c>
      <c r="F70">
        <f>装备!H70</f>
        <v>0</v>
      </c>
      <c r="G70" t="str">
        <f>IF(装备!I70="",0,"'"&amp;装备!I70&amp;"'")</f>
        <v>'E219'</v>
      </c>
      <c r="H70">
        <f>IF(装备!R70="",0,"'"&amp;装备!R70&amp;"'")</f>
        <v>0</v>
      </c>
      <c r="I70">
        <f>IF(装备!S70="",0,"'"&amp;装备!S70&amp;"'")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装备!G71</f>
        <v>0</v>
      </c>
      <c r="F71">
        <f>装备!H71</f>
        <v>0</v>
      </c>
      <c r="G71" t="str">
        <f>IF(装备!I71="",0,"'"&amp;装备!I71&amp;"'")</f>
        <v>'E220'</v>
      </c>
      <c r="H71">
        <f>IF(装备!R71="",0,"'"&amp;装备!R71&amp;"'")</f>
        <v>0</v>
      </c>
      <c r="I71">
        <f>IF(装备!S71="",0,"'"&amp;装备!S71&amp;"'")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装备!G72</f>
        <v>0</v>
      </c>
      <c r="F72">
        <f>装备!H72</f>
        <v>0</v>
      </c>
      <c r="G72" t="str">
        <f>IF(装备!I72="",0,"'"&amp;装备!I72&amp;"'")</f>
        <v>'E221'</v>
      </c>
      <c r="H72">
        <f>IF(装备!R72="",0,"'"&amp;装备!R72&amp;"'")</f>
        <v>0</v>
      </c>
      <c r="I72">
        <f>IF(装备!S72="",0,"'"&amp;装备!S72&amp;"'")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InitEquipData('E220',0,0,30000,0,0,'E221',0,0)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装备!G73</f>
        <v>0</v>
      </c>
      <c r="F73">
        <f>装备!H73</f>
        <v>0</v>
      </c>
      <c r="G73" t="str">
        <f>IF(装备!I73="",0,"'"&amp;装备!I73&amp;"'")</f>
        <v>'E222'</v>
      </c>
      <c r="H73">
        <f>IF(装备!R73="",0,"'"&amp;装备!R73&amp;"'")</f>
        <v>0</v>
      </c>
      <c r="I73">
        <f>IF(装备!S73="",0,"'"&amp;装备!S73&amp;"'")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装备!G74</f>
        <v>0</v>
      </c>
      <c r="F74">
        <f>装备!H74</f>
        <v>0</v>
      </c>
      <c r="G74" t="str">
        <f>IF(装备!I74="",0,"'"&amp;装备!I74&amp;"'")</f>
        <v>'E223'</v>
      </c>
      <c r="H74">
        <f>IF(装备!R74="",0,"'"&amp;装备!R74&amp;"'")</f>
        <v>0</v>
      </c>
      <c r="I74">
        <f>IF(装备!S74="",0,"'"&amp;装备!S74&amp;"'")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装备!G75</f>
        <v>0</v>
      </c>
      <c r="F75">
        <f>装备!H75</f>
        <v>0</v>
      </c>
      <c r="G75" t="str">
        <f>IF(装备!I75="",0,"'"&amp;装备!I75&amp;"'")</f>
        <v>'E224'</v>
      </c>
      <c r="H75">
        <f>IF(装备!R75="",0,"'"&amp;装备!R75&amp;"'")</f>
        <v>0</v>
      </c>
      <c r="I75">
        <f>IF(装备!S75="",0,"'"&amp;装备!S75&amp;"'")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装备!G76</f>
        <v>0</v>
      </c>
      <c r="F76">
        <f>装备!H76</f>
        <v>0</v>
      </c>
      <c r="G76" t="str">
        <f>IF(装备!I76="",0,"'"&amp;装备!I76&amp;"'")</f>
        <v>'E225'</v>
      </c>
      <c r="H76">
        <f>IF(装备!R76="",0,"'"&amp;装备!R76&amp;"'")</f>
        <v>0</v>
      </c>
      <c r="I76">
        <f>IF(装备!S76="",0,"'"&amp;装备!S76&amp;"'")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装备!G77</f>
        <v>0</v>
      </c>
      <c r="F77">
        <f>装备!H77</f>
        <v>0</v>
      </c>
      <c r="G77">
        <f>IF(装备!I77="",0,"'"&amp;装备!I77&amp;"'")</f>
        <v>0</v>
      </c>
      <c r="H77">
        <f>IF(装备!R77="",0,"'"&amp;装备!R77&amp;"'")</f>
        <v>0</v>
      </c>
      <c r="I77">
        <f>IF(装备!S77="",0,"'"&amp;装备!S77&amp;"'")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装备!G78</f>
        <v>0</v>
      </c>
      <c r="F78">
        <f>装备!H78</f>
        <v>0</v>
      </c>
      <c r="G78">
        <f>IF(装备!I78="",0,"'"&amp;装备!I78&amp;"'")</f>
        <v>0</v>
      </c>
      <c r="H78">
        <f>IF(装备!R78="",0,"'"&amp;装备!R78&amp;"'")</f>
        <v>0</v>
      </c>
      <c r="I78">
        <f>IF(装备!S78="",0,"'"&amp;装备!S78&amp;"'")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装备!G79</f>
        <v>0</v>
      </c>
      <c r="F79">
        <f>装备!H79</f>
        <v>0</v>
      </c>
      <c r="G79">
        <f>IF(装备!I79="",0,"'"&amp;装备!I79&amp;"'")</f>
        <v>0</v>
      </c>
      <c r="H79">
        <f>IF(装备!R79="",0,"'"&amp;装备!R79&amp;"'")</f>
        <v>0</v>
      </c>
      <c r="I79">
        <f>IF(装备!S79="",0,"'"&amp;装备!S79&amp;"'")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装备!G80</f>
        <v>0</v>
      </c>
      <c r="F80">
        <f>装备!H80</f>
        <v>0</v>
      </c>
      <c r="G80">
        <f>IF(装备!I80="",0,"'"&amp;装备!I80&amp;"'")</f>
        <v>0</v>
      </c>
      <c r="H80">
        <f>IF(装备!R80="",0,"'"&amp;装备!R80&amp;"'")</f>
        <v>0</v>
      </c>
      <c r="I80">
        <f>IF(装备!S80="",0,"'"&amp;装备!S80&amp;"'")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装备!G81</f>
        <v>0</v>
      </c>
      <c r="F81">
        <f>装备!H81</f>
        <v>0</v>
      </c>
      <c r="G81">
        <f>IF(装备!I81="",0,"'"&amp;装备!I81&amp;"'")</f>
        <v>0</v>
      </c>
      <c r="H81">
        <f>IF(装备!R81="",0,"'"&amp;装备!R81&amp;"'")</f>
        <v>0</v>
      </c>
      <c r="I81">
        <f>IF(装备!S81="",0,"'"&amp;装备!S81&amp;"'")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装备!G82</f>
        <v>0</v>
      </c>
      <c r="F82">
        <f>装备!H82</f>
        <v>0</v>
      </c>
      <c r="G82">
        <f>IF(装备!I82="",0,"'"&amp;装备!I82&amp;"'")</f>
        <v>0</v>
      </c>
      <c r="H82">
        <f>IF(装备!R82="",0,"'"&amp;装备!R82&amp;"'")</f>
        <v>0</v>
      </c>
      <c r="I82">
        <f>IF(装备!S82="",0,"'"&amp;装备!S82&amp;"'")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装备!G83</f>
        <v>0</v>
      </c>
      <c r="F83">
        <f>装备!H83</f>
        <v>0</v>
      </c>
      <c r="G83">
        <f>IF(装备!I83="",0,"'"&amp;装备!I83&amp;"'")</f>
        <v>0</v>
      </c>
      <c r="H83">
        <f>IF(装备!R83="",0,"'"&amp;装备!R83&amp;"'")</f>
        <v>0</v>
      </c>
      <c r="I83">
        <f>IF(装备!S83="",0,"'"&amp;装备!S83&amp;"'")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装备!G84</f>
        <v>0</v>
      </c>
      <c r="F84">
        <f>装备!H84</f>
        <v>0</v>
      </c>
      <c r="G84">
        <f>IF(装备!I84="",0,"'"&amp;装备!I84&amp;"'")</f>
        <v>0</v>
      </c>
      <c r="H84">
        <f>IF(装备!R84="",0,"'"&amp;装备!R84&amp;"'")</f>
        <v>0</v>
      </c>
      <c r="I84">
        <f>IF(装备!S84="",0,"'"&amp;装备!S84&amp;"'")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装备!G85</f>
        <v>0</v>
      </c>
      <c r="F85">
        <f>装备!H85</f>
        <v>0</v>
      </c>
      <c r="G85">
        <f>IF(装备!I85="",0,"'"&amp;装备!I85&amp;"'")</f>
        <v>0</v>
      </c>
      <c r="H85">
        <f>IF(装备!R85="",0,"'"&amp;装备!R85&amp;"'")</f>
        <v>0</v>
      </c>
      <c r="I85">
        <f>IF(装备!S85="",0,"'"&amp;装备!S85&amp;"'")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装备!G86</f>
        <v>0</v>
      </c>
      <c r="F86">
        <f>装备!H86</f>
        <v>0</v>
      </c>
      <c r="G86">
        <f>IF(装备!I86="",0,"'"&amp;装备!I86&amp;"'")</f>
        <v>0</v>
      </c>
      <c r="H86">
        <f>IF(装备!R86="",0,"'"&amp;装备!R86&amp;"'")</f>
        <v>0</v>
      </c>
      <c r="I86">
        <f>IF(装备!S86="",0,"'"&amp;装备!S86&amp;"'")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装备!G87</f>
        <v>0</v>
      </c>
      <c r="F87">
        <f>装备!H87</f>
        <v>0</v>
      </c>
      <c r="G87">
        <f>IF(装备!I87="",0,"'"&amp;装备!I87&amp;"'")</f>
        <v>0</v>
      </c>
      <c r="H87">
        <f>IF(装备!R87="",0,"'"&amp;装备!R87&amp;"'")</f>
        <v>0</v>
      </c>
      <c r="I87">
        <f>IF(装备!S87="",0,"'"&amp;装备!S87&amp;"'")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装备!G88</f>
        <v>0</v>
      </c>
      <c r="F88">
        <f>装备!H88</f>
        <v>0</v>
      </c>
      <c r="G88">
        <f>IF(装备!I88="",0,"'"&amp;装备!I88&amp;"'")</f>
        <v>0</v>
      </c>
      <c r="H88">
        <f>IF(装备!R88="",0,"'"&amp;装备!R88&amp;"'")</f>
        <v>0</v>
      </c>
      <c r="I88">
        <f>IF(装备!S88="",0,"'"&amp;装备!S88&amp;"'")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装备!G89</f>
        <v>0</v>
      </c>
      <c r="F89">
        <f>装备!H89</f>
        <v>0</v>
      </c>
      <c r="G89">
        <f>IF(装备!I89="",0,"'"&amp;装备!I89&amp;"'")</f>
        <v>0</v>
      </c>
      <c r="H89">
        <f>IF(装备!R89="",0,"'"&amp;装备!R89&amp;"'")</f>
        <v>0</v>
      </c>
      <c r="I89">
        <f>IF(装备!S89="",0,"'"&amp;装备!S89&amp;"'")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装备!G90</f>
        <v>0</v>
      </c>
      <c r="F90">
        <f>装备!H90</f>
        <v>0</v>
      </c>
      <c r="G90">
        <f>IF(装备!I90="",0,"'"&amp;装备!I90&amp;"'")</f>
        <v>0</v>
      </c>
      <c r="H90">
        <f>IF(装备!R90="",0,"'"&amp;装备!R90&amp;"'")</f>
        <v>0</v>
      </c>
      <c r="I90">
        <f>IF(装备!S90="",0,"'"&amp;装备!S90&amp;"'")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装备!G91</f>
        <v>0</v>
      </c>
      <c r="F91">
        <f>装备!H91</f>
        <v>0</v>
      </c>
      <c r="G91">
        <f>IF(装备!I91="",0,"'"&amp;装备!I91&amp;"'")</f>
        <v>0</v>
      </c>
      <c r="H91">
        <f>IF(装备!R91="",0,"'"&amp;装备!R91&amp;"'")</f>
        <v>0</v>
      </c>
      <c r="I91">
        <f>IF(装备!S91="",0,"'"&amp;装备!S91&amp;"'")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装备!G92</f>
        <v>0</v>
      </c>
      <c r="F92">
        <f>装备!H92</f>
        <v>0</v>
      </c>
      <c r="G92">
        <f>IF(装备!I92="",0,"'"&amp;装备!I92&amp;"'")</f>
        <v>0</v>
      </c>
      <c r="H92">
        <f>IF(装备!R92="",0,"'"&amp;装备!R92&amp;"'")</f>
        <v>0</v>
      </c>
      <c r="I92">
        <f>IF(装备!S92="",0,"'"&amp;装备!S92&amp;"'")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装备!G93</f>
        <v>0</v>
      </c>
      <c r="F93">
        <f>装备!H93</f>
        <v>0</v>
      </c>
      <c r="G93">
        <f>IF(装备!I93="",0,"'"&amp;装备!I93&amp;"'")</f>
        <v>0</v>
      </c>
      <c r="H93">
        <f>IF(装备!R93="",0,"'"&amp;装备!R93&amp;"'")</f>
        <v>0</v>
      </c>
      <c r="I93">
        <f>IF(装备!S93="",0,"'"&amp;装备!S93&amp;"'")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装备!G94</f>
        <v>0</v>
      </c>
      <c r="F94">
        <f>装备!H94</f>
        <v>0</v>
      </c>
      <c r="G94">
        <f>IF(装备!I94="",0,"'"&amp;装备!I94&amp;"'")</f>
        <v>0</v>
      </c>
      <c r="H94">
        <f>IF(装备!R94="",0,"'"&amp;装备!R94&amp;"'")</f>
        <v>0</v>
      </c>
      <c r="I94">
        <f>IF(装备!S94="",0,"'"&amp;装备!S94&amp;"'")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装备!G95</f>
        <v>0</v>
      </c>
      <c r="F95">
        <f>装备!H95</f>
        <v>0</v>
      </c>
      <c r="G95">
        <f>IF(装备!I95="",0,"'"&amp;装备!I95&amp;"'")</f>
        <v>0</v>
      </c>
      <c r="H95">
        <f>IF(装备!R95="",0,"'"&amp;装备!R95&amp;"'")</f>
        <v>0</v>
      </c>
      <c r="I95">
        <f>IF(装备!S95="",0,"'"&amp;装备!S95&amp;"'")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装备!G96</f>
        <v>0</v>
      </c>
      <c r="F96">
        <f>装备!H96</f>
        <v>0</v>
      </c>
      <c r="G96">
        <f>IF(装备!I96="",0,"'"&amp;装备!I96&amp;"'")</f>
        <v>0</v>
      </c>
      <c r="H96">
        <f>IF(装备!R96="",0,"'"&amp;装备!R96&amp;"'")</f>
        <v>0</v>
      </c>
      <c r="I96">
        <f>IF(装备!S96="",0,"'"&amp;装备!S96&amp;"'")</f>
        <v>0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/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装备!G97</f>
        <v>0</v>
      </c>
      <c r="F97">
        <f>装备!H97</f>
        <v>0</v>
      </c>
      <c r="G97">
        <f>IF(装备!I97="",0,"'"&amp;装备!I97&amp;"'")</f>
        <v>0</v>
      </c>
      <c r="H97">
        <f>IF(装备!R97="",0,"'"&amp;装备!R97&amp;"'")</f>
        <v>0</v>
      </c>
      <c r="I97">
        <f>IF(装备!S97="",0,"'"&amp;装备!S97&amp;"'")</f>
        <v>0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si="3"/>
        <v/>
      </c>
      <c r="N97" t="str">
        <f t="shared" si="2"/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装备!G98</f>
        <v>0</v>
      </c>
      <c r="F98">
        <f>装备!H98</f>
        <v>0</v>
      </c>
      <c r="G98">
        <f>IF(装备!I98="",0,"'"&amp;装备!I98&amp;"'")</f>
        <v>0</v>
      </c>
      <c r="H98">
        <f>IF(装备!R98="",0,"'"&amp;装备!R98&amp;"'")</f>
        <v>0</v>
      </c>
      <c r="I98">
        <f>IF(装备!S98="",0,"'"&amp;装备!S98&amp;"'")</f>
        <v>0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3"/>
        <v/>
      </c>
      <c r="N98" t="str">
        <f t="shared" si="2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装备!G99</f>
        <v>0</v>
      </c>
      <c r="F99">
        <f>装备!H99</f>
        <v>0</v>
      </c>
      <c r="G99">
        <f>IF(装备!I99="",0,"'"&amp;装备!I99&amp;"'")</f>
        <v>0</v>
      </c>
      <c r="H99">
        <f>IF(装备!R99="",0,"'"&amp;装备!R99&amp;"'")</f>
        <v>0</v>
      </c>
      <c r="I99">
        <f>IF(装备!S99="",0,"'"&amp;装备!S99&amp;"'")</f>
        <v>0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3"/>
        <v/>
      </c>
      <c r="N99" t="str">
        <f t="shared" si="2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装备!G100</f>
        <v>0</v>
      </c>
      <c r="F100">
        <f>装备!H100</f>
        <v>0</v>
      </c>
      <c r="G100">
        <f>IF(装备!I100="",0,"'"&amp;装备!I100&amp;"'")</f>
        <v>0</v>
      </c>
      <c r="H100">
        <f>IF(装备!R100="",0,"'"&amp;装备!R100&amp;"'")</f>
        <v>0</v>
      </c>
      <c r="I100">
        <f>IF(装备!S100="",0,"'"&amp;装备!S100&amp;"'")</f>
        <v>0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3"/>
        <v/>
      </c>
      <c r="N100" t="str">
        <f t="shared" si="2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装备!G101</f>
        <v>0</v>
      </c>
      <c r="F101">
        <f>装备!H101</f>
        <v>0</v>
      </c>
      <c r="G101">
        <f>IF(装备!I101="",0,"'"&amp;装备!I101&amp;"'")</f>
        <v>0</v>
      </c>
      <c r="H101">
        <f>IF(装备!R101="",0,"'"&amp;装备!R101&amp;"'")</f>
        <v>0</v>
      </c>
      <c r="I101">
        <f>IF(装备!S101="",0,"'"&amp;装备!S101&amp;"'")</f>
        <v>0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3"/>
        <v/>
      </c>
      <c r="N101" t="str">
        <f t="shared" si="2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装备!G102</f>
        <v>0</v>
      </c>
      <c r="F102">
        <f>装备!H102</f>
        <v>0</v>
      </c>
      <c r="G102">
        <f>IF(装备!I102="",0,"'"&amp;装备!I102&amp;"'")</f>
        <v>0</v>
      </c>
      <c r="H102">
        <f>IF(装备!R102="",0,"'"&amp;装备!R102&amp;"'")</f>
        <v>0</v>
      </c>
      <c r="I102">
        <f>IF(装备!S102="",0,"'"&amp;装备!S102&amp;"'")</f>
        <v>0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3"/>
        <v/>
      </c>
      <c r="N102" t="str">
        <f t="shared" si="2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装备!G103</f>
        <v>0</v>
      </c>
      <c r="F103">
        <f>装备!H103</f>
        <v>0</v>
      </c>
      <c r="G103">
        <f>IF(装备!I103="",0,"'"&amp;装备!I103&amp;"'")</f>
        <v>0</v>
      </c>
      <c r="H103">
        <f>IF(装备!R103="",0,"'"&amp;装备!R103&amp;"'")</f>
        <v>0</v>
      </c>
      <c r="I103">
        <f>IF(装备!S103="",0,"'"&amp;装备!S103&amp;"'")</f>
        <v>0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3"/>
        <v/>
      </c>
      <c r="N103" t="str">
        <f t="shared" si="2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装备!G104</f>
        <v>0</v>
      </c>
      <c r="F104">
        <f>装备!H104</f>
        <v>0</v>
      </c>
      <c r="G104">
        <f>IF(装备!I104="",0,"'"&amp;装备!I104&amp;"'")</f>
        <v>0</v>
      </c>
      <c r="H104">
        <f>IF(装备!R104="",0,"'"&amp;装备!R104&amp;"'")</f>
        <v>0</v>
      </c>
      <c r="I104">
        <f>IF(装备!S104="",0,"'"&amp;装备!S104&amp;"'")</f>
        <v>0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3"/>
        <v/>
      </c>
      <c r="N104" t="str">
        <f t="shared" si="2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装备!G105</f>
        <v>0</v>
      </c>
      <c r="F105">
        <f>装备!H105</f>
        <v>0</v>
      </c>
      <c r="G105">
        <f>IF(装备!I105="",0,"'"&amp;装备!I105&amp;"'")</f>
        <v>0</v>
      </c>
      <c r="H105">
        <f>IF(装备!R105="",0,"'"&amp;装备!R105&amp;"'")</f>
        <v>0</v>
      </c>
      <c r="I105">
        <f>IF(装备!S105="",0,"'"&amp;装备!S105&amp;"'")</f>
        <v>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3"/>
        <v/>
      </c>
      <c r="N105" t="str">
        <f t="shared" si="2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'IS01'</v>
      </c>
      <c r="B106">
        <f>装备!D107</f>
        <v>0</v>
      </c>
      <c r="C106">
        <f>装备!E106</f>
        <v>0</v>
      </c>
      <c r="D106">
        <f>装备!F106</f>
        <v>0</v>
      </c>
      <c r="E106">
        <f>装备!G106</f>
        <v>0</v>
      </c>
      <c r="F106">
        <f>装备!H106</f>
        <v>0</v>
      </c>
      <c r="G106">
        <f>IF(装备!I106="",0,"'"&amp;装备!I106&amp;"'")</f>
        <v>0</v>
      </c>
      <c r="H106">
        <f>IF(装备!R106="",0,"'"&amp;装备!R106&amp;"'")</f>
        <v>0</v>
      </c>
      <c r="I106">
        <f>IF(装备!S106="",0,"'"&amp;装备!S106&amp;"'")</f>
        <v>0</v>
      </c>
      <c r="J106" t="str">
        <f>IF(装备!C106="",0,""""&amp;装备!C106&amp;"""")</f>
        <v>"抽技能DC"</v>
      </c>
      <c r="K106" t="str">
        <f>IF(装备!T106="","""""",""""&amp;装备!T106&amp;"""")</f>
        <v>"抽技能DC"</v>
      </c>
      <c r="L106" t="str">
        <f>IF(装备!U106="",0,""""&amp;装备!U106&amp;"""")</f>
        <v>"ReplaceableTextures\\CommandButtons\\BTNTome.blp"</v>
      </c>
      <c r="M106" t="str">
        <f t="shared" si="3"/>
        <v/>
      </c>
      <c r="N106" t="str">
        <f t="shared" si="2"/>
        <v>call InitTypeIdStrings('IS01',"抽技能DC","ReplaceableTextures\\CommandButtons\\BTNTome.blp","抽技能DC")</v>
      </c>
    </row>
    <row r="107" spans="1:14">
      <c r="A107" t="str">
        <f>IF(装备!B107="",0,"'"&amp;装备!B107&amp;"'")</f>
        <v>'IS02'</v>
      </c>
      <c r="B107">
        <f>装备!D108</f>
        <v>0</v>
      </c>
      <c r="C107">
        <f>装备!E107</f>
        <v>0</v>
      </c>
      <c r="D107">
        <f>装备!F107</f>
        <v>0</v>
      </c>
      <c r="E107">
        <f>装备!G107</f>
        <v>0</v>
      </c>
      <c r="F107">
        <f>装备!H107</f>
        <v>0</v>
      </c>
      <c r="G107">
        <f>IF(装备!I107="",0,"'"&amp;装备!I107&amp;"'")</f>
        <v>0</v>
      </c>
      <c r="H107">
        <f>IF(装备!R107="",0,"'"&amp;装备!R107&amp;"'")</f>
        <v>0</v>
      </c>
      <c r="I107">
        <f>IF(装备!S107="",0,"'"&amp;装备!S107&amp;"'")</f>
        <v>0</v>
      </c>
      <c r="J107" t="str">
        <f>IF(装备!C107="",0,""""&amp;装备!C107&amp;"""")</f>
        <v>"抽技能B"</v>
      </c>
      <c r="K107" t="str">
        <f>IF(装备!T107="","""""",""""&amp;装备!T107&amp;"""")</f>
        <v>"抽技能B"</v>
      </c>
      <c r="L107" t="str">
        <f>IF(装备!U107="",0,""""&amp;装备!U107&amp;"""")</f>
        <v>"ReplaceableTextures\\CommandButtons\\BTNTome.blp"</v>
      </c>
      <c r="M107" t="str">
        <f t="shared" si="3"/>
        <v/>
      </c>
      <c r="N107" t="str">
        <f t="shared" si="2"/>
        <v>call InitTypeIdStrings('IS02',"抽技能B","ReplaceableTextures\\CommandButtons\\BTNTome.blp","抽技能B")</v>
      </c>
    </row>
    <row r="108" spans="1:14">
      <c r="A108" t="str">
        <f>IF(装备!B108="",0,"'"&amp;装备!B108&amp;"'")</f>
        <v>'IS03'</v>
      </c>
      <c r="B108">
        <f>装备!D109</f>
        <v>0</v>
      </c>
      <c r="C108">
        <f>装备!E108</f>
        <v>0</v>
      </c>
      <c r="D108">
        <f>装备!F108</f>
        <v>0</v>
      </c>
      <c r="E108">
        <f>装备!G108</f>
        <v>0</v>
      </c>
      <c r="F108">
        <f>装备!H108</f>
        <v>0</v>
      </c>
      <c r="G108">
        <f>IF(装备!I108="",0,"'"&amp;装备!I108&amp;"'")</f>
        <v>0</v>
      </c>
      <c r="H108">
        <f>IF(装备!R108="",0,"'"&amp;装备!R108&amp;"'")</f>
        <v>0</v>
      </c>
      <c r="I108">
        <f>IF(装备!S108="",0,"'"&amp;装备!S108&amp;"'")</f>
        <v>0</v>
      </c>
      <c r="J108" t="str">
        <f>IF(装备!C108="",0,""""&amp;装备!C108&amp;"""")</f>
        <v>"抽技能A"</v>
      </c>
      <c r="K108" t="str">
        <f>IF(装备!T108="","""""",""""&amp;装备!T108&amp;"""")</f>
        <v>"抽技能A"</v>
      </c>
      <c r="L108" t="str">
        <f>IF(装备!U108="",0,""""&amp;装备!U108&amp;"""")</f>
        <v>"ReplaceableTextures\\CommandButtons\\BTNTome.blp"</v>
      </c>
      <c r="M108" t="str">
        <f t="shared" si="3"/>
        <v/>
      </c>
      <c r="N108" t="str">
        <f t="shared" si="2"/>
        <v>call InitTypeIdStrings('IS03',"抽技能A","ReplaceableTextures\\CommandButtons\\BTNTome.blp","抽技能A")</v>
      </c>
    </row>
    <row r="109" spans="1:14">
      <c r="A109" t="str">
        <f>IF(装备!B109="",0,"'"&amp;装备!B109&amp;"'")</f>
        <v>'IS04'</v>
      </c>
      <c r="B109">
        <f>装备!D110</f>
        <v>0</v>
      </c>
      <c r="C109">
        <f>装备!E109</f>
        <v>0</v>
      </c>
      <c r="D109">
        <f>装备!F109</f>
        <v>0</v>
      </c>
      <c r="E109">
        <f>装备!G109</f>
        <v>0</v>
      </c>
      <c r="F109">
        <f>装备!H109</f>
        <v>0</v>
      </c>
      <c r="G109">
        <f>IF(装备!I109="",0,"'"&amp;装备!I109&amp;"'")</f>
        <v>0</v>
      </c>
      <c r="H109">
        <f>IF(装备!R109="",0,"'"&amp;装备!R109&amp;"'")</f>
        <v>0</v>
      </c>
      <c r="I109">
        <f>IF(装备!S109="",0,"'"&amp;装备!S109&amp;"'")</f>
        <v>0</v>
      </c>
      <c r="J109" t="str">
        <f>IF(装备!C109="",0,""""&amp;装备!C109&amp;"""")</f>
        <v>"抽技能S"</v>
      </c>
      <c r="K109" t="str">
        <f>IF(装备!T109="","""""",""""&amp;装备!T109&amp;"""")</f>
        <v>"抽技能S"</v>
      </c>
      <c r="L109" t="str">
        <f>IF(装备!U109="",0,""""&amp;装备!U109&amp;"""")</f>
        <v>"ReplaceableTextures\\CommandButtons\\BTNTome.blp"</v>
      </c>
      <c r="M109" t="str">
        <f t="shared" si="3"/>
        <v/>
      </c>
      <c r="N109" t="str">
        <f t="shared" si="2"/>
        <v>call InitTypeIdStrings('IS04',"抽技能S","ReplaceableTextures\\CommandButtons\\BTNTome.blp","抽技能S")</v>
      </c>
    </row>
    <row r="110" spans="1:14">
      <c r="A110" t="str">
        <f>IF(装备!B110="",0,"'"&amp;装备!B110&amp;"'")</f>
        <v>'IH00'</v>
      </c>
      <c r="B110">
        <f>装备!D111</f>
        <v>0</v>
      </c>
      <c r="C110">
        <f>装备!E110</f>
        <v>0</v>
      </c>
      <c r="D110">
        <f>装备!F110</f>
        <v>0</v>
      </c>
      <c r="E110">
        <f>装备!G110</f>
        <v>0</v>
      </c>
      <c r="F110">
        <f>装备!H110</f>
        <v>0</v>
      </c>
      <c r="G110">
        <f>IF(装备!I110="",0,"'"&amp;装备!I110&amp;"'")</f>
        <v>0</v>
      </c>
      <c r="H110">
        <f>IF(装备!R110="",0,"'"&amp;装备!R110&amp;"'")</f>
        <v>0</v>
      </c>
      <c r="I110">
        <f>IF(装备!S110="",0,"'"&amp;装备!S110&amp;"'")</f>
        <v>0</v>
      </c>
      <c r="J110" t="str">
        <f>IF(装备!C110="",0,""""&amp;装备!C110&amp;"""")</f>
        <v>"觉醒兽魂"</v>
      </c>
      <c r="K110" t="str">
        <f>IF(装备!T110="","""""",""""&amp;装备!T110&amp;"""")</f>
        <v>"觉醒兽魂"</v>
      </c>
      <c r="L110" t="str">
        <f>IF(装备!U110="",0,""""&amp;装备!U110&amp;"""")</f>
        <v>"ReplaceableTextures\\CommandButtons\\BTNTome.blp"</v>
      </c>
      <c r="M110" t="str">
        <f t="shared" si="3"/>
        <v/>
      </c>
      <c r="N110" t="str">
        <f t="shared" si="2"/>
        <v>call InitTypeIdStrings('IH00',"觉醒兽魂","ReplaceableTextures\\CommandButtons\\BTNTome.blp","觉醒兽魂")</v>
      </c>
    </row>
    <row r="111" spans="1:14">
      <c r="A111" t="str">
        <f>IF(装备!B111="",0,"'"&amp;装备!B111&amp;"'")</f>
        <v>'IH01'</v>
      </c>
      <c r="B111">
        <f>装备!D112</f>
        <v>0</v>
      </c>
      <c r="C111">
        <f>装备!E111</f>
        <v>0</v>
      </c>
      <c r="D111">
        <f>装备!F111</f>
        <v>0</v>
      </c>
      <c r="E111">
        <f>装备!G111</f>
        <v>0</v>
      </c>
      <c r="F111">
        <f>装备!H111</f>
        <v>0</v>
      </c>
      <c r="G111">
        <f>IF(装备!I111="",0,"'"&amp;装备!I111&amp;"'")</f>
        <v>0</v>
      </c>
      <c r="H111">
        <f>IF(装备!R111="",0,"'"&amp;装备!R111&amp;"'")</f>
        <v>0</v>
      </c>
      <c r="I111">
        <f>IF(装备!S111="",0,"'"&amp;装备!S111&amp;"'")</f>
        <v>0</v>
      </c>
      <c r="J111" t="str">
        <f>IF(装备!C111="",0,""""&amp;装备!C111&amp;"""")</f>
        <v>"兽魂1"</v>
      </c>
      <c r="K111" t="str">
        <f>IF(装备!T111="","""""",""""&amp;装备!T111&amp;"""")</f>
        <v>"觉醒兽魂"</v>
      </c>
      <c r="L111" t="str">
        <f>IF(装备!U111="",0,""""&amp;装备!U111&amp;"""")</f>
        <v>"ReplaceableTextures\\CommandButtons\\BTNTome.blp"</v>
      </c>
      <c r="M111" t="str">
        <f t="shared" si="3"/>
        <v/>
      </c>
      <c r="N111" t="str">
        <f t="shared" si="2"/>
        <v>call InitTypeIdStrings('IH01',"兽魂1","ReplaceableTextures\\CommandButtons\\BTNTome.blp","觉醒兽魂")</v>
      </c>
    </row>
    <row r="112" spans="1:14">
      <c r="A112" t="str">
        <f>IF(装备!B112="",0,"'"&amp;装备!B112&amp;"'")</f>
        <v>'IH02'</v>
      </c>
      <c r="B112">
        <f>装备!D113</f>
        <v>0</v>
      </c>
      <c r="C112">
        <f>装备!E112</f>
        <v>0</v>
      </c>
      <c r="D112">
        <f>装备!F112</f>
        <v>0</v>
      </c>
      <c r="E112">
        <f>装备!G112</f>
        <v>0</v>
      </c>
      <c r="F112">
        <f>装备!H112</f>
        <v>0</v>
      </c>
      <c r="G112">
        <f>IF(装备!I112="",0,"'"&amp;装备!I112&amp;"'")</f>
        <v>0</v>
      </c>
      <c r="H112">
        <f>IF(装备!R112="",0,"'"&amp;装备!R112&amp;"'")</f>
        <v>0</v>
      </c>
      <c r="I112">
        <f>IF(装备!S112="",0,"'"&amp;装备!S112&amp;"'")</f>
        <v>0</v>
      </c>
      <c r="J112" t="str">
        <f>IF(装备!C112="",0,""""&amp;装备!C112&amp;"""")</f>
        <v>"兽魂2"</v>
      </c>
      <c r="K112" t="str">
        <f>IF(装备!T112="","""""",""""&amp;装备!T112&amp;"""")</f>
        <v>"觉醒兽魂"</v>
      </c>
      <c r="L112" t="str">
        <f>IF(装备!U112="",0,""""&amp;装备!U112&amp;"""")</f>
        <v>"ReplaceableTextures\\CommandButtons\\BTNTome.blp"</v>
      </c>
      <c r="M112" t="str">
        <f t="shared" si="3"/>
        <v/>
      </c>
      <c r="N112" t="str">
        <f t="shared" si="2"/>
        <v>call InitTypeIdStrings('IH02',"兽魂2","ReplaceableTextures\\CommandButtons\\BTNTome.blp","觉醒兽魂")</v>
      </c>
    </row>
    <row r="113" spans="1:14">
      <c r="A113" t="str">
        <f>IF(装备!B113="",0,"'"&amp;装备!B113&amp;"'")</f>
        <v>'IH03'</v>
      </c>
      <c r="B113">
        <f>装备!D114</f>
        <v>0</v>
      </c>
      <c r="C113">
        <f>装备!E113</f>
        <v>0</v>
      </c>
      <c r="D113">
        <f>装备!F113</f>
        <v>0</v>
      </c>
      <c r="E113">
        <f>装备!G113</f>
        <v>0</v>
      </c>
      <c r="F113">
        <f>装备!H113</f>
        <v>0</v>
      </c>
      <c r="G113">
        <f>IF(装备!I113="",0,"'"&amp;装备!I113&amp;"'")</f>
        <v>0</v>
      </c>
      <c r="H113">
        <f>IF(装备!R113="",0,"'"&amp;装备!R113&amp;"'")</f>
        <v>0</v>
      </c>
      <c r="I113">
        <f>IF(装备!S113="",0,"'"&amp;装备!S113&amp;"'")</f>
        <v>0</v>
      </c>
      <c r="J113" t="str">
        <f>IF(装备!C113="",0,""""&amp;装备!C113&amp;"""")</f>
        <v>"兽魂3"</v>
      </c>
      <c r="K113" t="str">
        <f>IF(装备!T113="","""""",""""&amp;装备!T113&amp;"""")</f>
        <v>"觉醒兽魂"</v>
      </c>
      <c r="L113" t="str">
        <f>IF(装备!U113="",0,""""&amp;装备!U113&amp;"""")</f>
        <v>"ReplaceableTextures\\CommandButtons\\BTNTome.blp"</v>
      </c>
      <c r="M113" t="str">
        <f t="shared" si="3"/>
        <v/>
      </c>
      <c r="N113" t="str">
        <f t="shared" si="2"/>
        <v>call InitTypeIdStrings('IH03',"兽魂3","ReplaceableTextures\\CommandButtons\\BTNTome.blp","觉醒兽魂")</v>
      </c>
    </row>
    <row r="114" spans="1:14">
      <c r="A114" t="str">
        <f>IF(装备!B114="",0,"'"&amp;装备!B114&amp;"'")</f>
        <v>'IH04'</v>
      </c>
      <c r="B114">
        <f>装备!D115</f>
        <v>0</v>
      </c>
      <c r="C114">
        <f>装备!E114</f>
        <v>0</v>
      </c>
      <c r="D114">
        <f>装备!F114</f>
        <v>0</v>
      </c>
      <c r="E114">
        <f>装备!G114</f>
        <v>0</v>
      </c>
      <c r="F114">
        <f>装备!H114</f>
        <v>0</v>
      </c>
      <c r="G114">
        <f>IF(装备!I114="",0,"'"&amp;装备!I114&amp;"'")</f>
        <v>0</v>
      </c>
      <c r="H114">
        <f>IF(装备!R114="",0,"'"&amp;装备!R114&amp;"'")</f>
        <v>0</v>
      </c>
      <c r="I114">
        <f>IF(装备!S114="",0,"'"&amp;装备!S114&amp;"'")</f>
        <v>0</v>
      </c>
      <c r="J114" t="str">
        <f>IF(装备!C114="",0,""""&amp;装备!C114&amp;"""")</f>
        <v>"兽魂4"</v>
      </c>
      <c r="K114" t="str">
        <f>IF(装备!T114="","""""",""""&amp;装备!T114&amp;"""")</f>
        <v>"觉醒兽魂"</v>
      </c>
      <c r="L114" t="str">
        <f>IF(装备!U114="",0,""""&amp;装备!U114&amp;"""")</f>
        <v>"ReplaceableTextures\\CommandButtons\\BTNTome.blp"</v>
      </c>
      <c r="M114" t="str">
        <f t="shared" si="3"/>
        <v/>
      </c>
      <c r="N114" t="str">
        <f t="shared" si="2"/>
        <v>call InitTypeIdStrings('IH04',"兽魂4","ReplaceableTextures\\CommandButtons\\BTNTome.blp","觉醒兽魂")</v>
      </c>
    </row>
    <row r="115" spans="1:14">
      <c r="A115" t="str">
        <f>IF(装备!B115="",0,"'"&amp;装备!B115&amp;"'")</f>
        <v>'IH05'</v>
      </c>
      <c r="B115">
        <f>装备!D116</f>
        <v>0</v>
      </c>
      <c r="C115">
        <f>装备!E115</f>
        <v>0</v>
      </c>
      <c r="D115">
        <f>装备!F115</f>
        <v>0</v>
      </c>
      <c r="E115">
        <f>装备!G115</f>
        <v>0</v>
      </c>
      <c r="F115">
        <f>装备!H115</f>
        <v>0</v>
      </c>
      <c r="G115">
        <f>IF(装备!I115="",0,"'"&amp;装备!I115&amp;"'")</f>
        <v>0</v>
      </c>
      <c r="H115">
        <f>IF(装备!R115="",0,"'"&amp;装备!R115&amp;"'")</f>
        <v>0</v>
      </c>
      <c r="I115">
        <f>IF(装备!S115="",0,"'"&amp;装备!S115&amp;"'")</f>
        <v>0</v>
      </c>
      <c r="J115" t="str">
        <f>IF(装备!C115="",0,""""&amp;装备!C115&amp;"""")</f>
        <v>"兽魂5"</v>
      </c>
      <c r="K115" t="str">
        <f>IF(装备!T115="","""""",""""&amp;装备!T115&amp;"""")</f>
        <v>"觉醒兽魂"</v>
      </c>
      <c r="L115" t="str">
        <f>IF(装备!U115="",0,""""&amp;装备!U115&amp;"""")</f>
        <v>"ReplaceableTextures\\CommandButtons\\BTNTome.blp"</v>
      </c>
      <c r="M115" t="str">
        <f t="shared" si="3"/>
        <v/>
      </c>
      <c r="N115" t="str">
        <f t="shared" si="2"/>
        <v>call InitTypeIdStrings('IH05',"兽魂5","ReplaceableTextures\\CommandButtons\\BTNTome.blp","觉醒兽魂")</v>
      </c>
    </row>
    <row r="116" spans="1:14">
      <c r="A116" t="str">
        <f>IF(装备!B116="",0,"'"&amp;装备!B116&amp;"'")</f>
        <v>'IH06'</v>
      </c>
      <c r="B116">
        <f>装备!D117</f>
        <v>0</v>
      </c>
      <c r="C116">
        <f>装备!E116</f>
        <v>0</v>
      </c>
      <c r="D116">
        <f>装备!F116</f>
        <v>0</v>
      </c>
      <c r="E116">
        <f>装备!G116</f>
        <v>0</v>
      </c>
      <c r="F116">
        <f>装备!H116</f>
        <v>0</v>
      </c>
      <c r="G116">
        <f>IF(装备!I116="",0,"'"&amp;装备!I116&amp;"'")</f>
        <v>0</v>
      </c>
      <c r="H116">
        <f>IF(装备!R116="",0,"'"&amp;装备!R116&amp;"'")</f>
        <v>0</v>
      </c>
      <c r="I116">
        <f>IF(装备!S116="",0,"'"&amp;装备!S116&amp;"'")</f>
        <v>0</v>
      </c>
      <c r="J116" t="str">
        <f>IF(装备!C116="",0,""""&amp;装备!C116&amp;"""")</f>
        <v>"兽魂6"</v>
      </c>
      <c r="K116" t="str">
        <f>IF(装备!T116="","""""",""""&amp;装备!T116&amp;"""")</f>
        <v>"觉醒兽魂"</v>
      </c>
      <c r="L116" t="str">
        <f>IF(装备!U116="",0,""""&amp;装备!U116&amp;"""")</f>
        <v>"ReplaceableTextures\\CommandButtons\\BTNTome.blp"</v>
      </c>
      <c r="M116" t="str">
        <f t="shared" si="3"/>
        <v/>
      </c>
      <c r="N116" t="str">
        <f t="shared" si="2"/>
        <v>call InitTypeIdStrings('IH06',"兽魂6","ReplaceableTextures\\CommandButtons\\BTNTome.blp","觉醒兽魂")</v>
      </c>
    </row>
    <row r="117" spans="1:14">
      <c r="A117" t="str">
        <f>IF(装备!B117="",0,"'"&amp;装备!B117&amp;"'")</f>
        <v>'IH07'</v>
      </c>
      <c r="B117">
        <f>装备!D118</f>
        <v>0</v>
      </c>
      <c r="C117">
        <f>装备!E117</f>
        <v>0</v>
      </c>
      <c r="D117">
        <f>装备!F117</f>
        <v>0</v>
      </c>
      <c r="E117">
        <f>装备!G117</f>
        <v>0</v>
      </c>
      <c r="F117">
        <f>装备!H117</f>
        <v>0</v>
      </c>
      <c r="G117">
        <f>IF(装备!I117="",0,"'"&amp;装备!I117&amp;"'")</f>
        <v>0</v>
      </c>
      <c r="H117">
        <f>IF(装备!R117="",0,"'"&amp;装备!R117&amp;"'")</f>
        <v>0</v>
      </c>
      <c r="I117">
        <f>IF(装备!S117="",0,"'"&amp;装备!S117&amp;"'")</f>
        <v>0</v>
      </c>
      <c r="J117" t="str">
        <f>IF(装备!C117="",0,""""&amp;装备!C117&amp;"""")</f>
        <v>"兽魂7"</v>
      </c>
      <c r="K117" t="str">
        <f>IF(装备!T117="","""""",""""&amp;装备!T117&amp;"""")</f>
        <v>"觉醒兽魂"</v>
      </c>
      <c r="L117" t="str">
        <f>IF(装备!U117="",0,""""&amp;装备!U117&amp;"""")</f>
        <v>"ReplaceableTextures\\CommandButtons\\BTNTome.blp"</v>
      </c>
      <c r="M117" t="str">
        <f t="shared" si="3"/>
        <v/>
      </c>
      <c r="N117" t="str">
        <f t="shared" si="2"/>
        <v>call InitTypeIdStrings('IH07',"兽魂7","ReplaceableTextures\\CommandButtons\\BTNTome.blp","觉醒兽魂")</v>
      </c>
    </row>
    <row r="118" spans="1:14">
      <c r="A118" t="str">
        <f>IF(装备!B118="",0,"'"&amp;装备!B118&amp;"'")</f>
        <v>'IH08'</v>
      </c>
      <c r="B118">
        <f>装备!D124</f>
        <v>0</v>
      </c>
      <c r="C118">
        <f>装备!E118</f>
        <v>0</v>
      </c>
      <c r="D118">
        <f>装备!F118</f>
        <v>0</v>
      </c>
      <c r="E118">
        <f>装备!G118</f>
        <v>0</v>
      </c>
      <c r="F118">
        <f>装备!H118</f>
        <v>0</v>
      </c>
      <c r="G118">
        <f>IF(装备!I118="",0,"'"&amp;装备!I118&amp;"'")</f>
        <v>0</v>
      </c>
      <c r="H118">
        <f>IF(装备!R118="",0,"'"&amp;装备!R118&amp;"'")</f>
        <v>0</v>
      </c>
      <c r="I118">
        <f>IF(装备!S118="",0,"'"&amp;装备!S118&amp;"'")</f>
        <v>0</v>
      </c>
      <c r="J118" t="str">
        <f>IF(装备!C118="",0,""""&amp;装备!C118&amp;"""")</f>
        <v>"兽魂8"</v>
      </c>
      <c r="K118" t="str">
        <f>IF(装备!T118="","""""",""""&amp;装备!T118&amp;"""")</f>
        <v>"觉醒兽魂"</v>
      </c>
      <c r="L118" t="str">
        <f>IF(装备!U118="",0,""""&amp;装备!U118&amp;"""")</f>
        <v>"ReplaceableTextures\\CommandButtons\\BTNTome.blp"</v>
      </c>
      <c r="M118" t="str">
        <f t="shared" si="3"/>
        <v/>
      </c>
      <c r="N118" t="str">
        <f t="shared" si="2"/>
        <v>call InitTypeIdStrings('IH08',"兽魂8","ReplaceableTextures\\CommandButtons\\BTNTome.blp","觉醒兽魂")</v>
      </c>
    </row>
    <row r="119" spans="1:14">
      <c r="A119">
        <f>IF(装备!B124="",0,"'"&amp;装备!B124&amp;"'")</f>
        <v>0</v>
      </c>
      <c r="B119">
        <f>装备!D125</f>
        <v>0</v>
      </c>
      <c r="C119">
        <f>装备!E124</f>
        <v>0</v>
      </c>
      <c r="D119">
        <f>装备!F124</f>
        <v>0</v>
      </c>
      <c r="E119">
        <f>装备!G124</f>
        <v>0</v>
      </c>
      <c r="F119">
        <f>装备!H124</f>
        <v>0</v>
      </c>
      <c r="G119">
        <f>IF(装备!I124="",0,"'"&amp;装备!I124&amp;"'")</f>
        <v>0</v>
      </c>
      <c r="H119">
        <f>IF(装备!R124="",0,"'"&amp;装备!R124&amp;"'")</f>
        <v>0</v>
      </c>
      <c r="I119">
        <f>IF(装备!S124="",0,"'"&amp;装备!S124&amp;"'")</f>
        <v>0</v>
      </c>
      <c r="J119">
        <f>IF(装备!C124="",0,""""&amp;装备!C124&amp;"""")</f>
        <v>0</v>
      </c>
      <c r="K119" t="str">
        <f>IF(装备!T124="","""""",""""&amp;装备!T124&amp;"""")</f>
        <v>""</v>
      </c>
      <c r="L119">
        <f>IF(装备!U124="",0,""""&amp;装备!U124&amp;"""")</f>
        <v>0</v>
      </c>
      <c r="M119" t="str">
        <f t="shared" si="3"/>
        <v/>
      </c>
      <c r="N119" t="str">
        <f t="shared" si="2"/>
        <v>call InitTypeIdStrings(0,0,0,"")</v>
      </c>
    </row>
    <row r="120" spans="1:14">
      <c r="A120">
        <f>IF(装备!B125="",0,"'"&amp;装备!B125&amp;"'")</f>
        <v>0</v>
      </c>
      <c r="B120">
        <f>装备!D126</f>
        <v>0</v>
      </c>
      <c r="C120">
        <f>装备!E125</f>
        <v>0</v>
      </c>
      <c r="D120">
        <f>装备!F125</f>
        <v>0</v>
      </c>
      <c r="E120">
        <f>装备!G125</f>
        <v>0</v>
      </c>
      <c r="F120">
        <f>装备!H125</f>
        <v>0</v>
      </c>
      <c r="G120">
        <f>IF(装备!I125="",0,"'"&amp;装备!I125&amp;"'")</f>
        <v>0</v>
      </c>
      <c r="H120">
        <f>IF(装备!R125="",0,"'"&amp;装备!R125&amp;"'")</f>
        <v>0</v>
      </c>
      <c r="I120">
        <f>IF(装备!S125="",0,"'"&amp;装备!S125&amp;"'")</f>
        <v>0</v>
      </c>
      <c r="J120">
        <f>IF(装备!C125="",0,""""&amp;装备!C125&amp;"""")</f>
        <v>0</v>
      </c>
      <c r="K120" t="str">
        <f>IF(装备!T125="","""""",""""&amp;装备!T125&amp;"""")</f>
        <v>""</v>
      </c>
      <c r="L120">
        <f>IF(装备!U125="",0,""""&amp;装备!U125&amp;"""")</f>
        <v>0</v>
      </c>
      <c r="M120" t="str">
        <f t="shared" si="3"/>
        <v/>
      </c>
      <c r="N120" t="str">
        <f t="shared" si="2"/>
        <v>call InitTypeIdStrings(0,0,0,"")</v>
      </c>
    </row>
    <row r="121" spans="1:14">
      <c r="A121">
        <f>IF(装备!B126="",0,"'"&amp;装备!B126&amp;"'")</f>
        <v>0</v>
      </c>
      <c r="B121">
        <f>装备!D127</f>
        <v>0</v>
      </c>
      <c r="C121">
        <f>装备!E126</f>
        <v>0</v>
      </c>
      <c r="D121">
        <f>装备!F126</f>
        <v>0</v>
      </c>
      <c r="E121">
        <f>装备!G126</f>
        <v>0</v>
      </c>
      <c r="F121">
        <f>装备!H126</f>
        <v>0</v>
      </c>
      <c r="G121">
        <f>IF(装备!I126="",0,"'"&amp;装备!I126&amp;"'")</f>
        <v>0</v>
      </c>
      <c r="H121">
        <f>IF(装备!R126="",0,"'"&amp;装备!R126&amp;"'")</f>
        <v>0</v>
      </c>
      <c r="I121">
        <f>IF(装备!S126="",0,"'"&amp;装备!S126&amp;"'")</f>
        <v>0</v>
      </c>
      <c r="J121">
        <f>IF(装备!C126="",0,""""&amp;装备!C126&amp;"""")</f>
        <v>0</v>
      </c>
      <c r="K121" t="str">
        <f>IF(装备!T126="","""""",""""&amp;装备!T126&amp;"""")</f>
        <v>""</v>
      </c>
      <c r="L121">
        <f>IF(装备!U126="",0,""""&amp;装备!U126&amp;"""")</f>
        <v>0</v>
      </c>
      <c r="M121" t="str">
        <f t="shared" si="3"/>
        <v/>
      </c>
      <c r="N121" t="str">
        <f t="shared" si="2"/>
        <v>call InitTypeIdStrings(0,0,0,"")</v>
      </c>
    </row>
    <row r="122" spans="1:14">
      <c r="A122">
        <f>IF(装备!B127="",0,"'"&amp;装备!B127&amp;"'")</f>
        <v>0</v>
      </c>
      <c r="B122">
        <f>装备!D128</f>
        <v>0</v>
      </c>
      <c r="C122">
        <f>装备!E127</f>
        <v>0</v>
      </c>
      <c r="D122">
        <f>装备!F127</f>
        <v>0</v>
      </c>
      <c r="E122">
        <f>装备!G127</f>
        <v>0</v>
      </c>
      <c r="F122">
        <f>装备!H127</f>
        <v>0</v>
      </c>
      <c r="G122">
        <f>IF(装备!I127="",0,"'"&amp;装备!I127&amp;"'")</f>
        <v>0</v>
      </c>
      <c r="H122">
        <f>IF(装备!R127="",0,"'"&amp;装备!R127&amp;"'")</f>
        <v>0</v>
      </c>
      <c r="I122">
        <f>IF(装备!S127="",0,"'"&amp;装备!S127&amp;"'")</f>
        <v>0</v>
      </c>
      <c r="J122">
        <f>IF(装备!C127="",0,""""&amp;装备!C127&amp;"""")</f>
        <v>0</v>
      </c>
      <c r="K122" t="str">
        <f>IF(装备!T127="","""""",""""&amp;装备!T127&amp;"""")</f>
        <v>""</v>
      </c>
      <c r="L122">
        <f>IF(装备!U127="",0,""""&amp;装备!U127&amp;"""")</f>
        <v>0</v>
      </c>
      <c r="M122" t="str">
        <f t="shared" si="3"/>
        <v/>
      </c>
      <c r="N122" t="str">
        <f t="shared" si="2"/>
        <v>call InitTypeIdStrings(0,0,0,"")</v>
      </c>
    </row>
    <row r="123" spans="1:14">
      <c r="A123">
        <f>IF(装备!B128="",0,"'"&amp;装备!B128&amp;"'")</f>
        <v>0</v>
      </c>
      <c r="B123">
        <f>装备!D129</f>
        <v>0</v>
      </c>
      <c r="C123">
        <f>装备!E128</f>
        <v>0</v>
      </c>
      <c r="D123">
        <f>装备!F128</f>
        <v>0</v>
      </c>
      <c r="E123">
        <f>装备!G128</f>
        <v>0</v>
      </c>
      <c r="F123">
        <f>装备!H128</f>
        <v>0</v>
      </c>
      <c r="G123">
        <f>IF(装备!I128="",0,"'"&amp;装备!I128&amp;"'")</f>
        <v>0</v>
      </c>
      <c r="H123">
        <f>IF(装备!R128="",0,"'"&amp;装备!R128&amp;"'")</f>
        <v>0</v>
      </c>
      <c r="I123">
        <f>IF(装备!S128="",0,"'"&amp;装备!S128&amp;"'")</f>
        <v>0</v>
      </c>
      <c r="J123">
        <f>IF(装备!C128="",0,""""&amp;装备!C128&amp;"""")</f>
        <v>0</v>
      </c>
      <c r="K123" t="str">
        <f>IF(装备!T128="","""""",""""&amp;装备!T128&amp;"""")</f>
        <v>""</v>
      </c>
      <c r="L123">
        <f>IF(装备!U128="",0,""""&amp;装备!U128&amp;"""")</f>
        <v>0</v>
      </c>
      <c r="M123" t="str">
        <f t="shared" si="3"/>
        <v/>
      </c>
      <c r="N123" t="str">
        <f t="shared" si="2"/>
        <v>call InitTypeIdStrings(0,0,0,"")</v>
      </c>
    </row>
    <row r="124" spans="1:14">
      <c r="A124">
        <f>IF(装备!B129="",0,"'"&amp;装备!B129&amp;"'")</f>
        <v>0</v>
      </c>
      <c r="B124">
        <f>装备!D130</f>
        <v>0</v>
      </c>
      <c r="C124">
        <f>装备!E129</f>
        <v>0</v>
      </c>
      <c r="D124">
        <f>装备!F129</f>
        <v>0</v>
      </c>
      <c r="E124">
        <f>装备!G129</f>
        <v>0</v>
      </c>
      <c r="F124">
        <f>装备!H129</f>
        <v>0</v>
      </c>
      <c r="G124">
        <f>IF(装备!I129="",0,"'"&amp;装备!I129&amp;"'")</f>
        <v>0</v>
      </c>
      <c r="H124">
        <f>IF(装备!R129="",0,"'"&amp;装备!R129&amp;"'")</f>
        <v>0</v>
      </c>
      <c r="I124">
        <f>IF(装备!S129="",0,"'"&amp;装备!S129&amp;"'")</f>
        <v>0</v>
      </c>
      <c r="J124">
        <f>IF(装备!C129="",0,""""&amp;装备!C129&amp;"""")</f>
        <v>0</v>
      </c>
      <c r="K124" t="str">
        <f>IF(装备!T129="","""""",""""&amp;装备!T129&amp;"""")</f>
        <v>""</v>
      </c>
      <c r="L124">
        <f>IF(装备!U129="",0,""""&amp;装备!U129&amp;"""")</f>
        <v>0</v>
      </c>
      <c r="M124" t="str">
        <f t="shared" si="3"/>
        <v/>
      </c>
      <c r="N124" t="str">
        <f t="shared" si="2"/>
        <v>call InitTypeIdStrings(0,0,0,"")</v>
      </c>
    </row>
    <row r="125" spans="1:14">
      <c r="A125">
        <f>IF(装备!B130="",0,"'"&amp;装备!B130&amp;"'")</f>
        <v>0</v>
      </c>
      <c r="B125">
        <f>装备!D131</f>
        <v>0</v>
      </c>
      <c r="C125">
        <f>装备!E130</f>
        <v>0</v>
      </c>
      <c r="D125">
        <f>装备!F130</f>
        <v>0</v>
      </c>
      <c r="E125">
        <f>装备!G130</f>
        <v>0</v>
      </c>
      <c r="F125">
        <f>装备!H130</f>
        <v>0</v>
      </c>
      <c r="G125">
        <f>IF(装备!I130="",0,"'"&amp;装备!I130&amp;"'")</f>
        <v>0</v>
      </c>
      <c r="H125">
        <f>IF(装备!R130="",0,"'"&amp;装备!R130&amp;"'")</f>
        <v>0</v>
      </c>
      <c r="I125">
        <f>IF(装备!S130="",0,"'"&amp;装备!S130&amp;"'")</f>
        <v>0</v>
      </c>
      <c r="J125">
        <f>IF(装备!C130="",0,""""&amp;装备!C130&amp;"""")</f>
        <v>0</v>
      </c>
      <c r="K125" t="str">
        <f>IF(装备!T130="","""""",""""&amp;装备!T130&amp;"""")</f>
        <v>""</v>
      </c>
      <c r="L125">
        <f>IF(装备!U130="",0,""""&amp;装备!U130&amp;"""")</f>
        <v>0</v>
      </c>
      <c r="M125" t="str">
        <f t="shared" si="3"/>
        <v/>
      </c>
      <c r="N125" t="str">
        <f t="shared" si="2"/>
        <v>call InitTypeIdStrings(0,0,0,"")</v>
      </c>
    </row>
    <row r="126" spans="1:14">
      <c r="A126">
        <f>IF(装备!B131="",0,"'"&amp;装备!B131&amp;"'")</f>
        <v>0</v>
      </c>
      <c r="B126">
        <f>装备!D132</f>
        <v>0</v>
      </c>
      <c r="C126">
        <f>装备!E131</f>
        <v>0</v>
      </c>
      <c r="D126">
        <f>装备!F131</f>
        <v>0</v>
      </c>
      <c r="E126">
        <f>装备!G131</f>
        <v>0</v>
      </c>
      <c r="F126">
        <f>装备!H131</f>
        <v>0</v>
      </c>
      <c r="G126">
        <f>IF(装备!I131="",0,"'"&amp;装备!I131&amp;"'")</f>
        <v>0</v>
      </c>
      <c r="H126">
        <f>IF(装备!R131="",0,"'"&amp;装备!R131&amp;"'")</f>
        <v>0</v>
      </c>
      <c r="I126">
        <f>IF(装备!S131="",0,"'"&amp;装备!S131&amp;"'")</f>
        <v>0</v>
      </c>
      <c r="J126">
        <f>IF(装备!C131="",0,""""&amp;装备!C131&amp;"""")</f>
        <v>0</v>
      </c>
      <c r="K126" t="str">
        <f>IF(装备!T131="","""""",""""&amp;装备!T131&amp;"""")</f>
        <v>""</v>
      </c>
      <c r="L126">
        <f>IF(装备!U131="",0,""""&amp;装备!U131&amp;"""")</f>
        <v>0</v>
      </c>
      <c r="M126" t="str">
        <f t="shared" si="3"/>
        <v/>
      </c>
      <c r="N126" t="str">
        <f t="shared" si="2"/>
        <v>call InitTypeIdStrings(0,0,0,"")</v>
      </c>
    </row>
    <row r="127" spans="1:14">
      <c r="A127">
        <f>IF(装备!B132="",0,"'"&amp;装备!B132&amp;"'")</f>
        <v>0</v>
      </c>
      <c r="B127">
        <f>装备!D133</f>
        <v>0</v>
      </c>
      <c r="C127">
        <f>装备!E132</f>
        <v>0</v>
      </c>
      <c r="D127">
        <f>装备!F132</f>
        <v>0</v>
      </c>
      <c r="E127">
        <f>装备!G132</f>
        <v>0</v>
      </c>
      <c r="F127">
        <f>装备!H132</f>
        <v>0</v>
      </c>
      <c r="G127">
        <f>IF(装备!I132="",0,"'"&amp;装备!I132&amp;"'")</f>
        <v>0</v>
      </c>
      <c r="H127">
        <f>IF(装备!R132="",0,"'"&amp;装备!R132&amp;"'")</f>
        <v>0</v>
      </c>
      <c r="I127">
        <f>IF(装备!S132="",0,"'"&amp;装备!S132&amp;"'")</f>
        <v>0</v>
      </c>
      <c r="J127">
        <f>IF(装备!C132="",0,""""&amp;装备!C132&amp;"""")</f>
        <v>0</v>
      </c>
      <c r="K127" t="str">
        <f>IF(装备!T132="","""""",""""&amp;装备!T132&amp;"""")</f>
        <v>""</v>
      </c>
      <c r="L127">
        <f>IF(装备!U132="",0,""""&amp;装备!U132&amp;"""")</f>
        <v>0</v>
      </c>
      <c r="M127" t="str">
        <f t="shared" si="3"/>
        <v/>
      </c>
      <c r="N127" t="str">
        <f t="shared" si="2"/>
        <v>call InitTypeIdStrings(0,0,0,"")</v>
      </c>
    </row>
    <row r="128" spans="1:14">
      <c r="A128">
        <f>IF(装备!B133="",0,"'"&amp;装备!B133&amp;"'")</f>
        <v>0</v>
      </c>
      <c r="B128">
        <f>装备!D134</f>
        <v>0</v>
      </c>
      <c r="C128">
        <f>装备!E133</f>
        <v>0</v>
      </c>
      <c r="D128">
        <f>装备!F133</f>
        <v>0</v>
      </c>
      <c r="E128">
        <f>装备!G133</f>
        <v>0</v>
      </c>
      <c r="F128">
        <f>装备!H133</f>
        <v>0</v>
      </c>
      <c r="G128">
        <f>IF(装备!I133="",0,"'"&amp;装备!I133&amp;"'")</f>
        <v>0</v>
      </c>
      <c r="H128">
        <f>IF(装备!R133="",0,"'"&amp;装备!R133&amp;"'")</f>
        <v>0</v>
      </c>
      <c r="I128">
        <f>IF(装备!S133="",0,"'"&amp;装备!S133&amp;"'")</f>
        <v>0</v>
      </c>
      <c r="J128">
        <f>IF(装备!C133="",0,""""&amp;装备!C133&amp;"""")</f>
        <v>0</v>
      </c>
      <c r="K128" t="str">
        <f>IF(装备!T133="","""""",""""&amp;装备!T133&amp;"""")</f>
        <v>""</v>
      </c>
      <c r="L128">
        <f>IF(装备!U133="",0,""""&amp;装备!U133&amp;"""")</f>
        <v>0</v>
      </c>
      <c r="M128" t="str">
        <f t="shared" si="3"/>
        <v/>
      </c>
      <c r="N128" t="str">
        <f t="shared" si="2"/>
        <v>call InitTypeIdStrings(0,0,0,"")</v>
      </c>
    </row>
    <row r="129" spans="1:14">
      <c r="A129">
        <f>IF(装备!B134="",0,"'"&amp;装备!B134&amp;"'")</f>
        <v>0</v>
      </c>
      <c r="B129">
        <f>装备!D135</f>
        <v>0</v>
      </c>
      <c r="C129">
        <f>装备!E134</f>
        <v>0</v>
      </c>
      <c r="D129">
        <f>装备!F134</f>
        <v>0</v>
      </c>
      <c r="E129">
        <f>装备!G134</f>
        <v>0</v>
      </c>
      <c r="F129">
        <f>装备!H134</f>
        <v>0</v>
      </c>
      <c r="G129">
        <f>IF(装备!I134="",0,"'"&amp;装备!I134&amp;"'")</f>
        <v>0</v>
      </c>
      <c r="H129">
        <f>IF(装备!R134="",0,"'"&amp;装备!R134&amp;"'")</f>
        <v>0</v>
      </c>
      <c r="I129">
        <f>IF(装备!S134="",0,"'"&amp;装备!S134&amp;"'")</f>
        <v>0</v>
      </c>
      <c r="J129">
        <f>IF(装备!C134="",0,""""&amp;装备!C134&amp;"""")</f>
        <v>0</v>
      </c>
      <c r="K129" t="str">
        <f>IF(装备!T134="","""""",""""&amp;装备!T134&amp;"""")</f>
        <v>""</v>
      </c>
      <c r="L129">
        <f>IF(装备!U134="",0,""""&amp;装备!U134&amp;"""")</f>
        <v>0</v>
      </c>
      <c r="M129" t="str">
        <f t="shared" si="3"/>
        <v/>
      </c>
      <c r="N129" t="str">
        <f t="shared" si="2"/>
        <v>call InitTypeIdStrings(0,0,0,"")</v>
      </c>
    </row>
    <row r="130" spans="1:14">
      <c r="A130">
        <f>IF(装备!B135="",0,"'"&amp;装备!B135&amp;"'")</f>
        <v>0</v>
      </c>
      <c r="B130">
        <f>装备!D136</f>
        <v>0</v>
      </c>
      <c r="C130">
        <f>装备!E135</f>
        <v>0</v>
      </c>
      <c r="D130">
        <f>装备!F135</f>
        <v>0</v>
      </c>
      <c r="E130">
        <f>装备!G135</f>
        <v>0</v>
      </c>
      <c r="F130">
        <f>装备!H135</f>
        <v>0</v>
      </c>
      <c r="G130">
        <f>IF(装备!I135="",0,"'"&amp;装备!I135&amp;"'")</f>
        <v>0</v>
      </c>
      <c r="H130">
        <f>IF(装备!R135="",0,"'"&amp;装备!R135&amp;"'")</f>
        <v>0</v>
      </c>
      <c r="I130">
        <f>IF(装备!S135="",0,"'"&amp;装备!S135&amp;"'")</f>
        <v>0</v>
      </c>
      <c r="J130">
        <f>IF(装备!C135="",0,""""&amp;装备!C135&amp;"""")</f>
        <v>0</v>
      </c>
      <c r="K130" t="str">
        <f>IF(装备!T135="","""""",""""&amp;装备!T135&amp;"""")</f>
        <v>""</v>
      </c>
      <c r="L130">
        <f>IF(装备!U135="",0,""""&amp;装备!U135&amp;"""")</f>
        <v>0</v>
      </c>
      <c r="M130" t="str">
        <f t="shared" si="3"/>
        <v/>
      </c>
      <c r="N130" t="str">
        <f t="shared" si="2"/>
        <v>call InitTypeIdStrings(0,0,0,"")</v>
      </c>
    </row>
    <row r="131" spans="1:14">
      <c r="A131">
        <f>IF(装备!B136="",0,"'"&amp;装备!B136&amp;"'")</f>
        <v>0</v>
      </c>
      <c r="B131">
        <f>装备!D137</f>
        <v>0</v>
      </c>
      <c r="C131">
        <f>装备!E136</f>
        <v>0</v>
      </c>
      <c r="D131">
        <f>装备!F136</f>
        <v>0</v>
      </c>
      <c r="E131">
        <f>装备!G136</f>
        <v>0</v>
      </c>
      <c r="F131">
        <f>装备!H136</f>
        <v>0</v>
      </c>
      <c r="G131">
        <f>IF(装备!I136="",0,"'"&amp;装备!I136&amp;"'")</f>
        <v>0</v>
      </c>
      <c r="H131">
        <f>IF(装备!R136="",0,"'"&amp;装备!R136&amp;"'")</f>
        <v>0</v>
      </c>
      <c r="I131">
        <f>IF(装备!S136="",0,"'"&amp;装备!S136&amp;"'")</f>
        <v>0</v>
      </c>
      <c r="J131">
        <f>IF(装备!C136="",0,""""&amp;装备!C136&amp;"""")</f>
        <v>0</v>
      </c>
      <c r="K131" t="str">
        <f>IF(装备!T136="","""""",""""&amp;装备!T136&amp;"""")</f>
        <v>""</v>
      </c>
      <c r="L131">
        <f>IF(装备!U136="",0,""""&amp;装备!U136&amp;"""")</f>
        <v>0</v>
      </c>
      <c r="M131" t="str">
        <f t="shared" si="3"/>
        <v/>
      </c>
      <c r="N131" t="str">
        <f t="shared" ref="N131:N194" si="4">IF(ISERROR(FIND(",0,0,0)","call InitTypeIdStrings("&amp;A131&amp;","&amp;J131&amp;","&amp;K131&amp;","&amp;L131&amp;")")),"call InitTypeIdStrings("&amp;A131&amp;","&amp;J131&amp;","&amp;L131&amp;","&amp;K131&amp;")","")</f>
        <v>call InitTypeIdStrings(0,0,0,"")</v>
      </c>
    </row>
    <row r="132" spans="1:14">
      <c r="A132">
        <f>IF(装备!B137="",0,"'"&amp;装备!B137&amp;"'")</f>
        <v>0</v>
      </c>
      <c r="B132">
        <f>装备!D138</f>
        <v>0</v>
      </c>
      <c r="C132">
        <f>装备!E137</f>
        <v>0</v>
      </c>
      <c r="D132">
        <f>装备!F137</f>
        <v>0</v>
      </c>
      <c r="E132">
        <f>装备!G137</f>
        <v>0</v>
      </c>
      <c r="F132">
        <f>装备!H137</f>
        <v>0</v>
      </c>
      <c r="G132">
        <f>IF(装备!I137="",0,"'"&amp;装备!I137&amp;"'")</f>
        <v>0</v>
      </c>
      <c r="H132">
        <f>IF(装备!R137="",0,"'"&amp;装备!R137&amp;"'")</f>
        <v>0</v>
      </c>
      <c r="I132">
        <f>IF(装备!S137="",0,"'"&amp;装备!S137&amp;"'")</f>
        <v>0</v>
      </c>
      <c r="J132">
        <f>IF(装备!C137="",0,""""&amp;装备!C137&amp;"""")</f>
        <v>0</v>
      </c>
      <c r="K132" t="str">
        <f>IF(装备!T137="","""""",""""&amp;装备!T137&amp;"""")</f>
        <v>""</v>
      </c>
      <c r="L132">
        <f>IF(装备!U137="",0,""""&amp;装备!U137&amp;"""")</f>
        <v>0</v>
      </c>
      <c r="M132" t="str">
        <f t="shared" ref="M132:M195" si="5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si="4"/>
        <v>call InitTypeIdStrings(0,0,0,"")</v>
      </c>
    </row>
    <row r="133" spans="1:14">
      <c r="A133">
        <f>IF(装备!B138="",0,"'"&amp;装备!B138&amp;"'")</f>
        <v>0</v>
      </c>
      <c r="B133">
        <f>装备!D139</f>
        <v>0</v>
      </c>
      <c r="C133">
        <f>装备!E138</f>
        <v>0</v>
      </c>
      <c r="D133">
        <f>装备!F138</f>
        <v>0</v>
      </c>
      <c r="E133">
        <f>装备!G138</f>
        <v>0</v>
      </c>
      <c r="F133">
        <f>装备!H138</f>
        <v>0</v>
      </c>
      <c r="G133">
        <f>IF(装备!I138="",0,"'"&amp;装备!I138&amp;"'")</f>
        <v>0</v>
      </c>
      <c r="H133">
        <f>IF(装备!R138="",0,"'"&amp;装备!R138&amp;"'")</f>
        <v>0</v>
      </c>
      <c r="I133">
        <f>IF(装备!S138="",0,"'"&amp;装备!S138&amp;"'")</f>
        <v>0</v>
      </c>
      <c r="J133">
        <f>IF(装备!C138="",0,""""&amp;装备!C138&amp;"""")</f>
        <v>0</v>
      </c>
      <c r="K133" t="str">
        <f>IF(装备!T138="","""""",""""&amp;装备!T138&amp;"""")</f>
        <v>""</v>
      </c>
      <c r="L133">
        <f>IF(装备!U138="",0,""""&amp;装备!U138&amp;"""")</f>
        <v>0</v>
      </c>
      <c r="M133" t="str">
        <f t="shared" si="5"/>
        <v/>
      </c>
      <c r="N133" t="str">
        <f t="shared" si="4"/>
        <v>call InitTypeIdStrings(0,0,0,"")</v>
      </c>
    </row>
    <row r="134" spans="1:14">
      <c r="A134">
        <f>IF(装备!B139="",0,"'"&amp;装备!B139&amp;"'")</f>
        <v>0</v>
      </c>
      <c r="B134">
        <f>装备!D140</f>
        <v>0</v>
      </c>
      <c r="C134">
        <f>装备!E139</f>
        <v>0</v>
      </c>
      <c r="D134">
        <f>装备!F139</f>
        <v>0</v>
      </c>
      <c r="E134">
        <f>装备!G139</f>
        <v>0</v>
      </c>
      <c r="F134">
        <f>装备!H139</f>
        <v>0</v>
      </c>
      <c r="G134">
        <f>IF(装备!I139="",0,"'"&amp;装备!I139&amp;"'")</f>
        <v>0</v>
      </c>
      <c r="H134">
        <f>IF(装备!R139="",0,"'"&amp;装备!R139&amp;"'")</f>
        <v>0</v>
      </c>
      <c r="I134">
        <f>IF(装备!S139="",0,"'"&amp;装备!S139&amp;"'")</f>
        <v>0</v>
      </c>
      <c r="J134">
        <f>IF(装备!C139="",0,""""&amp;装备!C139&amp;"""")</f>
        <v>0</v>
      </c>
      <c r="K134" t="str">
        <f>IF(装备!T139="","""""",""""&amp;装备!T139&amp;"""")</f>
        <v>""</v>
      </c>
      <c r="L134">
        <f>IF(装备!U139="",0,""""&amp;装备!U139&amp;"""")</f>
        <v>0</v>
      </c>
      <c r="M134" t="str">
        <f t="shared" si="5"/>
        <v/>
      </c>
      <c r="N134" t="str">
        <f t="shared" si="4"/>
        <v>call InitTypeIdStrings(0,0,0,"")</v>
      </c>
    </row>
    <row r="135" spans="1:14">
      <c r="A135">
        <f>IF(装备!B140="",0,"'"&amp;装备!B140&amp;"'")</f>
        <v>0</v>
      </c>
      <c r="B135">
        <f>装备!D141</f>
        <v>0</v>
      </c>
      <c r="C135">
        <f>装备!E140</f>
        <v>0</v>
      </c>
      <c r="D135">
        <f>装备!F140</f>
        <v>0</v>
      </c>
      <c r="E135">
        <f>装备!G140</f>
        <v>0</v>
      </c>
      <c r="F135">
        <f>装备!H140</f>
        <v>0</v>
      </c>
      <c r="G135">
        <f>IF(装备!I140="",0,"'"&amp;装备!I140&amp;"'")</f>
        <v>0</v>
      </c>
      <c r="H135">
        <f>IF(装备!R140="",0,"'"&amp;装备!R140&amp;"'")</f>
        <v>0</v>
      </c>
      <c r="I135">
        <f>IF(装备!S140="",0,"'"&amp;装备!S140&amp;"'")</f>
        <v>0</v>
      </c>
      <c r="J135">
        <f>IF(装备!C140="",0,""""&amp;装备!C140&amp;"""")</f>
        <v>0</v>
      </c>
      <c r="K135" t="str">
        <f>IF(装备!T140="","""""",""""&amp;装备!T140&amp;"""")</f>
        <v>""</v>
      </c>
      <c r="L135">
        <f>IF(装备!U140="",0,""""&amp;装备!U140&amp;"""")</f>
        <v>0</v>
      </c>
      <c r="M135" t="str">
        <f t="shared" si="5"/>
        <v/>
      </c>
      <c r="N135" t="str">
        <f t="shared" si="4"/>
        <v>call InitTypeIdStrings(0,0,0,"")</v>
      </c>
    </row>
    <row r="136" spans="1:14">
      <c r="A136">
        <f>IF(装备!B141="",0,"'"&amp;装备!B141&amp;"'")</f>
        <v>0</v>
      </c>
      <c r="B136">
        <f>装备!D142</f>
        <v>0</v>
      </c>
      <c r="C136">
        <f>装备!E141</f>
        <v>0</v>
      </c>
      <c r="D136">
        <f>装备!F141</f>
        <v>0</v>
      </c>
      <c r="E136">
        <f>装备!G141</f>
        <v>0</v>
      </c>
      <c r="F136">
        <f>装备!H141</f>
        <v>0</v>
      </c>
      <c r="G136">
        <f>IF(装备!I141="",0,"'"&amp;装备!I141&amp;"'")</f>
        <v>0</v>
      </c>
      <c r="H136">
        <f>IF(装备!R141="",0,"'"&amp;装备!R141&amp;"'")</f>
        <v>0</v>
      </c>
      <c r="I136">
        <f>IF(装备!S141="",0,"'"&amp;装备!S141&amp;"'")</f>
        <v>0</v>
      </c>
      <c r="J136">
        <f>IF(装备!C141="",0,""""&amp;装备!C141&amp;"""")</f>
        <v>0</v>
      </c>
      <c r="K136" t="str">
        <f>IF(装备!T141="","""""",""""&amp;装备!T141&amp;"""")</f>
        <v>""</v>
      </c>
      <c r="L136">
        <f>IF(装备!U141="",0,""""&amp;装备!U141&amp;"""")</f>
        <v>0</v>
      </c>
      <c r="M136" t="str">
        <f t="shared" si="5"/>
        <v/>
      </c>
      <c r="N136" t="str">
        <f t="shared" si="4"/>
        <v>call InitTypeIdStrings(0,0,0,"")</v>
      </c>
    </row>
    <row r="137" spans="1:14">
      <c r="A137">
        <f>IF(装备!B142="",0,"'"&amp;装备!B142&amp;"'")</f>
        <v>0</v>
      </c>
      <c r="B137">
        <f>装备!D143</f>
        <v>0</v>
      </c>
      <c r="C137">
        <f>装备!E142</f>
        <v>0</v>
      </c>
      <c r="D137">
        <f>装备!F142</f>
        <v>0</v>
      </c>
      <c r="E137">
        <f>装备!G142</f>
        <v>0</v>
      </c>
      <c r="F137">
        <f>装备!H142</f>
        <v>0</v>
      </c>
      <c r="G137">
        <f>IF(装备!I142="",0,"'"&amp;装备!I142&amp;"'")</f>
        <v>0</v>
      </c>
      <c r="H137">
        <f>IF(装备!R142="",0,"'"&amp;装备!R142&amp;"'")</f>
        <v>0</v>
      </c>
      <c r="I137">
        <f>IF(装备!S142="",0,"'"&amp;装备!S142&amp;"'")</f>
        <v>0</v>
      </c>
      <c r="J137">
        <f>IF(装备!C142="",0,""""&amp;装备!C142&amp;"""")</f>
        <v>0</v>
      </c>
      <c r="K137" t="str">
        <f>IF(装备!T142="","""""",""""&amp;装备!T142&amp;"""")</f>
        <v>""</v>
      </c>
      <c r="L137">
        <f>IF(装备!U142="",0,""""&amp;装备!U142&amp;"""")</f>
        <v>0</v>
      </c>
      <c r="M137" t="str">
        <f t="shared" si="5"/>
        <v/>
      </c>
      <c r="N137" t="str">
        <f t="shared" si="4"/>
        <v>call InitTypeIdStrings(0,0,0,"")</v>
      </c>
    </row>
    <row r="138" spans="1:14">
      <c r="A138">
        <f>IF(装备!B143="",0,"'"&amp;装备!B143&amp;"'")</f>
        <v>0</v>
      </c>
      <c r="B138">
        <f>装备!D144</f>
        <v>0</v>
      </c>
      <c r="C138">
        <f>装备!E143</f>
        <v>0</v>
      </c>
      <c r="D138">
        <f>装备!F143</f>
        <v>0</v>
      </c>
      <c r="E138">
        <f>装备!G143</f>
        <v>0</v>
      </c>
      <c r="F138">
        <f>装备!H143</f>
        <v>0</v>
      </c>
      <c r="G138">
        <f>IF(装备!I143="",0,"'"&amp;装备!I143&amp;"'")</f>
        <v>0</v>
      </c>
      <c r="H138">
        <f>IF(装备!R143="",0,"'"&amp;装备!R143&amp;"'")</f>
        <v>0</v>
      </c>
      <c r="I138">
        <f>IF(装备!S143="",0,"'"&amp;装备!S143&amp;"'")</f>
        <v>0</v>
      </c>
      <c r="J138">
        <f>IF(装备!C143="",0,""""&amp;装备!C143&amp;"""")</f>
        <v>0</v>
      </c>
      <c r="K138" t="str">
        <f>IF(装备!T143="","""""",""""&amp;装备!T143&amp;"""")</f>
        <v>""</v>
      </c>
      <c r="L138">
        <f>IF(装备!U143="",0,""""&amp;装备!U143&amp;"""")</f>
        <v>0</v>
      </c>
      <c r="M138" t="str">
        <f t="shared" si="5"/>
        <v/>
      </c>
      <c r="N138" t="str">
        <f t="shared" si="4"/>
        <v>call InitTypeIdStrings(0,0,0,"")</v>
      </c>
    </row>
    <row r="139" spans="1:14">
      <c r="A139">
        <f>IF(装备!B144="",0,"'"&amp;装备!B144&amp;"'")</f>
        <v>0</v>
      </c>
      <c r="B139">
        <f>装备!D145</f>
        <v>0</v>
      </c>
      <c r="C139">
        <f>装备!E144</f>
        <v>0</v>
      </c>
      <c r="D139">
        <f>装备!F144</f>
        <v>0</v>
      </c>
      <c r="E139">
        <f>装备!G144</f>
        <v>0</v>
      </c>
      <c r="F139">
        <f>装备!H144</f>
        <v>0</v>
      </c>
      <c r="G139">
        <f>IF(装备!I144="",0,"'"&amp;装备!I144&amp;"'")</f>
        <v>0</v>
      </c>
      <c r="H139">
        <f>IF(装备!R144="",0,"'"&amp;装备!R144&amp;"'")</f>
        <v>0</v>
      </c>
      <c r="I139">
        <f>IF(装备!S144="",0,"'"&amp;装备!S144&amp;"'")</f>
        <v>0</v>
      </c>
      <c r="J139">
        <f>IF(装备!C144="",0,""""&amp;装备!C144&amp;"""")</f>
        <v>0</v>
      </c>
      <c r="K139" t="str">
        <f>IF(装备!T144="","""""",""""&amp;装备!T144&amp;"""")</f>
        <v>""</v>
      </c>
      <c r="L139">
        <f>IF(装备!U144="",0,""""&amp;装备!U144&amp;"""")</f>
        <v>0</v>
      </c>
      <c r="M139" t="str">
        <f t="shared" si="5"/>
        <v/>
      </c>
      <c r="N139" t="str">
        <f t="shared" si="4"/>
        <v>call InitTypeIdStrings(0,0,0,"")</v>
      </c>
    </row>
    <row r="140" spans="1:14">
      <c r="A140">
        <f>IF(装备!B145="",0,"'"&amp;装备!B145&amp;"'")</f>
        <v>0</v>
      </c>
      <c r="B140">
        <f>装备!D146</f>
        <v>0</v>
      </c>
      <c r="C140">
        <f>装备!E145</f>
        <v>0</v>
      </c>
      <c r="D140">
        <f>装备!F145</f>
        <v>0</v>
      </c>
      <c r="E140">
        <f>装备!G145</f>
        <v>0</v>
      </c>
      <c r="F140">
        <f>装备!H145</f>
        <v>0</v>
      </c>
      <c r="G140">
        <f>IF(装备!I145="",0,"'"&amp;装备!I145&amp;"'")</f>
        <v>0</v>
      </c>
      <c r="H140">
        <f>IF(装备!R145="",0,"'"&amp;装备!R145&amp;"'")</f>
        <v>0</v>
      </c>
      <c r="I140">
        <f>IF(装备!S145="",0,"'"&amp;装备!S145&amp;"'")</f>
        <v>0</v>
      </c>
      <c r="J140">
        <f>IF(装备!C145="",0,""""&amp;装备!C145&amp;"""")</f>
        <v>0</v>
      </c>
      <c r="K140" t="str">
        <f>IF(装备!T145="","""""",""""&amp;装备!T145&amp;"""")</f>
        <v>""</v>
      </c>
      <c r="L140">
        <f>IF(装备!U145="",0,""""&amp;装备!U145&amp;"""")</f>
        <v>0</v>
      </c>
      <c r="M140" t="str">
        <f t="shared" si="5"/>
        <v/>
      </c>
      <c r="N140" t="str">
        <f t="shared" si="4"/>
        <v>call InitTypeIdStrings(0,0,0,"")</v>
      </c>
    </row>
    <row r="141" spans="1:14">
      <c r="A141">
        <f>IF(装备!B146="",0,"'"&amp;装备!B146&amp;"'")</f>
        <v>0</v>
      </c>
      <c r="B141">
        <f>装备!D147</f>
        <v>0</v>
      </c>
      <c r="C141">
        <f>装备!E146</f>
        <v>0</v>
      </c>
      <c r="D141">
        <f>装备!F146</f>
        <v>0</v>
      </c>
      <c r="E141">
        <f>装备!G146</f>
        <v>0</v>
      </c>
      <c r="F141">
        <f>装备!H146</f>
        <v>0</v>
      </c>
      <c r="G141">
        <f>IF(装备!I146="",0,"'"&amp;装备!I146&amp;"'")</f>
        <v>0</v>
      </c>
      <c r="H141">
        <f>IF(装备!R146="",0,"'"&amp;装备!R146&amp;"'")</f>
        <v>0</v>
      </c>
      <c r="I141">
        <f>IF(装备!S146="",0,"'"&amp;装备!S146&amp;"'")</f>
        <v>0</v>
      </c>
      <c r="J141">
        <f>IF(装备!C146="",0,""""&amp;装备!C146&amp;"""")</f>
        <v>0</v>
      </c>
      <c r="K141" t="str">
        <f>IF(装备!T146="","""""",""""&amp;装备!T146&amp;"""")</f>
        <v>""</v>
      </c>
      <c r="L141">
        <f>IF(装备!U146="",0,""""&amp;装备!U146&amp;"""")</f>
        <v>0</v>
      </c>
      <c r="M141" t="str">
        <f t="shared" si="5"/>
        <v/>
      </c>
      <c r="N141" t="str">
        <f t="shared" si="4"/>
        <v>call InitTypeIdStrings(0,0,0,"")</v>
      </c>
    </row>
    <row r="142" spans="1:14">
      <c r="A142">
        <f>IF(装备!B147="",0,"'"&amp;装备!B147&amp;"'")</f>
        <v>0</v>
      </c>
      <c r="B142">
        <f>装备!D148</f>
        <v>0</v>
      </c>
      <c r="C142">
        <f>装备!E147</f>
        <v>0</v>
      </c>
      <c r="D142">
        <f>装备!F147</f>
        <v>0</v>
      </c>
      <c r="E142">
        <f>装备!G147</f>
        <v>0</v>
      </c>
      <c r="F142">
        <f>装备!H147</f>
        <v>0</v>
      </c>
      <c r="G142">
        <f>IF(装备!I147="",0,"'"&amp;装备!I147&amp;"'")</f>
        <v>0</v>
      </c>
      <c r="H142">
        <f>IF(装备!R147="",0,"'"&amp;装备!R147&amp;"'")</f>
        <v>0</v>
      </c>
      <c r="I142">
        <f>IF(装备!S147="",0,"'"&amp;装备!S147&amp;"'")</f>
        <v>0</v>
      </c>
      <c r="J142">
        <f>IF(装备!C147="",0,""""&amp;装备!C147&amp;"""")</f>
        <v>0</v>
      </c>
      <c r="K142" t="str">
        <f>IF(装备!T147="","""""",""""&amp;装备!T147&amp;"""")</f>
        <v>""</v>
      </c>
      <c r="L142">
        <f>IF(装备!U147="",0,""""&amp;装备!U147&amp;"""")</f>
        <v>0</v>
      </c>
      <c r="M142" t="str">
        <f t="shared" si="5"/>
        <v/>
      </c>
      <c r="N142" t="str">
        <f t="shared" si="4"/>
        <v>call InitTypeIdStrings(0,0,0,"")</v>
      </c>
    </row>
    <row r="143" spans="1:14">
      <c r="A143">
        <f>IF(装备!B148="",0,"'"&amp;装备!B148&amp;"'")</f>
        <v>0</v>
      </c>
      <c r="B143">
        <f>装备!D149</f>
        <v>0</v>
      </c>
      <c r="C143">
        <f>装备!E148</f>
        <v>0</v>
      </c>
      <c r="D143">
        <f>装备!F148</f>
        <v>0</v>
      </c>
      <c r="E143">
        <f>装备!G148</f>
        <v>0</v>
      </c>
      <c r="F143">
        <f>装备!H148</f>
        <v>0</v>
      </c>
      <c r="G143">
        <f>IF(装备!I148="",0,"'"&amp;装备!I148&amp;"'")</f>
        <v>0</v>
      </c>
      <c r="H143">
        <f>IF(装备!R148="",0,"'"&amp;装备!R148&amp;"'")</f>
        <v>0</v>
      </c>
      <c r="I143">
        <f>IF(装备!S148="",0,"'"&amp;装备!S148&amp;"'")</f>
        <v>0</v>
      </c>
      <c r="J143">
        <f>IF(装备!C148="",0,""""&amp;装备!C148&amp;"""")</f>
        <v>0</v>
      </c>
      <c r="K143" t="str">
        <f>IF(装备!T148="","""""",""""&amp;装备!T148&amp;"""")</f>
        <v>""</v>
      </c>
      <c r="L143">
        <f>IF(装备!U148="",0,""""&amp;装备!U148&amp;"""")</f>
        <v>0</v>
      </c>
      <c r="M143" t="str">
        <f t="shared" si="5"/>
        <v/>
      </c>
      <c r="N143" t="str">
        <f t="shared" si="4"/>
        <v>call InitTypeIdStrings(0,0,0,"")</v>
      </c>
    </row>
    <row r="144" spans="1:14">
      <c r="A144">
        <f>IF(装备!B149="",0,"'"&amp;装备!B149&amp;"'")</f>
        <v>0</v>
      </c>
      <c r="B144">
        <f>装备!D150</f>
        <v>0</v>
      </c>
      <c r="C144">
        <f>装备!E149</f>
        <v>0</v>
      </c>
      <c r="D144">
        <f>装备!F149</f>
        <v>0</v>
      </c>
      <c r="E144">
        <f>装备!G149</f>
        <v>0</v>
      </c>
      <c r="F144">
        <f>装备!H149</f>
        <v>0</v>
      </c>
      <c r="G144">
        <f>IF(装备!I149="",0,"'"&amp;装备!I149&amp;"'")</f>
        <v>0</v>
      </c>
      <c r="H144">
        <f>IF(装备!R149="",0,"'"&amp;装备!R149&amp;"'")</f>
        <v>0</v>
      </c>
      <c r="I144">
        <f>IF(装备!S149="",0,"'"&amp;装备!S149&amp;"'")</f>
        <v>0</v>
      </c>
      <c r="J144">
        <f>IF(装备!C149="",0,""""&amp;装备!C149&amp;"""")</f>
        <v>0</v>
      </c>
      <c r="K144" t="str">
        <f>IF(装备!T149="","""""",""""&amp;装备!T149&amp;"""")</f>
        <v>""</v>
      </c>
      <c r="L144">
        <f>IF(装备!U149="",0,""""&amp;装备!U149&amp;"""")</f>
        <v>0</v>
      </c>
      <c r="M144" t="str">
        <f t="shared" si="5"/>
        <v/>
      </c>
      <c r="N144" t="str">
        <f t="shared" si="4"/>
        <v>call InitTypeIdStrings(0,0,0,"")</v>
      </c>
    </row>
    <row r="145" spans="1:14">
      <c r="A145">
        <f>IF(装备!B150="",0,"'"&amp;装备!B150&amp;"'")</f>
        <v>0</v>
      </c>
      <c r="B145">
        <f>装备!D151</f>
        <v>0</v>
      </c>
      <c r="C145">
        <f>装备!E150</f>
        <v>0</v>
      </c>
      <c r="D145">
        <f>装备!F150</f>
        <v>0</v>
      </c>
      <c r="E145">
        <f>装备!G150</f>
        <v>0</v>
      </c>
      <c r="F145">
        <f>装备!H150</f>
        <v>0</v>
      </c>
      <c r="G145">
        <f>IF(装备!I150="",0,"'"&amp;装备!I150&amp;"'")</f>
        <v>0</v>
      </c>
      <c r="H145">
        <f>IF(装备!R150="",0,"'"&amp;装备!R150&amp;"'")</f>
        <v>0</v>
      </c>
      <c r="I145">
        <f>IF(装备!S150="",0,"'"&amp;装备!S150&amp;"'")</f>
        <v>0</v>
      </c>
      <c r="J145">
        <f>IF(装备!C150="",0,""""&amp;装备!C150&amp;"""")</f>
        <v>0</v>
      </c>
      <c r="K145" t="str">
        <f>IF(装备!T150="","""""",""""&amp;装备!T150&amp;"""")</f>
        <v>""</v>
      </c>
      <c r="L145">
        <f>IF(装备!U150="",0,""""&amp;装备!U150&amp;"""")</f>
        <v>0</v>
      </c>
      <c r="M145" t="str">
        <f t="shared" si="5"/>
        <v/>
      </c>
      <c r="N145" t="str">
        <f t="shared" si="4"/>
        <v>call InitTypeIdStrings(0,0,0,"")</v>
      </c>
    </row>
    <row r="146" spans="1:14">
      <c r="A146">
        <f>IF(装备!B151="",0,"'"&amp;装备!B151&amp;"'")</f>
        <v>0</v>
      </c>
      <c r="B146">
        <f>装备!D152</f>
        <v>0</v>
      </c>
      <c r="C146">
        <f>装备!E151</f>
        <v>0</v>
      </c>
      <c r="D146">
        <f>装备!F151</f>
        <v>0</v>
      </c>
      <c r="E146">
        <f>装备!G151</f>
        <v>0</v>
      </c>
      <c r="F146">
        <f>装备!H151</f>
        <v>0</v>
      </c>
      <c r="G146">
        <f>IF(装备!I151="",0,"'"&amp;装备!I151&amp;"'")</f>
        <v>0</v>
      </c>
      <c r="H146">
        <f>IF(装备!R151="",0,"'"&amp;装备!R151&amp;"'")</f>
        <v>0</v>
      </c>
      <c r="I146">
        <f>IF(装备!S151="",0,"'"&amp;装备!S151&amp;"'")</f>
        <v>0</v>
      </c>
      <c r="J146">
        <f>IF(装备!C151="",0,""""&amp;装备!C151&amp;"""")</f>
        <v>0</v>
      </c>
      <c r="K146" t="str">
        <f>IF(装备!T151="","""""",""""&amp;装备!T151&amp;"""")</f>
        <v>""</v>
      </c>
      <c r="L146">
        <f>IF(装备!U151="",0,""""&amp;装备!U151&amp;"""")</f>
        <v>0</v>
      </c>
      <c r="M146" t="str">
        <f t="shared" si="5"/>
        <v/>
      </c>
      <c r="N146" t="str">
        <f t="shared" si="4"/>
        <v>call InitTypeIdStrings(0,0,0,"")</v>
      </c>
    </row>
    <row r="147" spans="1:14">
      <c r="A147">
        <f>IF(装备!B152="",0,"'"&amp;装备!B152&amp;"'")</f>
        <v>0</v>
      </c>
      <c r="B147">
        <f>装备!D153</f>
        <v>0</v>
      </c>
      <c r="C147">
        <f>装备!E152</f>
        <v>0</v>
      </c>
      <c r="D147">
        <f>装备!F152</f>
        <v>0</v>
      </c>
      <c r="E147">
        <f>装备!G152</f>
        <v>0</v>
      </c>
      <c r="F147">
        <f>装备!H152</f>
        <v>0</v>
      </c>
      <c r="G147">
        <f>IF(装备!I152="",0,"'"&amp;装备!I152&amp;"'")</f>
        <v>0</v>
      </c>
      <c r="H147">
        <f>IF(装备!R152="",0,"'"&amp;装备!R152&amp;"'")</f>
        <v>0</v>
      </c>
      <c r="I147">
        <f>IF(装备!S152="",0,"'"&amp;装备!S152&amp;"'")</f>
        <v>0</v>
      </c>
      <c r="J147">
        <f>IF(装备!C152="",0,""""&amp;装备!C152&amp;"""")</f>
        <v>0</v>
      </c>
      <c r="K147" t="str">
        <f>IF(装备!T152="","""""",""""&amp;装备!T152&amp;"""")</f>
        <v>""</v>
      </c>
      <c r="L147">
        <f>IF(装备!U152="",0,""""&amp;装备!U152&amp;"""")</f>
        <v>0</v>
      </c>
      <c r="M147" t="str">
        <f t="shared" si="5"/>
        <v/>
      </c>
      <c r="N147" t="str">
        <f t="shared" si="4"/>
        <v>call InitTypeIdStrings(0,0,0,"")</v>
      </c>
    </row>
    <row r="148" spans="1:14">
      <c r="A148">
        <f>IF(装备!B153="",0,"'"&amp;装备!B153&amp;"'")</f>
        <v>0</v>
      </c>
      <c r="B148">
        <f>装备!D154</f>
        <v>0</v>
      </c>
      <c r="C148">
        <f>装备!E153</f>
        <v>0</v>
      </c>
      <c r="D148">
        <f>装备!F153</f>
        <v>0</v>
      </c>
      <c r="E148">
        <f>装备!G153</f>
        <v>0</v>
      </c>
      <c r="F148">
        <f>装备!H153</f>
        <v>0</v>
      </c>
      <c r="G148">
        <f>IF(装备!I153="",0,"'"&amp;装备!I153&amp;"'")</f>
        <v>0</v>
      </c>
      <c r="H148">
        <f>IF(装备!R153="",0,"'"&amp;装备!R153&amp;"'")</f>
        <v>0</v>
      </c>
      <c r="I148">
        <f>IF(装备!S153="",0,"'"&amp;装备!S153&amp;"'")</f>
        <v>0</v>
      </c>
      <c r="J148">
        <f>IF(装备!C153="",0,""""&amp;装备!C153&amp;"""")</f>
        <v>0</v>
      </c>
      <c r="K148" t="str">
        <f>IF(装备!T153="","""""",""""&amp;装备!T153&amp;"""")</f>
        <v>""</v>
      </c>
      <c r="L148">
        <f>IF(装备!U153="",0,""""&amp;装备!U153&amp;"""")</f>
        <v>0</v>
      </c>
      <c r="M148" t="str">
        <f t="shared" si="5"/>
        <v/>
      </c>
      <c r="N148" t="str">
        <f t="shared" si="4"/>
        <v>call InitTypeIdStrings(0,0,0,"")</v>
      </c>
    </row>
    <row r="149" spans="1:14">
      <c r="A149">
        <f>IF(装备!B154="",0,"'"&amp;装备!B154&amp;"'")</f>
        <v>0</v>
      </c>
      <c r="B149">
        <f>装备!D155</f>
        <v>0</v>
      </c>
      <c r="C149">
        <f>装备!E154</f>
        <v>0</v>
      </c>
      <c r="D149">
        <f>装备!F154</f>
        <v>0</v>
      </c>
      <c r="E149">
        <f>装备!G154</f>
        <v>0</v>
      </c>
      <c r="F149">
        <f>装备!H154</f>
        <v>0</v>
      </c>
      <c r="G149">
        <f>IF(装备!I154="",0,"'"&amp;装备!I154&amp;"'")</f>
        <v>0</v>
      </c>
      <c r="H149">
        <f>IF(装备!R154="",0,"'"&amp;装备!R154&amp;"'")</f>
        <v>0</v>
      </c>
      <c r="I149">
        <f>IF(装备!S154="",0,"'"&amp;装备!S154&amp;"'")</f>
        <v>0</v>
      </c>
      <c r="J149">
        <f>IF(装备!C154="",0,""""&amp;装备!C154&amp;"""")</f>
        <v>0</v>
      </c>
      <c r="K149" t="str">
        <f>IF(装备!T154="","""""",""""&amp;装备!T154&amp;"""")</f>
        <v>""</v>
      </c>
      <c r="L149">
        <f>IF(装备!U154="",0,""""&amp;装备!U154&amp;"""")</f>
        <v>0</v>
      </c>
      <c r="M149" t="str">
        <f t="shared" si="5"/>
        <v/>
      </c>
      <c r="N149" t="str">
        <f t="shared" si="4"/>
        <v>call InitTypeIdStrings(0,0,0,"")</v>
      </c>
    </row>
    <row r="150" spans="1:14">
      <c r="A150">
        <f>IF(装备!B155="",0,"'"&amp;装备!B155&amp;"'")</f>
        <v>0</v>
      </c>
      <c r="B150">
        <f>装备!D156</f>
        <v>0</v>
      </c>
      <c r="C150">
        <f>装备!E155</f>
        <v>0</v>
      </c>
      <c r="D150">
        <f>装备!F155</f>
        <v>0</v>
      </c>
      <c r="E150">
        <f>装备!G155</f>
        <v>0</v>
      </c>
      <c r="F150">
        <f>装备!H155</f>
        <v>0</v>
      </c>
      <c r="G150">
        <f>IF(装备!I155="",0,"'"&amp;装备!I155&amp;"'")</f>
        <v>0</v>
      </c>
      <c r="H150">
        <f>IF(装备!R155="",0,"'"&amp;装备!R155&amp;"'")</f>
        <v>0</v>
      </c>
      <c r="I150">
        <f>IF(装备!S155="",0,"'"&amp;装备!S155&amp;"'")</f>
        <v>0</v>
      </c>
      <c r="J150">
        <f>IF(装备!C155="",0,""""&amp;装备!C155&amp;"""")</f>
        <v>0</v>
      </c>
      <c r="K150" t="str">
        <f>IF(装备!T155="","""""",""""&amp;装备!T155&amp;"""")</f>
        <v>""</v>
      </c>
      <c r="L150">
        <f>IF(装备!U155="",0,""""&amp;装备!U155&amp;"""")</f>
        <v>0</v>
      </c>
      <c r="M150" t="str">
        <f t="shared" si="5"/>
        <v/>
      </c>
      <c r="N150" t="str">
        <f t="shared" si="4"/>
        <v>call InitTypeIdStrings(0,0,0,"")</v>
      </c>
    </row>
    <row r="151" spans="1:14">
      <c r="A151">
        <f>IF(装备!B156="",0,"'"&amp;装备!B156&amp;"'")</f>
        <v>0</v>
      </c>
      <c r="B151">
        <f>装备!D157</f>
        <v>0</v>
      </c>
      <c r="C151">
        <f>装备!E156</f>
        <v>0</v>
      </c>
      <c r="D151">
        <f>装备!F156</f>
        <v>0</v>
      </c>
      <c r="E151">
        <f>装备!G156</f>
        <v>0</v>
      </c>
      <c r="F151">
        <f>装备!H156</f>
        <v>0</v>
      </c>
      <c r="G151">
        <f>IF(装备!I156="",0,"'"&amp;装备!I156&amp;"'")</f>
        <v>0</v>
      </c>
      <c r="H151">
        <f>IF(装备!R156="",0,"'"&amp;装备!R156&amp;"'")</f>
        <v>0</v>
      </c>
      <c r="I151">
        <f>IF(装备!S156="",0,"'"&amp;装备!S156&amp;"'")</f>
        <v>0</v>
      </c>
      <c r="J151">
        <f>IF(装备!C156="",0,""""&amp;装备!C156&amp;"""")</f>
        <v>0</v>
      </c>
      <c r="K151" t="str">
        <f>IF(装备!T156="","""""",""""&amp;装备!T156&amp;"""")</f>
        <v>""</v>
      </c>
      <c r="L151">
        <f>IF(装备!U156="",0,""""&amp;装备!U156&amp;"""")</f>
        <v>0</v>
      </c>
      <c r="M151" t="str">
        <f t="shared" si="5"/>
        <v/>
      </c>
      <c r="N151" t="str">
        <f t="shared" si="4"/>
        <v>call InitTypeIdStrings(0,0,0,"")</v>
      </c>
    </row>
    <row r="152" spans="1:14">
      <c r="A152">
        <f>IF(装备!B157="",0,"'"&amp;装备!B157&amp;"'")</f>
        <v>0</v>
      </c>
      <c r="B152">
        <f>装备!D158</f>
        <v>0</v>
      </c>
      <c r="C152">
        <f>装备!E157</f>
        <v>0</v>
      </c>
      <c r="D152">
        <f>装备!F157</f>
        <v>0</v>
      </c>
      <c r="E152">
        <f>装备!G157</f>
        <v>0</v>
      </c>
      <c r="F152">
        <f>装备!H157</f>
        <v>0</v>
      </c>
      <c r="G152">
        <f>IF(装备!I157="",0,"'"&amp;装备!I157&amp;"'")</f>
        <v>0</v>
      </c>
      <c r="H152">
        <f>IF(装备!R157="",0,"'"&amp;装备!R157&amp;"'")</f>
        <v>0</v>
      </c>
      <c r="I152">
        <f>IF(装备!S157="",0,"'"&amp;装备!S157&amp;"'")</f>
        <v>0</v>
      </c>
      <c r="J152">
        <f>IF(装备!C157="",0,""""&amp;装备!C157&amp;"""")</f>
        <v>0</v>
      </c>
      <c r="K152" t="str">
        <f>IF(装备!T157="","""""",""""&amp;装备!T157&amp;"""")</f>
        <v>""</v>
      </c>
      <c r="L152">
        <f>IF(装备!U157="",0,""""&amp;装备!U157&amp;"""")</f>
        <v>0</v>
      </c>
      <c r="M152" t="str">
        <f t="shared" si="5"/>
        <v/>
      </c>
      <c r="N152" t="str">
        <f t="shared" si="4"/>
        <v>call InitTypeIdStrings(0,0,0,"")</v>
      </c>
    </row>
    <row r="153" spans="1:14">
      <c r="A153">
        <f>IF(装备!B158="",0,"'"&amp;装备!B158&amp;"'")</f>
        <v>0</v>
      </c>
      <c r="B153">
        <f>装备!D159</f>
        <v>0</v>
      </c>
      <c r="C153">
        <f>装备!E158</f>
        <v>0</v>
      </c>
      <c r="D153">
        <f>装备!F158</f>
        <v>0</v>
      </c>
      <c r="E153">
        <f>装备!G158</f>
        <v>0</v>
      </c>
      <c r="F153">
        <f>装备!H158</f>
        <v>0</v>
      </c>
      <c r="G153">
        <f>IF(装备!I158="",0,"'"&amp;装备!I158&amp;"'")</f>
        <v>0</v>
      </c>
      <c r="H153">
        <f>IF(装备!R158="",0,"'"&amp;装备!R158&amp;"'")</f>
        <v>0</v>
      </c>
      <c r="I153">
        <f>IF(装备!S158="",0,"'"&amp;装备!S158&amp;"'")</f>
        <v>0</v>
      </c>
      <c r="J153">
        <f>IF(装备!C158="",0,""""&amp;装备!C158&amp;"""")</f>
        <v>0</v>
      </c>
      <c r="K153" t="str">
        <f>IF(装备!T158="","""""",""""&amp;装备!T158&amp;"""")</f>
        <v>""</v>
      </c>
      <c r="L153">
        <f>IF(装备!U158="",0,""""&amp;装备!U158&amp;"""")</f>
        <v>0</v>
      </c>
      <c r="M153" t="str">
        <f t="shared" si="5"/>
        <v/>
      </c>
      <c r="N153" t="str">
        <f t="shared" si="4"/>
        <v>call InitTypeIdStrings(0,0,0,"")</v>
      </c>
    </row>
    <row r="154" spans="1:14">
      <c r="A154">
        <f>IF(装备!B159="",0,"'"&amp;装备!B159&amp;"'")</f>
        <v>0</v>
      </c>
      <c r="B154">
        <f>装备!D160</f>
        <v>0</v>
      </c>
      <c r="C154">
        <f>装备!E159</f>
        <v>0</v>
      </c>
      <c r="D154">
        <f>装备!F159</f>
        <v>0</v>
      </c>
      <c r="E154">
        <f>装备!G159</f>
        <v>0</v>
      </c>
      <c r="F154">
        <f>装备!H159</f>
        <v>0</v>
      </c>
      <c r="G154">
        <f>IF(装备!I159="",0,"'"&amp;装备!I159&amp;"'")</f>
        <v>0</v>
      </c>
      <c r="H154">
        <f>IF(装备!R159="",0,"'"&amp;装备!R159&amp;"'")</f>
        <v>0</v>
      </c>
      <c r="I154">
        <f>IF(装备!S159="",0,"'"&amp;装备!S159&amp;"'")</f>
        <v>0</v>
      </c>
      <c r="J154">
        <f>IF(装备!C159="",0,""""&amp;装备!C159&amp;"""")</f>
        <v>0</v>
      </c>
      <c r="K154" t="str">
        <f>IF(装备!T159="","""""",""""&amp;装备!T159&amp;"""")</f>
        <v>""</v>
      </c>
      <c r="L154">
        <f>IF(装备!U159="",0,""""&amp;装备!U159&amp;"""")</f>
        <v>0</v>
      </c>
      <c r="M154" t="str">
        <f t="shared" si="5"/>
        <v/>
      </c>
      <c r="N154" t="str">
        <f t="shared" si="4"/>
        <v>call InitTypeIdStrings(0,0,0,"")</v>
      </c>
    </row>
    <row r="155" spans="1:14">
      <c r="A155">
        <f>IF(装备!B160="",0,"'"&amp;装备!B160&amp;"'")</f>
        <v>0</v>
      </c>
      <c r="B155">
        <f>装备!D161</f>
        <v>0</v>
      </c>
      <c r="C155">
        <f>装备!E160</f>
        <v>0</v>
      </c>
      <c r="D155">
        <f>装备!F160</f>
        <v>0</v>
      </c>
      <c r="E155">
        <f>装备!G160</f>
        <v>0</v>
      </c>
      <c r="F155">
        <f>装备!H160</f>
        <v>0</v>
      </c>
      <c r="G155">
        <f>IF(装备!I160="",0,"'"&amp;装备!I160&amp;"'")</f>
        <v>0</v>
      </c>
      <c r="H155">
        <f>IF(装备!R160="",0,"'"&amp;装备!R160&amp;"'")</f>
        <v>0</v>
      </c>
      <c r="I155">
        <f>IF(装备!S160="",0,"'"&amp;装备!S160&amp;"'")</f>
        <v>0</v>
      </c>
      <c r="J155">
        <f>IF(装备!C160="",0,""""&amp;装备!C160&amp;"""")</f>
        <v>0</v>
      </c>
      <c r="K155" t="str">
        <f>IF(装备!T160="","""""",""""&amp;装备!T160&amp;"""")</f>
        <v>""</v>
      </c>
      <c r="L155">
        <f>IF(装备!U160="",0,""""&amp;装备!U160&amp;"""")</f>
        <v>0</v>
      </c>
      <c r="M155" t="str">
        <f t="shared" si="5"/>
        <v/>
      </c>
      <c r="N155" t="str">
        <f t="shared" si="4"/>
        <v>call InitTypeIdStrings(0,0,0,"")</v>
      </c>
    </row>
    <row r="156" spans="1:14">
      <c r="A156">
        <f>IF(装备!B161="",0,"'"&amp;装备!B161&amp;"'")</f>
        <v>0</v>
      </c>
      <c r="B156">
        <f>装备!D162</f>
        <v>0</v>
      </c>
      <c r="C156">
        <f>装备!E161</f>
        <v>0</v>
      </c>
      <c r="D156">
        <f>装备!F161</f>
        <v>0</v>
      </c>
      <c r="E156">
        <f>装备!G161</f>
        <v>0</v>
      </c>
      <c r="F156">
        <f>装备!H161</f>
        <v>0</v>
      </c>
      <c r="G156">
        <f>IF(装备!I161="",0,"'"&amp;装备!I161&amp;"'")</f>
        <v>0</v>
      </c>
      <c r="H156">
        <f>IF(装备!R161="",0,"'"&amp;装备!R161&amp;"'")</f>
        <v>0</v>
      </c>
      <c r="I156">
        <f>IF(装备!S161="",0,"'"&amp;装备!S161&amp;"'")</f>
        <v>0</v>
      </c>
      <c r="J156">
        <f>IF(装备!C161="",0,""""&amp;装备!C161&amp;"""")</f>
        <v>0</v>
      </c>
      <c r="K156" t="str">
        <f>IF(装备!T161="","""""",""""&amp;装备!T161&amp;"""")</f>
        <v>""</v>
      </c>
      <c r="L156">
        <f>IF(装备!U161="",0,""""&amp;装备!U161&amp;"""")</f>
        <v>0</v>
      </c>
      <c r="M156" t="str">
        <f t="shared" si="5"/>
        <v/>
      </c>
      <c r="N156" t="str">
        <f t="shared" si="4"/>
        <v>call InitTypeIdStrings(0,0,0,"")</v>
      </c>
    </row>
    <row r="157" spans="1:14">
      <c r="A157">
        <f>IF(装备!B162="",0,"'"&amp;装备!B162&amp;"'")</f>
        <v>0</v>
      </c>
      <c r="B157">
        <f>装备!D163</f>
        <v>0</v>
      </c>
      <c r="C157">
        <f>装备!E162</f>
        <v>0</v>
      </c>
      <c r="D157">
        <f>装备!F162</f>
        <v>0</v>
      </c>
      <c r="E157">
        <f>装备!G162</f>
        <v>0</v>
      </c>
      <c r="F157">
        <f>装备!H162</f>
        <v>0</v>
      </c>
      <c r="G157">
        <f>IF(装备!I162="",0,"'"&amp;装备!I162&amp;"'")</f>
        <v>0</v>
      </c>
      <c r="H157">
        <f>IF(装备!R162="",0,"'"&amp;装备!R162&amp;"'")</f>
        <v>0</v>
      </c>
      <c r="I157">
        <f>IF(装备!S162="",0,"'"&amp;装备!S162&amp;"'")</f>
        <v>0</v>
      </c>
      <c r="J157">
        <f>IF(装备!C162="",0,""""&amp;装备!C162&amp;"""")</f>
        <v>0</v>
      </c>
      <c r="K157" t="str">
        <f>IF(装备!T162="","""""",""""&amp;装备!T162&amp;"""")</f>
        <v>""</v>
      </c>
      <c r="L157">
        <f>IF(装备!U162="",0,""""&amp;装备!U162&amp;"""")</f>
        <v>0</v>
      </c>
      <c r="M157" t="str">
        <f t="shared" si="5"/>
        <v/>
      </c>
      <c r="N157" t="str">
        <f t="shared" si="4"/>
        <v>call InitTypeIdStrings(0,0,0,"")</v>
      </c>
    </row>
    <row r="158" spans="1:14">
      <c r="A158">
        <f>IF(装备!B163="",0,"'"&amp;装备!B163&amp;"'")</f>
        <v>0</v>
      </c>
      <c r="B158">
        <f>装备!D164</f>
        <v>0</v>
      </c>
      <c r="C158">
        <f>装备!E163</f>
        <v>0</v>
      </c>
      <c r="D158">
        <f>装备!F163</f>
        <v>0</v>
      </c>
      <c r="E158">
        <f>装备!G163</f>
        <v>0</v>
      </c>
      <c r="F158">
        <f>装备!H163</f>
        <v>0</v>
      </c>
      <c r="G158">
        <f>IF(装备!I163="",0,"'"&amp;装备!I163&amp;"'")</f>
        <v>0</v>
      </c>
      <c r="H158">
        <f>IF(装备!R163="",0,"'"&amp;装备!R163&amp;"'")</f>
        <v>0</v>
      </c>
      <c r="I158">
        <f>IF(装备!S163="",0,"'"&amp;装备!S163&amp;"'")</f>
        <v>0</v>
      </c>
      <c r="J158">
        <f>IF(装备!C163="",0,""""&amp;装备!C163&amp;"""")</f>
        <v>0</v>
      </c>
      <c r="K158" t="str">
        <f>IF(装备!T163="","""""",""""&amp;装备!T163&amp;"""")</f>
        <v>""</v>
      </c>
      <c r="L158">
        <f>IF(装备!U163="",0,""""&amp;装备!U163&amp;"""")</f>
        <v>0</v>
      </c>
      <c r="M158" t="str">
        <f t="shared" si="5"/>
        <v/>
      </c>
      <c r="N158" t="str">
        <f t="shared" si="4"/>
        <v>call InitTypeIdStrings(0,0,0,"")</v>
      </c>
    </row>
    <row r="159" spans="1:14">
      <c r="A159">
        <f>IF(装备!B164="",0,"'"&amp;装备!B164&amp;"'")</f>
        <v>0</v>
      </c>
      <c r="B159">
        <f>装备!D165</f>
        <v>0</v>
      </c>
      <c r="C159">
        <f>装备!E164</f>
        <v>0</v>
      </c>
      <c r="D159">
        <f>装备!F164</f>
        <v>0</v>
      </c>
      <c r="E159">
        <f>装备!G164</f>
        <v>0</v>
      </c>
      <c r="F159">
        <f>装备!H164</f>
        <v>0</v>
      </c>
      <c r="G159">
        <f>IF(装备!I164="",0,"'"&amp;装备!I164&amp;"'")</f>
        <v>0</v>
      </c>
      <c r="H159">
        <f>IF(装备!R164="",0,"'"&amp;装备!R164&amp;"'")</f>
        <v>0</v>
      </c>
      <c r="I159">
        <f>IF(装备!S164="",0,"'"&amp;装备!S164&amp;"'")</f>
        <v>0</v>
      </c>
      <c r="J159">
        <f>IF(装备!C164="",0,""""&amp;装备!C164&amp;"""")</f>
        <v>0</v>
      </c>
      <c r="K159" t="str">
        <f>IF(装备!T164="","""""",""""&amp;装备!T164&amp;"""")</f>
        <v>""</v>
      </c>
      <c r="L159">
        <f>IF(装备!U164="",0,""""&amp;装备!U164&amp;"""")</f>
        <v>0</v>
      </c>
      <c r="M159" t="str">
        <f t="shared" si="5"/>
        <v/>
      </c>
      <c r="N159" t="str">
        <f t="shared" si="4"/>
        <v>call InitTypeIdStrings(0,0,0,"")</v>
      </c>
    </row>
    <row r="160" spans="1:14">
      <c r="A160">
        <f>IF(装备!B165="",0,"'"&amp;装备!B165&amp;"'")</f>
        <v>0</v>
      </c>
      <c r="B160">
        <f>装备!D166</f>
        <v>0</v>
      </c>
      <c r="C160">
        <f>装备!E165</f>
        <v>0</v>
      </c>
      <c r="D160">
        <f>装备!F165</f>
        <v>0</v>
      </c>
      <c r="E160">
        <f>装备!G165</f>
        <v>0</v>
      </c>
      <c r="F160">
        <f>装备!H165</f>
        <v>0</v>
      </c>
      <c r="G160">
        <f>IF(装备!I165="",0,"'"&amp;装备!I165&amp;"'")</f>
        <v>0</v>
      </c>
      <c r="H160">
        <f>IF(装备!R165="",0,"'"&amp;装备!R165&amp;"'")</f>
        <v>0</v>
      </c>
      <c r="I160">
        <f>IF(装备!S165="",0,"'"&amp;装备!S165&amp;"'")</f>
        <v>0</v>
      </c>
      <c r="J160">
        <f>IF(装备!C165="",0,""""&amp;装备!C165&amp;"""")</f>
        <v>0</v>
      </c>
      <c r="K160" t="str">
        <f>IF(装备!T165="","""""",""""&amp;装备!T165&amp;"""")</f>
        <v>""</v>
      </c>
      <c r="L160">
        <f>IF(装备!U165="",0,""""&amp;装备!U165&amp;"""")</f>
        <v>0</v>
      </c>
      <c r="M160" t="str">
        <f t="shared" si="5"/>
        <v/>
      </c>
      <c r="N160" t="str">
        <f t="shared" si="4"/>
        <v>call InitTypeIdStrings(0,0,0,"")</v>
      </c>
    </row>
    <row r="161" spans="1:14">
      <c r="A161">
        <f>IF(装备!B166="",0,"'"&amp;装备!B166&amp;"'")</f>
        <v>0</v>
      </c>
      <c r="B161">
        <f>装备!D167</f>
        <v>0</v>
      </c>
      <c r="C161">
        <f>装备!E166</f>
        <v>0</v>
      </c>
      <c r="D161">
        <f>装备!F166</f>
        <v>0</v>
      </c>
      <c r="E161">
        <f>装备!G166</f>
        <v>0</v>
      </c>
      <c r="F161">
        <f>装备!H166</f>
        <v>0</v>
      </c>
      <c r="G161">
        <f>IF(装备!I166="",0,"'"&amp;装备!I166&amp;"'")</f>
        <v>0</v>
      </c>
      <c r="H161">
        <f>IF(装备!R166="",0,"'"&amp;装备!R166&amp;"'")</f>
        <v>0</v>
      </c>
      <c r="I161">
        <f>IF(装备!S166="",0,"'"&amp;装备!S166&amp;"'")</f>
        <v>0</v>
      </c>
      <c r="J161">
        <f>IF(装备!C166="",0,""""&amp;装备!C166&amp;"""")</f>
        <v>0</v>
      </c>
      <c r="K161" t="str">
        <f>IF(装备!T166="","""""",""""&amp;装备!T166&amp;"""")</f>
        <v>""</v>
      </c>
      <c r="L161">
        <f>IF(装备!U166="",0,""""&amp;装备!U166&amp;"""")</f>
        <v>0</v>
      </c>
      <c r="M161" t="str">
        <f t="shared" si="5"/>
        <v/>
      </c>
      <c r="N161" t="str">
        <f t="shared" si="4"/>
        <v>call InitTypeIdStrings(0,0,0,"")</v>
      </c>
    </row>
    <row r="162" spans="1:14">
      <c r="A162">
        <f>IF(装备!B167="",0,"'"&amp;装备!B167&amp;"'")</f>
        <v>0</v>
      </c>
      <c r="B162">
        <f>装备!D168</f>
        <v>0</v>
      </c>
      <c r="C162">
        <f>装备!E167</f>
        <v>0</v>
      </c>
      <c r="D162">
        <f>装备!F167</f>
        <v>0</v>
      </c>
      <c r="E162">
        <f>装备!G167</f>
        <v>0</v>
      </c>
      <c r="F162">
        <f>装备!H167</f>
        <v>0</v>
      </c>
      <c r="G162">
        <f>IF(装备!I167="",0,"'"&amp;装备!I167&amp;"'")</f>
        <v>0</v>
      </c>
      <c r="H162">
        <f>IF(装备!R167="",0,"'"&amp;装备!R167&amp;"'")</f>
        <v>0</v>
      </c>
      <c r="I162">
        <f>IF(装备!S167="",0,"'"&amp;装备!S167&amp;"'")</f>
        <v>0</v>
      </c>
      <c r="J162">
        <f>IF(装备!C167="",0,""""&amp;装备!C167&amp;"""")</f>
        <v>0</v>
      </c>
      <c r="K162" t="str">
        <f>IF(装备!T167="","""""",""""&amp;装备!T167&amp;"""")</f>
        <v>""</v>
      </c>
      <c r="L162">
        <f>IF(装备!U167="",0,""""&amp;装备!U167&amp;"""")</f>
        <v>0</v>
      </c>
      <c r="M162" t="str">
        <f t="shared" si="5"/>
        <v/>
      </c>
      <c r="N162" t="str">
        <f t="shared" si="4"/>
        <v>call InitTypeIdStrings(0,0,0,"")</v>
      </c>
    </row>
    <row r="163" spans="1:14">
      <c r="A163">
        <f>IF(装备!B168="",0,"'"&amp;装备!B168&amp;"'")</f>
        <v>0</v>
      </c>
      <c r="B163">
        <f>装备!D169</f>
        <v>0</v>
      </c>
      <c r="C163">
        <f>装备!E168</f>
        <v>0</v>
      </c>
      <c r="D163">
        <f>装备!F168</f>
        <v>0</v>
      </c>
      <c r="E163">
        <f>装备!G168</f>
        <v>0</v>
      </c>
      <c r="F163">
        <f>装备!H168</f>
        <v>0</v>
      </c>
      <c r="G163">
        <f>IF(装备!I168="",0,"'"&amp;装备!I168&amp;"'")</f>
        <v>0</v>
      </c>
      <c r="H163">
        <f>IF(装备!R168="",0,"'"&amp;装备!R168&amp;"'")</f>
        <v>0</v>
      </c>
      <c r="I163">
        <f>IF(装备!S168="",0,"'"&amp;装备!S168&amp;"'")</f>
        <v>0</v>
      </c>
      <c r="J163">
        <f>IF(装备!C168="",0,""""&amp;装备!C168&amp;"""")</f>
        <v>0</v>
      </c>
      <c r="K163" t="str">
        <f>IF(装备!T168="","""""",""""&amp;装备!T168&amp;"""")</f>
        <v>""</v>
      </c>
      <c r="L163">
        <f>IF(装备!U168="",0,""""&amp;装备!U168&amp;"""")</f>
        <v>0</v>
      </c>
      <c r="M163" t="str">
        <f t="shared" si="5"/>
        <v/>
      </c>
      <c r="N163" t="str">
        <f t="shared" si="4"/>
        <v>call InitTypeIdStrings(0,0,0,"")</v>
      </c>
    </row>
    <row r="164" spans="1:14">
      <c r="A164">
        <f>IF(装备!B169="",0,"'"&amp;装备!B169&amp;"'")</f>
        <v>0</v>
      </c>
      <c r="B164">
        <f>装备!D170</f>
        <v>0</v>
      </c>
      <c r="C164">
        <f>装备!E169</f>
        <v>0</v>
      </c>
      <c r="D164">
        <f>装备!F169</f>
        <v>0</v>
      </c>
      <c r="E164">
        <f>装备!G169</f>
        <v>0</v>
      </c>
      <c r="F164">
        <f>装备!H169</f>
        <v>0</v>
      </c>
      <c r="G164">
        <f>IF(装备!I169="",0,"'"&amp;装备!I169&amp;"'")</f>
        <v>0</v>
      </c>
      <c r="H164">
        <f>IF(装备!R169="",0,"'"&amp;装备!R169&amp;"'")</f>
        <v>0</v>
      </c>
      <c r="I164">
        <f>IF(装备!S169="",0,"'"&amp;装备!S169&amp;"'")</f>
        <v>0</v>
      </c>
      <c r="J164">
        <f>IF(装备!C169="",0,""""&amp;装备!C169&amp;"""")</f>
        <v>0</v>
      </c>
      <c r="K164" t="str">
        <f>IF(装备!T169="","""""",""""&amp;装备!T169&amp;"""")</f>
        <v>""</v>
      </c>
      <c r="L164">
        <f>IF(装备!U169="",0,""""&amp;装备!U169&amp;"""")</f>
        <v>0</v>
      </c>
      <c r="M164" t="str">
        <f t="shared" si="5"/>
        <v/>
      </c>
      <c r="N164" t="str">
        <f t="shared" si="4"/>
        <v>call InitTypeIdStrings(0,0,0,"")</v>
      </c>
    </row>
    <row r="165" spans="1:14">
      <c r="A165">
        <f>IF(装备!B170="",0,"'"&amp;装备!B170&amp;"'")</f>
        <v>0</v>
      </c>
      <c r="B165">
        <f>装备!D171</f>
        <v>0</v>
      </c>
      <c r="C165">
        <f>装备!E170</f>
        <v>0</v>
      </c>
      <c r="D165">
        <f>装备!F170</f>
        <v>0</v>
      </c>
      <c r="E165">
        <f>装备!G170</f>
        <v>0</v>
      </c>
      <c r="F165">
        <f>装备!H170</f>
        <v>0</v>
      </c>
      <c r="G165">
        <f>IF(装备!I170="",0,"'"&amp;装备!I170&amp;"'")</f>
        <v>0</v>
      </c>
      <c r="H165">
        <f>IF(装备!R170="",0,"'"&amp;装备!R170&amp;"'")</f>
        <v>0</v>
      </c>
      <c r="I165">
        <f>IF(装备!S170="",0,"'"&amp;装备!S170&amp;"'")</f>
        <v>0</v>
      </c>
      <c r="J165">
        <f>IF(装备!C170="",0,""""&amp;装备!C170&amp;"""")</f>
        <v>0</v>
      </c>
      <c r="K165" t="str">
        <f>IF(装备!T170="","""""",""""&amp;装备!T170&amp;"""")</f>
        <v>""</v>
      </c>
      <c r="L165">
        <f>IF(装备!U170="",0,""""&amp;装备!U170&amp;"""")</f>
        <v>0</v>
      </c>
      <c r="M165" t="str">
        <f t="shared" si="5"/>
        <v/>
      </c>
      <c r="N165" t="str">
        <f t="shared" si="4"/>
        <v>call InitTypeIdStrings(0,0,0,"")</v>
      </c>
    </row>
    <row r="166" spans="1:14">
      <c r="A166">
        <f>IF(装备!B171="",0,"'"&amp;装备!B171&amp;"'")</f>
        <v>0</v>
      </c>
      <c r="B166">
        <f>装备!D172</f>
        <v>0</v>
      </c>
      <c r="C166">
        <f>装备!E171</f>
        <v>0</v>
      </c>
      <c r="D166">
        <f>装备!F171</f>
        <v>0</v>
      </c>
      <c r="E166">
        <f>装备!G171</f>
        <v>0</v>
      </c>
      <c r="F166">
        <f>装备!H171</f>
        <v>0</v>
      </c>
      <c r="G166">
        <f>IF(装备!I171="",0,"'"&amp;装备!I171&amp;"'")</f>
        <v>0</v>
      </c>
      <c r="H166">
        <f>IF(装备!R171="",0,"'"&amp;装备!R171&amp;"'")</f>
        <v>0</v>
      </c>
      <c r="I166">
        <f>IF(装备!S171="",0,"'"&amp;装备!S171&amp;"'")</f>
        <v>0</v>
      </c>
      <c r="J166">
        <f>IF(装备!C171="",0,""""&amp;装备!C171&amp;"""")</f>
        <v>0</v>
      </c>
      <c r="K166" t="str">
        <f>IF(装备!T171="","""""",""""&amp;装备!T171&amp;"""")</f>
        <v>""</v>
      </c>
      <c r="L166">
        <f>IF(装备!U171="",0,""""&amp;装备!U171&amp;"""")</f>
        <v>0</v>
      </c>
      <c r="M166" t="str">
        <f t="shared" si="5"/>
        <v/>
      </c>
      <c r="N166" t="str">
        <f t="shared" si="4"/>
        <v>call InitTypeIdStrings(0,0,0,"")</v>
      </c>
    </row>
    <row r="167" spans="1:14">
      <c r="A167">
        <f>IF(装备!B172="",0,"'"&amp;装备!B172&amp;"'")</f>
        <v>0</v>
      </c>
      <c r="B167">
        <f>装备!D173</f>
        <v>0</v>
      </c>
      <c r="C167">
        <f>装备!E172</f>
        <v>0</v>
      </c>
      <c r="D167">
        <f>装备!F172</f>
        <v>0</v>
      </c>
      <c r="E167">
        <f>装备!G172</f>
        <v>0</v>
      </c>
      <c r="F167">
        <f>装备!H172</f>
        <v>0</v>
      </c>
      <c r="G167">
        <f>IF(装备!I172="",0,"'"&amp;装备!I172&amp;"'")</f>
        <v>0</v>
      </c>
      <c r="H167">
        <f>IF(装备!R172="",0,"'"&amp;装备!R172&amp;"'")</f>
        <v>0</v>
      </c>
      <c r="I167">
        <f>IF(装备!S172="",0,"'"&amp;装备!S172&amp;"'")</f>
        <v>0</v>
      </c>
      <c r="J167">
        <f>IF(装备!C172="",0,""""&amp;装备!C172&amp;"""")</f>
        <v>0</v>
      </c>
      <c r="K167" t="str">
        <f>IF(装备!T172="","""""",""""&amp;装备!T172&amp;"""")</f>
        <v>""</v>
      </c>
      <c r="L167">
        <f>IF(装备!U172="",0,""""&amp;装备!U172&amp;"""")</f>
        <v>0</v>
      </c>
      <c r="M167" t="str">
        <f t="shared" si="5"/>
        <v/>
      </c>
      <c r="N167" t="str">
        <f t="shared" si="4"/>
        <v>call InitTypeIdStrings(0,0,0,"")</v>
      </c>
    </row>
    <row r="168" spans="1:14">
      <c r="A168">
        <f>IF(装备!B173="",0,"'"&amp;装备!B173&amp;"'")</f>
        <v>0</v>
      </c>
      <c r="B168">
        <f>装备!D174</f>
        <v>0</v>
      </c>
      <c r="C168">
        <f>装备!E173</f>
        <v>0</v>
      </c>
      <c r="D168">
        <f>装备!F173</f>
        <v>0</v>
      </c>
      <c r="E168">
        <f>装备!G173</f>
        <v>0</v>
      </c>
      <c r="F168">
        <f>装备!H173</f>
        <v>0</v>
      </c>
      <c r="G168">
        <f>IF(装备!I173="",0,"'"&amp;装备!I173&amp;"'")</f>
        <v>0</v>
      </c>
      <c r="H168">
        <f>IF(装备!R173="",0,"'"&amp;装备!R173&amp;"'")</f>
        <v>0</v>
      </c>
      <c r="I168">
        <f>IF(装备!S173="",0,"'"&amp;装备!S173&amp;"'")</f>
        <v>0</v>
      </c>
      <c r="J168">
        <f>IF(装备!C173="",0,""""&amp;装备!C173&amp;"""")</f>
        <v>0</v>
      </c>
      <c r="K168" t="str">
        <f>IF(装备!T173="","""""",""""&amp;装备!T173&amp;"""")</f>
        <v>""</v>
      </c>
      <c r="L168">
        <f>IF(装备!U173="",0,""""&amp;装备!U173&amp;"""")</f>
        <v>0</v>
      </c>
      <c r="M168" t="str">
        <f t="shared" si="5"/>
        <v/>
      </c>
      <c r="N168" t="str">
        <f t="shared" si="4"/>
        <v>call InitTypeIdStrings(0,0,0,"")</v>
      </c>
    </row>
    <row r="169" spans="1:14">
      <c r="A169">
        <f>IF(装备!B174="",0,"'"&amp;装备!B174&amp;"'")</f>
        <v>0</v>
      </c>
      <c r="B169">
        <f>装备!D175</f>
        <v>0</v>
      </c>
      <c r="C169">
        <f>装备!E174</f>
        <v>0</v>
      </c>
      <c r="D169">
        <f>装备!F174</f>
        <v>0</v>
      </c>
      <c r="E169">
        <f>装备!G174</f>
        <v>0</v>
      </c>
      <c r="F169">
        <f>装备!H174</f>
        <v>0</v>
      </c>
      <c r="G169">
        <f>IF(装备!I174="",0,"'"&amp;装备!I174&amp;"'")</f>
        <v>0</v>
      </c>
      <c r="H169">
        <f>IF(装备!R174="",0,"'"&amp;装备!R174&amp;"'")</f>
        <v>0</v>
      </c>
      <c r="I169">
        <f>IF(装备!S174="",0,"'"&amp;装备!S174&amp;"'")</f>
        <v>0</v>
      </c>
      <c r="J169">
        <f>IF(装备!C174="",0,""""&amp;装备!C174&amp;"""")</f>
        <v>0</v>
      </c>
      <c r="K169" t="str">
        <f>IF(装备!T174="","""""",""""&amp;装备!T174&amp;"""")</f>
        <v>""</v>
      </c>
      <c r="L169">
        <f>IF(装备!U174="",0,""""&amp;装备!U174&amp;"""")</f>
        <v>0</v>
      </c>
      <c r="M169" t="str">
        <f t="shared" si="5"/>
        <v/>
      </c>
      <c r="N169" t="str">
        <f t="shared" si="4"/>
        <v>call InitTypeIdStrings(0,0,0,"")</v>
      </c>
    </row>
    <row r="170" spans="1:14">
      <c r="A170">
        <f>IF(装备!B175="",0,"'"&amp;装备!B175&amp;"'")</f>
        <v>0</v>
      </c>
      <c r="B170">
        <f>装备!D176</f>
        <v>0</v>
      </c>
      <c r="C170">
        <f>装备!E175</f>
        <v>0</v>
      </c>
      <c r="D170">
        <f>装备!F175</f>
        <v>0</v>
      </c>
      <c r="E170">
        <f>装备!G175</f>
        <v>0</v>
      </c>
      <c r="F170">
        <f>装备!H175</f>
        <v>0</v>
      </c>
      <c r="G170">
        <f>IF(装备!I175="",0,"'"&amp;装备!I175&amp;"'")</f>
        <v>0</v>
      </c>
      <c r="H170">
        <f>IF(装备!R175="",0,"'"&amp;装备!R175&amp;"'")</f>
        <v>0</v>
      </c>
      <c r="I170">
        <f>IF(装备!S175="",0,"'"&amp;装备!S175&amp;"'")</f>
        <v>0</v>
      </c>
      <c r="J170">
        <f>IF(装备!C175="",0,""""&amp;装备!C175&amp;"""")</f>
        <v>0</v>
      </c>
      <c r="K170" t="str">
        <f>IF(装备!T175="","""""",""""&amp;装备!T175&amp;"""")</f>
        <v>""</v>
      </c>
      <c r="L170">
        <f>IF(装备!U175="",0,""""&amp;装备!U175&amp;"""")</f>
        <v>0</v>
      </c>
      <c r="M170" t="str">
        <f t="shared" si="5"/>
        <v/>
      </c>
      <c r="N170" t="str">
        <f t="shared" si="4"/>
        <v>call InitTypeIdStrings(0,0,0,"")</v>
      </c>
    </row>
    <row r="171" spans="1:14">
      <c r="A171">
        <f>IF(装备!B176="",0,"'"&amp;装备!B176&amp;"'")</f>
        <v>0</v>
      </c>
      <c r="B171">
        <f>装备!D177</f>
        <v>0</v>
      </c>
      <c r="C171">
        <f>装备!E176</f>
        <v>0</v>
      </c>
      <c r="D171">
        <f>装备!F176</f>
        <v>0</v>
      </c>
      <c r="E171">
        <f>装备!G176</f>
        <v>0</v>
      </c>
      <c r="F171">
        <f>装备!H176</f>
        <v>0</v>
      </c>
      <c r="G171">
        <f>IF(装备!I176="",0,"'"&amp;装备!I176&amp;"'")</f>
        <v>0</v>
      </c>
      <c r="H171">
        <f>IF(装备!R176="",0,"'"&amp;装备!R176&amp;"'")</f>
        <v>0</v>
      </c>
      <c r="I171">
        <f>IF(装备!S176="",0,"'"&amp;装备!S176&amp;"'")</f>
        <v>0</v>
      </c>
      <c r="J171">
        <f>IF(装备!C176="",0,""""&amp;装备!C176&amp;"""")</f>
        <v>0</v>
      </c>
      <c r="K171" t="str">
        <f>IF(装备!T176="","""""",""""&amp;装备!T176&amp;"""")</f>
        <v>""</v>
      </c>
      <c r="L171">
        <f>IF(装备!U176="",0,""""&amp;装备!U176&amp;"""")</f>
        <v>0</v>
      </c>
      <c r="M171" t="str">
        <f t="shared" si="5"/>
        <v/>
      </c>
      <c r="N171" t="str">
        <f t="shared" si="4"/>
        <v>call InitTypeIdStrings(0,0,0,"")</v>
      </c>
    </row>
    <row r="172" spans="1:14">
      <c r="A172">
        <f>IF(装备!B177="",0,"'"&amp;装备!B177&amp;"'")</f>
        <v>0</v>
      </c>
      <c r="B172">
        <f>装备!D178</f>
        <v>0</v>
      </c>
      <c r="C172">
        <f>装备!E177</f>
        <v>0</v>
      </c>
      <c r="D172">
        <f>装备!F177</f>
        <v>0</v>
      </c>
      <c r="E172">
        <f>装备!G177</f>
        <v>0</v>
      </c>
      <c r="F172">
        <f>装备!H177</f>
        <v>0</v>
      </c>
      <c r="G172">
        <f>IF(装备!I177="",0,"'"&amp;装备!I177&amp;"'")</f>
        <v>0</v>
      </c>
      <c r="H172">
        <f>IF(装备!R177="",0,"'"&amp;装备!R177&amp;"'")</f>
        <v>0</v>
      </c>
      <c r="I172">
        <f>IF(装备!S177="",0,"'"&amp;装备!S177&amp;"'")</f>
        <v>0</v>
      </c>
      <c r="J172">
        <f>IF(装备!C177="",0,""""&amp;装备!C177&amp;"""")</f>
        <v>0</v>
      </c>
      <c r="K172" t="str">
        <f>IF(装备!T177="","""""",""""&amp;装备!T177&amp;"""")</f>
        <v>""</v>
      </c>
      <c r="L172">
        <f>IF(装备!U177="",0,""""&amp;装备!U177&amp;"""")</f>
        <v>0</v>
      </c>
      <c r="M172" t="str">
        <f t="shared" si="5"/>
        <v/>
      </c>
      <c r="N172" t="str">
        <f t="shared" si="4"/>
        <v>call InitTypeIdStrings(0,0,0,"")</v>
      </c>
    </row>
    <row r="173" spans="1:14">
      <c r="A173">
        <f>IF(装备!B178="",0,"'"&amp;装备!B178&amp;"'")</f>
        <v>0</v>
      </c>
      <c r="B173">
        <f>装备!D179</f>
        <v>0</v>
      </c>
      <c r="C173">
        <f>装备!E178</f>
        <v>0</v>
      </c>
      <c r="D173">
        <f>装备!F178</f>
        <v>0</v>
      </c>
      <c r="E173">
        <f>装备!G178</f>
        <v>0</v>
      </c>
      <c r="F173">
        <f>装备!H178</f>
        <v>0</v>
      </c>
      <c r="G173">
        <f>IF(装备!I178="",0,"'"&amp;装备!I178&amp;"'")</f>
        <v>0</v>
      </c>
      <c r="H173">
        <f>IF(装备!R178="",0,"'"&amp;装备!R178&amp;"'")</f>
        <v>0</v>
      </c>
      <c r="I173">
        <f>IF(装备!S178="",0,"'"&amp;装备!S178&amp;"'")</f>
        <v>0</v>
      </c>
      <c r="J173">
        <f>IF(装备!C178="",0,""""&amp;装备!C178&amp;"""")</f>
        <v>0</v>
      </c>
      <c r="K173" t="str">
        <f>IF(装备!T178="","""""",""""&amp;装备!T178&amp;"""")</f>
        <v>""</v>
      </c>
      <c r="L173">
        <f>IF(装备!U178="",0,""""&amp;装备!U178&amp;"""")</f>
        <v>0</v>
      </c>
      <c r="M173" t="str">
        <f t="shared" si="5"/>
        <v/>
      </c>
      <c r="N173" t="str">
        <f t="shared" si="4"/>
        <v>call InitTypeIdStrings(0,0,0,"")</v>
      </c>
    </row>
    <row r="174" spans="1:14">
      <c r="A174">
        <f>IF(装备!B179="",0,"'"&amp;装备!B179&amp;"'")</f>
        <v>0</v>
      </c>
      <c r="B174">
        <f>装备!D180</f>
        <v>0</v>
      </c>
      <c r="C174">
        <f>装备!E179</f>
        <v>0</v>
      </c>
      <c r="D174">
        <f>装备!F179</f>
        <v>0</v>
      </c>
      <c r="E174">
        <f>装备!G179</f>
        <v>0</v>
      </c>
      <c r="F174">
        <f>装备!H179</f>
        <v>0</v>
      </c>
      <c r="G174">
        <f>IF(装备!I179="",0,"'"&amp;装备!I179&amp;"'")</f>
        <v>0</v>
      </c>
      <c r="H174">
        <f>IF(装备!R179="",0,"'"&amp;装备!R179&amp;"'")</f>
        <v>0</v>
      </c>
      <c r="I174">
        <f>IF(装备!S179="",0,"'"&amp;装备!S179&amp;"'")</f>
        <v>0</v>
      </c>
      <c r="J174">
        <f>IF(装备!C179="",0,""""&amp;装备!C179&amp;"""")</f>
        <v>0</v>
      </c>
      <c r="K174" t="str">
        <f>IF(装备!T179="","""""",""""&amp;装备!T179&amp;"""")</f>
        <v>""</v>
      </c>
      <c r="L174">
        <f>IF(装备!U179="",0,""""&amp;装备!U179&amp;"""")</f>
        <v>0</v>
      </c>
      <c r="M174" t="str">
        <f t="shared" si="5"/>
        <v/>
      </c>
      <c r="N174" t="str">
        <f t="shared" si="4"/>
        <v>call InitTypeIdStrings(0,0,0,"")</v>
      </c>
    </row>
    <row r="175" spans="1:14">
      <c r="A175">
        <f>IF(装备!B180="",0,"'"&amp;装备!B180&amp;"'")</f>
        <v>0</v>
      </c>
      <c r="B175">
        <f>装备!D181</f>
        <v>0</v>
      </c>
      <c r="C175">
        <f>装备!E180</f>
        <v>0</v>
      </c>
      <c r="D175">
        <f>装备!F180</f>
        <v>0</v>
      </c>
      <c r="E175">
        <f>装备!G180</f>
        <v>0</v>
      </c>
      <c r="F175">
        <f>装备!H180</f>
        <v>0</v>
      </c>
      <c r="G175">
        <f>IF(装备!I180="",0,"'"&amp;装备!I180&amp;"'")</f>
        <v>0</v>
      </c>
      <c r="H175">
        <f>IF(装备!R180="",0,"'"&amp;装备!R180&amp;"'")</f>
        <v>0</v>
      </c>
      <c r="I175">
        <f>IF(装备!S180="",0,"'"&amp;装备!S180&amp;"'")</f>
        <v>0</v>
      </c>
      <c r="J175">
        <f>IF(装备!C180="",0,""""&amp;装备!C180&amp;"""")</f>
        <v>0</v>
      </c>
      <c r="K175" t="str">
        <f>IF(装备!T180="","""""",""""&amp;装备!T180&amp;"""")</f>
        <v>""</v>
      </c>
      <c r="L175">
        <f>IF(装备!U180="",0,""""&amp;装备!U180&amp;"""")</f>
        <v>0</v>
      </c>
      <c r="M175" t="str">
        <f t="shared" si="5"/>
        <v/>
      </c>
      <c r="N175" t="str">
        <f t="shared" si="4"/>
        <v>call InitTypeIdStrings(0,0,0,"")</v>
      </c>
    </row>
    <row r="176" spans="1:14">
      <c r="A176">
        <f>IF(装备!B181="",0,"'"&amp;装备!B181&amp;"'")</f>
        <v>0</v>
      </c>
      <c r="B176">
        <f>装备!D182</f>
        <v>0</v>
      </c>
      <c r="C176">
        <f>装备!E181</f>
        <v>0</v>
      </c>
      <c r="D176">
        <f>装备!F181</f>
        <v>0</v>
      </c>
      <c r="E176">
        <f>装备!G181</f>
        <v>0</v>
      </c>
      <c r="F176">
        <f>装备!H181</f>
        <v>0</v>
      </c>
      <c r="G176">
        <f>IF(装备!I181="",0,"'"&amp;装备!I181&amp;"'")</f>
        <v>0</v>
      </c>
      <c r="H176">
        <f>IF(装备!R181="",0,"'"&amp;装备!R181&amp;"'")</f>
        <v>0</v>
      </c>
      <c r="I176">
        <f>IF(装备!S181="",0,"'"&amp;装备!S181&amp;"'")</f>
        <v>0</v>
      </c>
      <c r="J176">
        <f>IF(装备!C181="",0,""""&amp;装备!C181&amp;"""")</f>
        <v>0</v>
      </c>
      <c r="K176" t="str">
        <f>IF(装备!T181="","""""",""""&amp;装备!T181&amp;"""")</f>
        <v>""</v>
      </c>
      <c r="L176">
        <f>IF(装备!U181="",0,""""&amp;装备!U181&amp;"""")</f>
        <v>0</v>
      </c>
      <c r="M176" t="str">
        <f t="shared" si="5"/>
        <v/>
      </c>
      <c r="N176" t="str">
        <f t="shared" si="4"/>
        <v>call InitTypeIdStrings(0,0,0,"")</v>
      </c>
    </row>
    <row r="177" spans="1:14">
      <c r="A177">
        <f>IF(装备!B182="",0,"'"&amp;装备!B182&amp;"'")</f>
        <v>0</v>
      </c>
      <c r="B177">
        <f>装备!D183</f>
        <v>0</v>
      </c>
      <c r="C177">
        <f>装备!E182</f>
        <v>0</v>
      </c>
      <c r="D177">
        <f>装备!F182</f>
        <v>0</v>
      </c>
      <c r="E177">
        <f>装备!G182</f>
        <v>0</v>
      </c>
      <c r="F177">
        <f>装备!H182</f>
        <v>0</v>
      </c>
      <c r="G177">
        <f>IF(装备!I182="",0,"'"&amp;装备!I182&amp;"'")</f>
        <v>0</v>
      </c>
      <c r="H177">
        <f>IF(装备!R182="",0,"'"&amp;装备!R182&amp;"'")</f>
        <v>0</v>
      </c>
      <c r="I177">
        <f>IF(装备!S182="",0,"'"&amp;装备!S182&amp;"'")</f>
        <v>0</v>
      </c>
      <c r="J177">
        <f>IF(装备!C182="",0,""""&amp;装备!C182&amp;"""")</f>
        <v>0</v>
      </c>
      <c r="K177" t="str">
        <f>IF(装备!T182="","""""",""""&amp;装备!T182&amp;"""")</f>
        <v>""</v>
      </c>
      <c r="L177">
        <f>IF(装备!U182="",0,""""&amp;装备!U182&amp;"""")</f>
        <v>0</v>
      </c>
      <c r="M177" t="str">
        <f t="shared" si="5"/>
        <v/>
      </c>
      <c r="N177" t="str">
        <f t="shared" si="4"/>
        <v>call InitTypeIdStrings(0,0,0,"")</v>
      </c>
    </row>
    <row r="178" spans="1:14">
      <c r="A178">
        <f>IF(装备!B183="",0,"'"&amp;装备!B183&amp;"'")</f>
        <v>0</v>
      </c>
      <c r="B178">
        <f>装备!D184</f>
        <v>0</v>
      </c>
      <c r="C178">
        <f>装备!E183</f>
        <v>0</v>
      </c>
      <c r="D178">
        <f>装备!F183</f>
        <v>0</v>
      </c>
      <c r="E178">
        <f>装备!G183</f>
        <v>0</v>
      </c>
      <c r="F178">
        <f>装备!H183</f>
        <v>0</v>
      </c>
      <c r="G178">
        <f>IF(装备!I183="",0,"'"&amp;装备!I183&amp;"'")</f>
        <v>0</v>
      </c>
      <c r="H178">
        <f>IF(装备!R183="",0,"'"&amp;装备!R183&amp;"'")</f>
        <v>0</v>
      </c>
      <c r="I178">
        <f>IF(装备!S183="",0,"'"&amp;装备!S183&amp;"'")</f>
        <v>0</v>
      </c>
      <c r="J178">
        <f>IF(装备!C183="",0,""""&amp;装备!C183&amp;"""")</f>
        <v>0</v>
      </c>
      <c r="K178" t="str">
        <f>IF(装备!T183="","""""",""""&amp;装备!T183&amp;"""")</f>
        <v>""</v>
      </c>
      <c r="L178">
        <f>IF(装备!U183="",0,""""&amp;装备!U183&amp;"""")</f>
        <v>0</v>
      </c>
      <c r="M178" t="str">
        <f t="shared" si="5"/>
        <v/>
      </c>
      <c r="N178" t="str">
        <f t="shared" si="4"/>
        <v>call InitTypeIdStrings(0,0,0,"")</v>
      </c>
    </row>
    <row r="179" spans="1:14">
      <c r="A179">
        <f>IF(装备!B184="",0,"'"&amp;装备!B184&amp;"'")</f>
        <v>0</v>
      </c>
      <c r="B179">
        <f>装备!D185</f>
        <v>0</v>
      </c>
      <c r="C179">
        <f>装备!E184</f>
        <v>0</v>
      </c>
      <c r="D179">
        <f>装备!F184</f>
        <v>0</v>
      </c>
      <c r="E179">
        <f>装备!G184</f>
        <v>0</v>
      </c>
      <c r="F179">
        <f>装备!H184</f>
        <v>0</v>
      </c>
      <c r="G179">
        <f>IF(装备!I184="",0,"'"&amp;装备!I184&amp;"'")</f>
        <v>0</v>
      </c>
      <c r="H179">
        <f>IF(装备!R184="",0,"'"&amp;装备!R184&amp;"'")</f>
        <v>0</v>
      </c>
      <c r="I179">
        <f>IF(装备!S184="",0,"'"&amp;装备!S184&amp;"'")</f>
        <v>0</v>
      </c>
      <c r="J179">
        <f>IF(装备!C184="",0,""""&amp;装备!C184&amp;"""")</f>
        <v>0</v>
      </c>
      <c r="K179" t="str">
        <f>IF(装备!T184="","""""",""""&amp;装备!T184&amp;"""")</f>
        <v>""</v>
      </c>
      <c r="L179">
        <f>IF(装备!U184="",0,""""&amp;装备!U184&amp;"""")</f>
        <v>0</v>
      </c>
      <c r="M179" t="str">
        <f t="shared" si="5"/>
        <v/>
      </c>
      <c r="N179" t="str">
        <f t="shared" si="4"/>
        <v>call InitTypeIdStrings(0,0,0,"")</v>
      </c>
    </row>
    <row r="180" spans="1:14">
      <c r="A180">
        <f>IF(装备!B185="",0,"'"&amp;装备!B185&amp;"'")</f>
        <v>0</v>
      </c>
      <c r="B180">
        <f>装备!D186</f>
        <v>0</v>
      </c>
      <c r="C180">
        <f>装备!E185</f>
        <v>0</v>
      </c>
      <c r="D180">
        <f>装备!F185</f>
        <v>0</v>
      </c>
      <c r="E180">
        <f>装备!G185</f>
        <v>0</v>
      </c>
      <c r="F180">
        <f>装备!H185</f>
        <v>0</v>
      </c>
      <c r="G180">
        <f>IF(装备!I185="",0,"'"&amp;装备!I185&amp;"'")</f>
        <v>0</v>
      </c>
      <c r="H180">
        <f>IF(装备!R185="",0,"'"&amp;装备!R185&amp;"'")</f>
        <v>0</v>
      </c>
      <c r="I180">
        <f>IF(装备!S185="",0,"'"&amp;装备!S185&amp;"'")</f>
        <v>0</v>
      </c>
      <c r="J180">
        <f>IF(装备!C185="",0,""""&amp;装备!C185&amp;"""")</f>
        <v>0</v>
      </c>
      <c r="K180" t="str">
        <f>IF(装备!T185="","""""",""""&amp;装备!T185&amp;"""")</f>
        <v>""</v>
      </c>
      <c r="L180">
        <f>IF(装备!U185="",0,""""&amp;装备!U185&amp;"""")</f>
        <v>0</v>
      </c>
      <c r="M180" t="str">
        <f t="shared" si="5"/>
        <v/>
      </c>
      <c r="N180" t="str">
        <f t="shared" si="4"/>
        <v>call InitTypeIdStrings(0,0,0,"")</v>
      </c>
    </row>
    <row r="181" spans="1:14">
      <c r="A181">
        <f>IF(装备!B186="",0,"'"&amp;装备!B186&amp;"'")</f>
        <v>0</v>
      </c>
      <c r="B181">
        <f>装备!D187</f>
        <v>0</v>
      </c>
      <c r="C181">
        <f>装备!E186</f>
        <v>0</v>
      </c>
      <c r="D181">
        <f>装备!F186</f>
        <v>0</v>
      </c>
      <c r="E181">
        <f>装备!G186</f>
        <v>0</v>
      </c>
      <c r="F181">
        <f>装备!H186</f>
        <v>0</v>
      </c>
      <c r="G181">
        <f>IF(装备!I186="",0,"'"&amp;装备!I186&amp;"'")</f>
        <v>0</v>
      </c>
      <c r="H181">
        <f>IF(装备!R186="",0,"'"&amp;装备!R186&amp;"'")</f>
        <v>0</v>
      </c>
      <c r="I181">
        <f>IF(装备!S186="",0,"'"&amp;装备!S186&amp;"'")</f>
        <v>0</v>
      </c>
      <c r="J181">
        <f>IF(装备!C186="",0,""""&amp;装备!C186&amp;"""")</f>
        <v>0</v>
      </c>
      <c r="K181" t="str">
        <f>IF(装备!T186="","""""",""""&amp;装备!T186&amp;"""")</f>
        <v>""</v>
      </c>
      <c r="L181">
        <f>IF(装备!U186="",0,""""&amp;装备!U186&amp;"""")</f>
        <v>0</v>
      </c>
      <c r="M181" t="str">
        <f t="shared" si="5"/>
        <v/>
      </c>
      <c r="N181" t="str">
        <f t="shared" si="4"/>
        <v>call InitTypeIdStrings(0,0,0,"")</v>
      </c>
    </row>
    <row r="182" spans="1:14">
      <c r="A182">
        <f>IF(装备!B187="",0,"'"&amp;装备!B187&amp;"'")</f>
        <v>0</v>
      </c>
      <c r="B182">
        <f>装备!D188</f>
        <v>0</v>
      </c>
      <c r="C182">
        <f>装备!E187</f>
        <v>0</v>
      </c>
      <c r="D182">
        <f>装备!F187</f>
        <v>0</v>
      </c>
      <c r="E182">
        <f>装备!G187</f>
        <v>0</v>
      </c>
      <c r="F182">
        <f>装备!H187</f>
        <v>0</v>
      </c>
      <c r="G182">
        <f>IF(装备!I187="",0,"'"&amp;装备!I187&amp;"'")</f>
        <v>0</v>
      </c>
      <c r="H182">
        <f>IF(装备!R187="",0,"'"&amp;装备!R187&amp;"'")</f>
        <v>0</v>
      </c>
      <c r="I182">
        <f>IF(装备!S187="",0,"'"&amp;装备!S187&amp;"'")</f>
        <v>0</v>
      </c>
      <c r="J182">
        <f>IF(装备!C187="",0,""""&amp;装备!C187&amp;"""")</f>
        <v>0</v>
      </c>
      <c r="K182" t="str">
        <f>IF(装备!T187="","""""",""""&amp;装备!T187&amp;"""")</f>
        <v>""</v>
      </c>
      <c r="L182">
        <f>IF(装备!U187="",0,""""&amp;装备!U187&amp;"""")</f>
        <v>0</v>
      </c>
      <c r="M182" t="str">
        <f t="shared" si="5"/>
        <v/>
      </c>
      <c r="N182" t="str">
        <f t="shared" si="4"/>
        <v>call InitTypeIdStrings(0,0,0,"")</v>
      </c>
    </row>
    <row r="183" spans="1:14">
      <c r="A183">
        <f>IF(装备!B188="",0,"'"&amp;装备!B188&amp;"'")</f>
        <v>0</v>
      </c>
      <c r="B183">
        <f>装备!D189</f>
        <v>0</v>
      </c>
      <c r="C183">
        <f>装备!E188</f>
        <v>0</v>
      </c>
      <c r="D183">
        <f>装备!F188</f>
        <v>0</v>
      </c>
      <c r="E183">
        <f>装备!G188</f>
        <v>0</v>
      </c>
      <c r="F183">
        <f>装备!H188</f>
        <v>0</v>
      </c>
      <c r="G183">
        <f>IF(装备!I188="",0,"'"&amp;装备!I188&amp;"'")</f>
        <v>0</v>
      </c>
      <c r="H183">
        <f>IF(装备!R188="",0,"'"&amp;装备!R188&amp;"'")</f>
        <v>0</v>
      </c>
      <c r="I183">
        <f>IF(装备!S188="",0,"'"&amp;装备!S188&amp;"'")</f>
        <v>0</v>
      </c>
      <c r="J183">
        <f>IF(装备!C188="",0,""""&amp;装备!C188&amp;"""")</f>
        <v>0</v>
      </c>
      <c r="K183" t="str">
        <f>IF(装备!T188="","""""",""""&amp;装备!T188&amp;"""")</f>
        <v>""</v>
      </c>
      <c r="L183">
        <f>IF(装备!U188="",0,""""&amp;装备!U188&amp;"""")</f>
        <v>0</v>
      </c>
      <c r="M183" t="str">
        <f t="shared" si="5"/>
        <v/>
      </c>
      <c r="N183" t="str">
        <f t="shared" si="4"/>
        <v>call InitTypeIdStrings(0,0,0,"")</v>
      </c>
    </row>
    <row r="184" spans="1:14">
      <c r="A184">
        <f>IF(装备!B189="",0,"'"&amp;装备!B189&amp;"'")</f>
        <v>0</v>
      </c>
      <c r="B184">
        <f>装备!D190</f>
        <v>0</v>
      </c>
      <c r="C184">
        <f>装备!E189</f>
        <v>0</v>
      </c>
      <c r="D184">
        <f>装备!F189</f>
        <v>0</v>
      </c>
      <c r="E184">
        <f>装备!G189</f>
        <v>0</v>
      </c>
      <c r="F184">
        <f>装备!H189</f>
        <v>0</v>
      </c>
      <c r="G184">
        <f>IF(装备!I189="",0,"'"&amp;装备!I189&amp;"'")</f>
        <v>0</v>
      </c>
      <c r="H184">
        <f>IF(装备!R189="",0,"'"&amp;装备!R189&amp;"'")</f>
        <v>0</v>
      </c>
      <c r="I184">
        <f>IF(装备!S189="",0,"'"&amp;装备!S189&amp;"'")</f>
        <v>0</v>
      </c>
      <c r="J184">
        <f>IF(装备!C189="",0,""""&amp;装备!C189&amp;"""")</f>
        <v>0</v>
      </c>
      <c r="K184" t="str">
        <f>IF(装备!T189="","""""",""""&amp;装备!T189&amp;"""")</f>
        <v>""</v>
      </c>
      <c r="L184">
        <f>IF(装备!U189="",0,""""&amp;装备!U189&amp;"""")</f>
        <v>0</v>
      </c>
      <c r="M184" t="str">
        <f t="shared" si="5"/>
        <v/>
      </c>
      <c r="N184" t="str">
        <f t="shared" si="4"/>
        <v>call InitTypeIdStrings(0,0,0,"")</v>
      </c>
    </row>
    <row r="185" spans="1:14">
      <c r="A185">
        <f>IF(装备!B190="",0,"'"&amp;装备!B190&amp;"'")</f>
        <v>0</v>
      </c>
      <c r="B185">
        <f>装备!D191</f>
        <v>0</v>
      </c>
      <c r="C185">
        <f>装备!E190</f>
        <v>0</v>
      </c>
      <c r="D185">
        <f>装备!F190</f>
        <v>0</v>
      </c>
      <c r="E185">
        <f>装备!G190</f>
        <v>0</v>
      </c>
      <c r="F185">
        <f>装备!H190</f>
        <v>0</v>
      </c>
      <c r="G185">
        <f>IF(装备!I190="",0,"'"&amp;装备!I190&amp;"'")</f>
        <v>0</v>
      </c>
      <c r="H185">
        <f>IF(装备!R190="",0,"'"&amp;装备!R190&amp;"'")</f>
        <v>0</v>
      </c>
      <c r="I185">
        <f>IF(装备!S190="",0,"'"&amp;装备!S190&amp;"'")</f>
        <v>0</v>
      </c>
      <c r="J185">
        <f>IF(装备!C190="",0,""""&amp;装备!C190&amp;"""")</f>
        <v>0</v>
      </c>
      <c r="K185" t="str">
        <f>IF(装备!T190="","""""",""""&amp;装备!T190&amp;"""")</f>
        <v>""</v>
      </c>
      <c r="L185">
        <f>IF(装备!U190="",0,""""&amp;装备!U190&amp;"""")</f>
        <v>0</v>
      </c>
      <c r="M185" t="str">
        <f t="shared" si="5"/>
        <v/>
      </c>
      <c r="N185" t="str">
        <f t="shared" si="4"/>
        <v>call InitTypeIdStrings(0,0,0,"")</v>
      </c>
    </row>
    <row r="186" spans="1:14">
      <c r="A186">
        <f>IF(装备!B191="",0,"'"&amp;装备!B191&amp;"'")</f>
        <v>0</v>
      </c>
      <c r="B186">
        <f>装备!D192</f>
        <v>0</v>
      </c>
      <c r="C186">
        <f>装备!E191</f>
        <v>0</v>
      </c>
      <c r="D186">
        <f>装备!F191</f>
        <v>0</v>
      </c>
      <c r="E186">
        <f>装备!G191</f>
        <v>0</v>
      </c>
      <c r="F186">
        <f>装备!H191</f>
        <v>0</v>
      </c>
      <c r="G186">
        <f>IF(装备!I191="",0,"'"&amp;装备!I191&amp;"'")</f>
        <v>0</v>
      </c>
      <c r="H186">
        <f>IF(装备!R191="",0,"'"&amp;装备!R191&amp;"'")</f>
        <v>0</v>
      </c>
      <c r="I186">
        <f>IF(装备!S191="",0,"'"&amp;装备!S191&amp;"'")</f>
        <v>0</v>
      </c>
      <c r="J186">
        <f>IF(装备!C191="",0,""""&amp;装备!C191&amp;"""")</f>
        <v>0</v>
      </c>
      <c r="K186" t="str">
        <f>IF(装备!T191="","""""",""""&amp;装备!T191&amp;"""")</f>
        <v>""</v>
      </c>
      <c r="L186">
        <f>IF(装备!U191="",0,""""&amp;装备!U191&amp;"""")</f>
        <v>0</v>
      </c>
      <c r="M186" t="str">
        <f t="shared" si="5"/>
        <v/>
      </c>
      <c r="N186" t="str">
        <f t="shared" si="4"/>
        <v>call InitTypeIdStrings(0,0,0,"")</v>
      </c>
    </row>
    <row r="187" spans="1:14">
      <c r="A187">
        <f>IF(装备!B192="",0,"'"&amp;装备!B192&amp;"'")</f>
        <v>0</v>
      </c>
      <c r="B187">
        <f>装备!D193</f>
        <v>0</v>
      </c>
      <c r="C187">
        <f>装备!E192</f>
        <v>0</v>
      </c>
      <c r="D187">
        <f>装备!F192</f>
        <v>0</v>
      </c>
      <c r="E187">
        <f>装备!G192</f>
        <v>0</v>
      </c>
      <c r="F187">
        <f>装备!H192</f>
        <v>0</v>
      </c>
      <c r="G187">
        <f>IF(装备!I192="",0,"'"&amp;装备!I192&amp;"'")</f>
        <v>0</v>
      </c>
      <c r="H187">
        <f>IF(装备!R192="",0,"'"&amp;装备!R192&amp;"'")</f>
        <v>0</v>
      </c>
      <c r="I187">
        <f>IF(装备!S192="",0,"'"&amp;装备!S192&amp;"'")</f>
        <v>0</v>
      </c>
      <c r="J187">
        <f>IF(装备!C192="",0,""""&amp;装备!C192&amp;"""")</f>
        <v>0</v>
      </c>
      <c r="K187" t="str">
        <f>IF(装备!T192="","""""",""""&amp;装备!T192&amp;"""")</f>
        <v>""</v>
      </c>
      <c r="L187">
        <f>IF(装备!U192="",0,""""&amp;装备!U192&amp;"""")</f>
        <v>0</v>
      </c>
      <c r="M187" t="str">
        <f t="shared" si="5"/>
        <v/>
      </c>
      <c r="N187" t="str">
        <f t="shared" si="4"/>
        <v>call InitTypeIdStrings(0,0,0,"")</v>
      </c>
    </row>
    <row r="188" spans="1:14">
      <c r="A188">
        <f>IF(装备!B193="",0,"'"&amp;装备!B193&amp;"'")</f>
        <v>0</v>
      </c>
      <c r="B188">
        <f>装备!D194</f>
        <v>0</v>
      </c>
      <c r="C188">
        <f>装备!E193</f>
        <v>0</v>
      </c>
      <c r="D188">
        <f>装备!F193</f>
        <v>0</v>
      </c>
      <c r="E188">
        <f>装备!G193</f>
        <v>0</v>
      </c>
      <c r="F188">
        <f>装备!H193</f>
        <v>0</v>
      </c>
      <c r="G188">
        <f>IF(装备!I193="",0,"'"&amp;装备!I193&amp;"'")</f>
        <v>0</v>
      </c>
      <c r="H188">
        <f>IF(装备!R193="",0,"'"&amp;装备!R193&amp;"'")</f>
        <v>0</v>
      </c>
      <c r="I188">
        <f>IF(装备!S193="",0,"'"&amp;装备!S193&amp;"'")</f>
        <v>0</v>
      </c>
      <c r="J188">
        <f>IF(装备!C193="",0,""""&amp;装备!C193&amp;"""")</f>
        <v>0</v>
      </c>
      <c r="K188" t="str">
        <f>IF(装备!T193="","""""",""""&amp;装备!T193&amp;"""")</f>
        <v>""</v>
      </c>
      <c r="L188">
        <f>IF(装备!U193="",0,""""&amp;装备!U193&amp;"""")</f>
        <v>0</v>
      </c>
      <c r="M188" t="str">
        <f t="shared" si="5"/>
        <v/>
      </c>
      <c r="N188" t="str">
        <f t="shared" si="4"/>
        <v>call InitTypeIdStrings(0,0,0,"")</v>
      </c>
    </row>
    <row r="189" spans="1:14">
      <c r="A189">
        <f>IF(装备!B194="",0,"'"&amp;装备!B194&amp;"'")</f>
        <v>0</v>
      </c>
      <c r="B189">
        <f>装备!D195</f>
        <v>0</v>
      </c>
      <c r="C189">
        <f>装备!E194</f>
        <v>0</v>
      </c>
      <c r="D189">
        <f>装备!F194</f>
        <v>0</v>
      </c>
      <c r="E189">
        <f>装备!G194</f>
        <v>0</v>
      </c>
      <c r="F189">
        <f>装备!H194</f>
        <v>0</v>
      </c>
      <c r="G189">
        <f>IF(装备!I194="",0,"'"&amp;装备!I194&amp;"'")</f>
        <v>0</v>
      </c>
      <c r="H189">
        <f>IF(装备!R194="",0,"'"&amp;装备!R194&amp;"'")</f>
        <v>0</v>
      </c>
      <c r="I189">
        <f>IF(装备!S194="",0,"'"&amp;装备!S194&amp;"'")</f>
        <v>0</v>
      </c>
      <c r="J189">
        <f>IF(装备!C194="",0,""""&amp;装备!C194&amp;"""")</f>
        <v>0</v>
      </c>
      <c r="K189" t="str">
        <f>IF(装备!T194="","""""",""""&amp;装备!T194&amp;"""")</f>
        <v>""</v>
      </c>
      <c r="L189">
        <f>IF(装备!U194="",0,""""&amp;装备!U194&amp;"""")</f>
        <v>0</v>
      </c>
      <c r="M189" t="str">
        <f t="shared" si="5"/>
        <v/>
      </c>
      <c r="N189" t="str">
        <f t="shared" si="4"/>
        <v>call InitTypeIdStrings(0,0,0,"")</v>
      </c>
    </row>
    <row r="190" spans="1:14">
      <c r="A190">
        <f>IF(装备!B195="",0,"'"&amp;装备!B195&amp;"'")</f>
        <v>0</v>
      </c>
      <c r="B190">
        <f>装备!D196</f>
        <v>0</v>
      </c>
      <c r="C190">
        <f>装备!E195</f>
        <v>0</v>
      </c>
      <c r="D190">
        <f>装备!F195</f>
        <v>0</v>
      </c>
      <c r="E190">
        <f>装备!G195</f>
        <v>0</v>
      </c>
      <c r="F190">
        <f>装备!H195</f>
        <v>0</v>
      </c>
      <c r="G190">
        <f>IF(装备!I195="",0,"'"&amp;装备!I195&amp;"'")</f>
        <v>0</v>
      </c>
      <c r="H190">
        <f>IF(装备!R195="",0,"'"&amp;装备!R195&amp;"'")</f>
        <v>0</v>
      </c>
      <c r="I190">
        <f>IF(装备!S195="",0,"'"&amp;装备!S195&amp;"'")</f>
        <v>0</v>
      </c>
      <c r="J190">
        <f>IF(装备!C195="",0,""""&amp;装备!C195&amp;"""")</f>
        <v>0</v>
      </c>
      <c r="K190" t="str">
        <f>IF(装备!T195="","""""",""""&amp;装备!T195&amp;"""")</f>
        <v>""</v>
      </c>
      <c r="L190">
        <f>IF(装备!U195="",0,""""&amp;装备!U195&amp;"""")</f>
        <v>0</v>
      </c>
      <c r="M190" t="str">
        <f t="shared" si="5"/>
        <v/>
      </c>
      <c r="N190" t="str">
        <f t="shared" si="4"/>
        <v>call InitTypeIdStrings(0,0,0,"")</v>
      </c>
    </row>
    <row r="191" spans="1:14">
      <c r="A191">
        <f>IF(装备!B196="",0,"'"&amp;装备!B196&amp;"'")</f>
        <v>0</v>
      </c>
      <c r="B191">
        <f>装备!D197</f>
        <v>0</v>
      </c>
      <c r="C191">
        <f>装备!E196</f>
        <v>0</v>
      </c>
      <c r="D191">
        <f>装备!F196</f>
        <v>0</v>
      </c>
      <c r="E191">
        <f>装备!G196</f>
        <v>0</v>
      </c>
      <c r="F191">
        <f>装备!H196</f>
        <v>0</v>
      </c>
      <c r="G191">
        <f>IF(装备!I196="",0,"'"&amp;装备!I196&amp;"'")</f>
        <v>0</v>
      </c>
      <c r="H191">
        <f>IF(装备!R196="",0,"'"&amp;装备!R196&amp;"'")</f>
        <v>0</v>
      </c>
      <c r="I191">
        <f>IF(装备!S196="",0,"'"&amp;装备!S196&amp;"'")</f>
        <v>0</v>
      </c>
      <c r="J191">
        <f>IF(装备!C196="",0,""""&amp;装备!C196&amp;"""")</f>
        <v>0</v>
      </c>
      <c r="K191" t="str">
        <f>IF(装备!T196="","""""",""""&amp;装备!T196&amp;"""")</f>
        <v>""</v>
      </c>
      <c r="L191">
        <f>IF(装备!U196="",0,""""&amp;装备!U196&amp;"""")</f>
        <v>0</v>
      </c>
      <c r="M191" t="str">
        <f t="shared" si="5"/>
        <v/>
      </c>
      <c r="N191" t="str">
        <f t="shared" si="4"/>
        <v>call InitTypeIdStrings(0,0,0,"")</v>
      </c>
    </row>
    <row r="192" spans="1:14">
      <c r="A192">
        <f>IF(装备!B197="",0,"'"&amp;装备!B197&amp;"'")</f>
        <v>0</v>
      </c>
      <c r="B192">
        <f>装备!D198</f>
        <v>0</v>
      </c>
      <c r="C192">
        <f>装备!E197</f>
        <v>0</v>
      </c>
      <c r="D192">
        <f>装备!F197</f>
        <v>0</v>
      </c>
      <c r="E192">
        <f>装备!G197</f>
        <v>0</v>
      </c>
      <c r="F192">
        <f>装备!H197</f>
        <v>0</v>
      </c>
      <c r="G192">
        <f>IF(装备!I197="",0,"'"&amp;装备!I197&amp;"'")</f>
        <v>0</v>
      </c>
      <c r="H192">
        <f>IF(装备!R197="",0,"'"&amp;装备!R197&amp;"'")</f>
        <v>0</v>
      </c>
      <c r="I192">
        <f>IF(装备!S197="",0,"'"&amp;装备!S197&amp;"'")</f>
        <v>0</v>
      </c>
      <c r="J192">
        <f>IF(装备!C197="",0,""""&amp;装备!C197&amp;"""")</f>
        <v>0</v>
      </c>
      <c r="K192" t="str">
        <f>IF(装备!T197="","""""",""""&amp;装备!T197&amp;"""")</f>
        <v>""</v>
      </c>
      <c r="L192">
        <f>IF(装备!U197="",0,""""&amp;装备!U197&amp;"""")</f>
        <v>0</v>
      </c>
      <c r="M192" t="str">
        <f t="shared" si="5"/>
        <v/>
      </c>
      <c r="N192" t="str">
        <f t="shared" si="4"/>
        <v>call InitTypeIdStrings(0,0,0,"")</v>
      </c>
    </row>
    <row r="193" spans="1:14">
      <c r="A193">
        <f>IF(装备!B198="",0,"'"&amp;装备!B198&amp;"'")</f>
        <v>0</v>
      </c>
      <c r="B193">
        <f>装备!D199</f>
        <v>0</v>
      </c>
      <c r="C193">
        <f>装备!E198</f>
        <v>0</v>
      </c>
      <c r="D193">
        <f>装备!F198</f>
        <v>0</v>
      </c>
      <c r="E193">
        <f>装备!G198</f>
        <v>0</v>
      </c>
      <c r="F193">
        <f>装备!H198</f>
        <v>0</v>
      </c>
      <c r="G193">
        <f>IF(装备!I198="",0,"'"&amp;装备!I198&amp;"'")</f>
        <v>0</v>
      </c>
      <c r="H193">
        <f>IF(装备!R198="",0,"'"&amp;装备!R198&amp;"'")</f>
        <v>0</v>
      </c>
      <c r="I193">
        <f>IF(装备!S198="",0,"'"&amp;装备!S198&amp;"'")</f>
        <v>0</v>
      </c>
      <c r="J193">
        <f>IF(装备!C198="",0,""""&amp;装备!C198&amp;"""")</f>
        <v>0</v>
      </c>
      <c r="K193" t="str">
        <f>IF(装备!T198="","""""",""""&amp;装备!T198&amp;"""")</f>
        <v>""</v>
      </c>
      <c r="L193">
        <f>IF(装备!U198="",0,""""&amp;装备!U198&amp;"""")</f>
        <v>0</v>
      </c>
      <c r="M193" t="str">
        <f t="shared" si="5"/>
        <v/>
      </c>
      <c r="N193" t="str">
        <f t="shared" si="4"/>
        <v>call InitTypeIdStrings(0,0,0,"")</v>
      </c>
    </row>
    <row r="194" spans="1:14">
      <c r="A194">
        <f>IF(装备!B199="",0,"'"&amp;装备!B199&amp;"'")</f>
        <v>0</v>
      </c>
      <c r="B194">
        <f>装备!D200</f>
        <v>0</v>
      </c>
      <c r="C194">
        <f>装备!E199</f>
        <v>0</v>
      </c>
      <c r="D194">
        <f>装备!F199</f>
        <v>0</v>
      </c>
      <c r="E194">
        <f>装备!G199</f>
        <v>0</v>
      </c>
      <c r="F194">
        <f>装备!H199</f>
        <v>0</v>
      </c>
      <c r="G194">
        <f>IF(装备!I199="",0,"'"&amp;装备!I199&amp;"'")</f>
        <v>0</v>
      </c>
      <c r="H194">
        <f>IF(装备!R199="",0,"'"&amp;装备!R199&amp;"'")</f>
        <v>0</v>
      </c>
      <c r="I194">
        <f>IF(装备!S199="",0,"'"&amp;装备!S199&amp;"'")</f>
        <v>0</v>
      </c>
      <c r="J194">
        <f>IF(装备!C199="",0,""""&amp;装备!C199&amp;"""")</f>
        <v>0</v>
      </c>
      <c r="K194" t="str">
        <f>IF(装备!T199="","""""",""""&amp;装备!T199&amp;"""")</f>
        <v>""</v>
      </c>
      <c r="L194">
        <f>IF(装备!U199="",0,""""&amp;装备!U199&amp;"""")</f>
        <v>0</v>
      </c>
      <c r="M194" t="str">
        <f t="shared" si="5"/>
        <v/>
      </c>
      <c r="N194" t="str">
        <f t="shared" si="4"/>
        <v>call InitTypeIdStrings(0,0,0,"")</v>
      </c>
    </row>
    <row r="195" spans="1:14">
      <c r="A195">
        <f>IF(装备!B200="",0,"'"&amp;装备!B200&amp;"'")</f>
        <v>0</v>
      </c>
      <c r="B195">
        <f>装备!D201</f>
        <v>0</v>
      </c>
      <c r="C195">
        <f>装备!E200</f>
        <v>0</v>
      </c>
      <c r="D195">
        <f>装备!F200</f>
        <v>0</v>
      </c>
      <c r="E195">
        <f>装备!G200</f>
        <v>0</v>
      </c>
      <c r="F195">
        <f>装备!H200</f>
        <v>0</v>
      </c>
      <c r="G195">
        <f>IF(装备!I200="",0,"'"&amp;装备!I200&amp;"'")</f>
        <v>0</v>
      </c>
      <c r="H195">
        <f>IF(装备!R200="",0,"'"&amp;装备!R200&amp;"'")</f>
        <v>0</v>
      </c>
      <c r="I195">
        <f>IF(装备!S200="",0,"'"&amp;装备!S200&amp;"'")</f>
        <v>0</v>
      </c>
      <c r="J195">
        <f>IF(装备!C200="",0,""""&amp;装备!C200&amp;"""")</f>
        <v>0</v>
      </c>
      <c r="K195" t="str">
        <f>IF(装备!T200="","""""",""""&amp;装备!T200&amp;"""")</f>
        <v>""</v>
      </c>
      <c r="L195">
        <f>IF(装备!U200="",0,""""&amp;装备!U200&amp;"""")</f>
        <v>0</v>
      </c>
      <c r="M195" t="str">
        <f t="shared" si="5"/>
        <v/>
      </c>
      <c r="N195" t="str">
        <f t="shared" ref="N195:N225" si="6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IF(装备!B201="",0,"'"&amp;装备!B201&amp;"'")</f>
        <v>0</v>
      </c>
      <c r="B196">
        <f>装备!D202</f>
        <v>0</v>
      </c>
      <c r="C196">
        <f>装备!E201</f>
        <v>0</v>
      </c>
      <c r="D196">
        <f>装备!F201</f>
        <v>0</v>
      </c>
      <c r="E196">
        <f>装备!G201</f>
        <v>0</v>
      </c>
      <c r="F196">
        <f>装备!H201</f>
        <v>0</v>
      </c>
      <c r="G196">
        <f>IF(装备!I201="",0,"'"&amp;装备!I201&amp;"'")</f>
        <v>0</v>
      </c>
      <c r="H196">
        <f>IF(装备!R201="",0,"'"&amp;装备!R201&amp;"'")</f>
        <v>0</v>
      </c>
      <c r="I196">
        <f>IF(装备!S201="",0,"'"&amp;装备!S201&amp;"'")</f>
        <v>0</v>
      </c>
      <c r="J196">
        <f>IF(装备!C201="",0,""""&amp;装备!C201&amp;"""")</f>
        <v>0</v>
      </c>
      <c r="K196" t="str">
        <f>IF(装备!T201="","""""",""""&amp;装备!T201&amp;"""")</f>
        <v>""</v>
      </c>
      <c r="L196">
        <f>IF(装备!U201="",0,""""&amp;装备!U201&amp;"""")</f>
        <v>0</v>
      </c>
      <c r="M196" t="str">
        <f t="shared" ref="M196:M225" si="7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6"/>
        <v>call InitTypeIdStrings(0,0,0,"")</v>
      </c>
    </row>
    <row r="197" spans="1:14">
      <c r="A197">
        <f>IF(装备!B202="",0,"'"&amp;装备!B202&amp;"'")</f>
        <v>0</v>
      </c>
      <c r="B197">
        <f>装备!D203</f>
        <v>0</v>
      </c>
      <c r="C197">
        <f>装备!E202</f>
        <v>0</v>
      </c>
      <c r="D197">
        <f>装备!F202</f>
        <v>0</v>
      </c>
      <c r="E197">
        <f>装备!G202</f>
        <v>0</v>
      </c>
      <c r="F197">
        <f>装备!H202</f>
        <v>0</v>
      </c>
      <c r="G197">
        <f>IF(装备!I202="",0,"'"&amp;装备!I202&amp;"'")</f>
        <v>0</v>
      </c>
      <c r="H197">
        <f>IF(装备!R202="",0,"'"&amp;装备!R202&amp;"'")</f>
        <v>0</v>
      </c>
      <c r="I197">
        <f>IF(装备!S202="",0,"'"&amp;装备!S202&amp;"'")</f>
        <v>0</v>
      </c>
      <c r="J197">
        <f>IF(装备!C202="",0,""""&amp;装备!C202&amp;"""")</f>
        <v>0</v>
      </c>
      <c r="K197" t="str">
        <f>IF(装备!T202="","""""",""""&amp;装备!T202&amp;"""")</f>
        <v>""</v>
      </c>
      <c r="L197">
        <f>IF(装备!U202="",0,""""&amp;装备!U202&amp;"""")</f>
        <v>0</v>
      </c>
      <c r="M197" t="str">
        <f t="shared" si="7"/>
        <v/>
      </c>
      <c r="N197" t="str">
        <f t="shared" si="6"/>
        <v>call InitTypeIdStrings(0,0,0,"")</v>
      </c>
    </row>
    <row r="198" spans="1:14">
      <c r="A198">
        <f>IF(装备!B203="",0,"'"&amp;装备!B203&amp;"'")</f>
        <v>0</v>
      </c>
      <c r="B198">
        <f>装备!D204</f>
        <v>0</v>
      </c>
      <c r="C198">
        <f>装备!E203</f>
        <v>0</v>
      </c>
      <c r="D198">
        <f>装备!F203</f>
        <v>0</v>
      </c>
      <c r="E198">
        <f>装备!G203</f>
        <v>0</v>
      </c>
      <c r="F198">
        <f>装备!H203</f>
        <v>0</v>
      </c>
      <c r="G198">
        <f>IF(装备!I203="",0,"'"&amp;装备!I203&amp;"'")</f>
        <v>0</v>
      </c>
      <c r="H198">
        <f>IF(装备!R203="",0,"'"&amp;装备!R203&amp;"'")</f>
        <v>0</v>
      </c>
      <c r="I198">
        <f>IF(装备!S203="",0,"'"&amp;装备!S203&amp;"'")</f>
        <v>0</v>
      </c>
      <c r="J198">
        <f>IF(装备!C203="",0,""""&amp;装备!C203&amp;"""")</f>
        <v>0</v>
      </c>
      <c r="K198" t="str">
        <f>IF(装备!T203="","""""",""""&amp;装备!T203&amp;"""")</f>
        <v>""</v>
      </c>
      <c r="L198">
        <f>IF(装备!U203="",0,""""&amp;装备!U203&amp;"""")</f>
        <v>0</v>
      </c>
      <c r="M198" t="str">
        <f t="shared" si="7"/>
        <v/>
      </c>
      <c r="N198" t="str">
        <f t="shared" si="6"/>
        <v>call InitTypeIdStrings(0,0,0,"")</v>
      </c>
    </row>
    <row r="199" spans="1:14">
      <c r="A199">
        <f>IF(装备!B204="",0,"'"&amp;装备!B204&amp;"'")</f>
        <v>0</v>
      </c>
      <c r="B199">
        <f>装备!D205</f>
        <v>0</v>
      </c>
      <c r="C199">
        <f>装备!E204</f>
        <v>0</v>
      </c>
      <c r="D199">
        <f>装备!F204</f>
        <v>0</v>
      </c>
      <c r="E199">
        <f>装备!G204</f>
        <v>0</v>
      </c>
      <c r="F199">
        <f>装备!H204</f>
        <v>0</v>
      </c>
      <c r="G199">
        <f>IF(装备!I204="",0,"'"&amp;装备!I204&amp;"'")</f>
        <v>0</v>
      </c>
      <c r="H199">
        <f>IF(装备!R204="",0,"'"&amp;装备!R204&amp;"'")</f>
        <v>0</v>
      </c>
      <c r="I199">
        <f>IF(装备!S204="",0,"'"&amp;装备!S204&amp;"'")</f>
        <v>0</v>
      </c>
      <c r="J199">
        <f>IF(装备!C204="",0,""""&amp;装备!C204&amp;"""")</f>
        <v>0</v>
      </c>
      <c r="K199" t="str">
        <f>IF(装备!T204="","""""",""""&amp;装备!T204&amp;"""")</f>
        <v>""</v>
      </c>
      <c r="L199">
        <f>IF(装备!U204="",0,""""&amp;装备!U204&amp;"""")</f>
        <v>0</v>
      </c>
      <c r="M199" t="str">
        <f t="shared" si="7"/>
        <v/>
      </c>
      <c r="N199" t="str">
        <f t="shared" si="6"/>
        <v>call InitTypeIdStrings(0,0,0,"")</v>
      </c>
    </row>
    <row r="200" spans="1:14">
      <c r="A200">
        <f>IF(装备!B205="",0,"'"&amp;装备!B205&amp;"'")</f>
        <v>0</v>
      </c>
      <c r="B200">
        <f>装备!D206</f>
        <v>0</v>
      </c>
      <c r="C200">
        <f>装备!E205</f>
        <v>0</v>
      </c>
      <c r="D200">
        <f>装备!F205</f>
        <v>0</v>
      </c>
      <c r="E200">
        <f>装备!G205</f>
        <v>0</v>
      </c>
      <c r="F200">
        <f>装备!H205</f>
        <v>0</v>
      </c>
      <c r="G200">
        <f>IF(装备!I205="",0,"'"&amp;装备!I205&amp;"'")</f>
        <v>0</v>
      </c>
      <c r="H200">
        <f>IF(装备!R205="",0,"'"&amp;装备!R205&amp;"'")</f>
        <v>0</v>
      </c>
      <c r="I200">
        <f>IF(装备!S205="",0,"'"&amp;装备!S205&amp;"'")</f>
        <v>0</v>
      </c>
      <c r="J200">
        <f>IF(装备!C205="",0,""""&amp;装备!C205&amp;"""")</f>
        <v>0</v>
      </c>
      <c r="K200" t="str">
        <f>IF(装备!T205="","""""",""""&amp;装备!T205&amp;"""")</f>
        <v>""</v>
      </c>
      <c r="L200">
        <f>IF(装备!U205="",0,""""&amp;装备!U205&amp;"""")</f>
        <v>0</v>
      </c>
      <c r="M200" t="str">
        <f t="shared" si="7"/>
        <v/>
      </c>
      <c r="N200" t="str">
        <f t="shared" si="6"/>
        <v>call InitTypeIdStrings(0,0,0,"")</v>
      </c>
    </row>
    <row r="201" spans="1:14">
      <c r="A201">
        <f>IF(装备!B206="",0,"'"&amp;装备!B206&amp;"'")</f>
        <v>0</v>
      </c>
      <c r="B201">
        <f>装备!D207</f>
        <v>0</v>
      </c>
      <c r="C201">
        <f>装备!E206</f>
        <v>0</v>
      </c>
      <c r="D201">
        <f>装备!F206</f>
        <v>0</v>
      </c>
      <c r="E201">
        <f>装备!G206</f>
        <v>0</v>
      </c>
      <c r="F201">
        <f>装备!H206</f>
        <v>0</v>
      </c>
      <c r="G201">
        <f>IF(装备!I206="",0,"'"&amp;装备!I206&amp;"'")</f>
        <v>0</v>
      </c>
      <c r="H201">
        <f>IF(装备!R206="",0,"'"&amp;装备!R206&amp;"'")</f>
        <v>0</v>
      </c>
      <c r="I201">
        <f>IF(装备!S206="",0,"'"&amp;装备!S206&amp;"'")</f>
        <v>0</v>
      </c>
      <c r="J201">
        <f>IF(装备!C206="",0,""""&amp;装备!C206&amp;"""")</f>
        <v>0</v>
      </c>
      <c r="K201" t="str">
        <f>IF(装备!T206="","""""",""""&amp;装备!T206&amp;"""")</f>
        <v>""</v>
      </c>
      <c r="L201">
        <f>IF(装备!U206="",0,""""&amp;装备!U206&amp;"""")</f>
        <v>0</v>
      </c>
      <c r="M201" t="str">
        <f t="shared" si="7"/>
        <v/>
      </c>
      <c r="N201" t="str">
        <f t="shared" si="6"/>
        <v>call InitTypeIdStrings(0,0,0,"")</v>
      </c>
    </row>
    <row r="202" spans="1:14">
      <c r="A202">
        <f>IF(装备!B207="",0,"'"&amp;装备!B207&amp;"'")</f>
        <v>0</v>
      </c>
      <c r="B202">
        <f>装备!D208</f>
        <v>0</v>
      </c>
      <c r="C202">
        <f>装备!E207</f>
        <v>0</v>
      </c>
      <c r="D202">
        <f>装备!F207</f>
        <v>0</v>
      </c>
      <c r="E202">
        <f>装备!G207</f>
        <v>0</v>
      </c>
      <c r="F202">
        <f>装备!H207</f>
        <v>0</v>
      </c>
      <c r="G202">
        <f>IF(装备!I207="",0,"'"&amp;装备!I207&amp;"'")</f>
        <v>0</v>
      </c>
      <c r="H202">
        <f>IF(装备!R207="",0,"'"&amp;装备!R207&amp;"'")</f>
        <v>0</v>
      </c>
      <c r="I202">
        <f>IF(装备!S207="",0,"'"&amp;装备!S207&amp;"'")</f>
        <v>0</v>
      </c>
      <c r="J202">
        <f>IF(装备!C207="",0,""""&amp;装备!C207&amp;"""")</f>
        <v>0</v>
      </c>
      <c r="K202" t="str">
        <f>IF(装备!T207="","""""",""""&amp;装备!T207&amp;"""")</f>
        <v>""</v>
      </c>
      <c r="L202">
        <f>IF(装备!U207="",0,""""&amp;装备!U207&amp;"""")</f>
        <v>0</v>
      </c>
      <c r="M202" t="str">
        <f t="shared" si="7"/>
        <v/>
      </c>
      <c r="N202" t="str">
        <f t="shared" si="6"/>
        <v>call InitTypeIdStrings(0,0,0,"")</v>
      </c>
    </row>
    <row r="203" spans="1:14">
      <c r="A203">
        <f>IF(装备!B208="",0,"'"&amp;装备!B208&amp;"'")</f>
        <v>0</v>
      </c>
      <c r="B203">
        <f>装备!D209</f>
        <v>0</v>
      </c>
      <c r="C203">
        <f>装备!E208</f>
        <v>0</v>
      </c>
      <c r="D203">
        <f>装备!F208</f>
        <v>0</v>
      </c>
      <c r="E203">
        <f>装备!G208</f>
        <v>0</v>
      </c>
      <c r="F203">
        <f>装备!H208</f>
        <v>0</v>
      </c>
      <c r="G203">
        <f>IF(装备!I208="",0,"'"&amp;装备!I208&amp;"'")</f>
        <v>0</v>
      </c>
      <c r="H203">
        <f>IF(装备!R208="",0,"'"&amp;装备!R208&amp;"'")</f>
        <v>0</v>
      </c>
      <c r="I203">
        <f>IF(装备!S208="",0,"'"&amp;装备!S208&amp;"'")</f>
        <v>0</v>
      </c>
      <c r="J203">
        <f>IF(装备!C208="",0,""""&amp;装备!C208&amp;"""")</f>
        <v>0</v>
      </c>
      <c r="K203" t="str">
        <f>IF(装备!T208="","""""",""""&amp;装备!T208&amp;"""")</f>
        <v>""</v>
      </c>
      <c r="L203">
        <f>IF(装备!U208="",0,""""&amp;装备!U208&amp;"""")</f>
        <v>0</v>
      </c>
      <c r="M203" t="str">
        <f t="shared" si="7"/>
        <v/>
      </c>
      <c r="N203" t="str">
        <f t="shared" si="6"/>
        <v>call InitTypeIdStrings(0,0,0,"")</v>
      </c>
    </row>
    <row r="204" spans="1:14">
      <c r="A204">
        <f>IF(装备!B209="",0,"'"&amp;装备!B209&amp;"'")</f>
        <v>0</v>
      </c>
      <c r="B204">
        <f>装备!D210</f>
        <v>0</v>
      </c>
      <c r="C204">
        <f>装备!E209</f>
        <v>0</v>
      </c>
      <c r="D204">
        <f>装备!F209</f>
        <v>0</v>
      </c>
      <c r="E204">
        <f>装备!G209</f>
        <v>0</v>
      </c>
      <c r="F204">
        <f>装备!H209</f>
        <v>0</v>
      </c>
      <c r="G204">
        <f>IF(装备!I209="",0,"'"&amp;装备!I209&amp;"'")</f>
        <v>0</v>
      </c>
      <c r="H204">
        <f>IF(装备!R209="",0,"'"&amp;装备!R209&amp;"'")</f>
        <v>0</v>
      </c>
      <c r="I204">
        <f>IF(装备!S209="",0,"'"&amp;装备!S209&amp;"'")</f>
        <v>0</v>
      </c>
      <c r="J204">
        <f>IF(装备!C209="",0,""""&amp;装备!C209&amp;"""")</f>
        <v>0</v>
      </c>
      <c r="K204" t="str">
        <f>IF(装备!T209="","""""",""""&amp;装备!T209&amp;"""")</f>
        <v>""</v>
      </c>
      <c r="L204">
        <f>IF(装备!U209="",0,""""&amp;装备!U209&amp;"""")</f>
        <v>0</v>
      </c>
      <c r="M204" t="str">
        <f t="shared" si="7"/>
        <v/>
      </c>
      <c r="N204" t="str">
        <f t="shared" si="6"/>
        <v>call InitTypeIdStrings(0,0,0,"")</v>
      </c>
    </row>
    <row r="205" spans="1:14">
      <c r="A205">
        <f>IF(装备!B210="",0,"'"&amp;装备!B210&amp;"'")</f>
        <v>0</v>
      </c>
      <c r="B205">
        <f>装备!D211</f>
        <v>0</v>
      </c>
      <c r="C205">
        <f>装备!E210</f>
        <v>0</v>
      </c>
      <c r="D205">
        <f>装备!F210</f>
        <v>0</v>
      </c>
      <c r="E205">
        <f>装备!G210</f>
        <v>0</v>
      </c>
      <c r="F205">
        <f>装备!H210</f>
        <v>0</v>
      </c>
      <c r="G205">
        <f>IF(装备!I210="",0,"'"&amp;装备!I210&amp;"'")</f>
        <v>0</v>
      </c>
      <c r="H205">
        <f>IF(装备!R210="",0,"'"&amp;装备!R210&amp;"'")</f>
        <v>0</v>
      </c>
      <c r="I205">
        <f>IF(装备!S210="",0,"'"&amp;装备!S210&amp;"'")</f>
        <v>0</v>
      </c>
      <c r="J205">
        <f>IF(装备!C210="",0,""""&amp;装备!C210&amp;"""")</f>
        <v>0</v>
      </c>
      <c r="K205" t="str">
        <f>IF(装备!T210="","""""",""""&amp;装备!T210&amp;"""")</f>
        <v>""</v>
      </c>
      <c r="L205">
        <f>IF(装备!U210="",0,""""&amp;装备!U210&amp;"""")</f>
        <v>0</v>
      </c>
      <c r="M205" t="str">
        <f t="shared" si="7"/>
        <v/>
      </c>
      <c r="N205" t="str">
        <f t="shared" si="6"/>
        <v>call InitTypeIdStrings(0,0,0,"")</v>
      </c>
    </row>
    <row r="206" spans="1:14">
      <c r="A206">
        <f>IF(装备!B211="",0,"'"&amp;装备!B211&amp;"'")</f>
        <v>0</v>
      </c>
      <c r="B206">
        <f>装备!D212</f>
        <v>0</v>
      </c>
      <c r="C206">
        <f>装备!E211</f>
        <v>0</v>
      </c>
      <c r="D206">
        <f>装备!F211</f>
        <v>0</v>
      </c>
      <c r="E206">
        <f>装备!G211</f>
        <v>0</v>
      </c>
      <c r="F206">
        <f>装备!H211</f>
        <v>0</v>
      </c>
      <c r="G206">
        <f>IF(装备!I211="",0,"'"&amp;装备!I211&amp;"'")</f>
        <v>0</v>
      </c>
      <c r="H206">
        <f>IF(装备!R211="",0,"'"&amp;装备!R211&amp;"'")</f>
        <v>0</v>
      </c>
      <c r="I206">
        <f>IF(装备!S211="",0,"'"&amp;装备!S211&amp;"'")</f>
        <v>0</v>
      </c>
      <c r="J206">
        <f>IF(装备!C211="",0,""""&amp;装备!C211&amp;"""")</f>
        <v>0</v>
      </c>
      <c r="K206" t="str">
        <f>IF(装备!T211="","""""",""""&amp;装备!T211&amp;"""")</f>
        <v>""</v>
      </c>
      <c r="L206">
        <f>IF(装备!U211="",0,""""&amp;装备!U211&amp;"""")</f>
        <v>0</v>
      </c>
      <c r="M206" t="str">
        <f t="shared" si="7"/>
        <v/>
      </c>
      <c r="N206" t="str">
        <f t="shared" si="6"/>
        <v>call InitTypeIdStrings(0,0,0,"")</v>
      </c>
    </row>
    <row r="207" spans="1:14">
      <c r="A207">
        <f>IF(装备!B212="",0,"'"&amp;装备!B212&amp;"'")</f>
        <v>0</v>
      </c>
      <c r="B207">
        <f>装备!D213</f>
        <v>0</v>
      </c>
      <c r="C207">
        <f>装备!E212</f>
        <v>0</v>
      </c>
      <c r="D207">
        <f>装备!F212</f>
        <v>0</v>
      </c>
      <c r="E207">
        <f>装备!G212</f>
        <v>0</v>
      </c>
      <c r="F207">
        <f>装备!H212</f>
        <v>0</v>
      </c>
      <c r="G207">
        <f>IF(装备!I212="",0,"'"&amp;装备!I212&amp;"'")</f>
        <v>0</v>
      </c>
      <c r="H207">
        <f>IF(装备!R212="",0,"'"&amp;装备!R212&amp;"'")</f>
        <v>0</v>
      </c>
      <c r="I207">
        <f>IF(装备!S212="",0,"'"&amp;装备!S212&amp;"'")</f>
        <v>0</v>
      </c>
      <c r="J207">
        <f>IF(装备!C212="",0,""""&amp;装备!C212&amp;"""")</f>
        <v>0</v>
      </c>
      <c r="K207" t="str">
        <f>IF(装备!T212="","""""",""""&amp;装备!T212&amp;"""")</f>
        <v>""</v>
      </c>
      <c r="L207">
        <f>IF(装备!U212="",0,""""&amp;装备!U212&amp;"""")</f>
        <v>0</v>
      </c>
      <c r="M207" t="str">
        <f t="shared" si="7"/>
        <v/>
      </c>
      <c r="N207" t="str">
        <f t="shared" si="6"/>
        <v>call InitTypeIdStrings(0,0,0,"")</v>
      </c>
    </row>
    <row r="208" spans="1:14">
      <c r="A208">
        <f>IF(装备!B213="",0,"'"&amp;装备!B213&amp;"'")</f>
        <v>0</v>
      </c>
      <c r="B208">
        <f>装备!D214</f>
        <v>0</v>
      </c>
      <c r="C208">
        <f>装备!E213</f>
        <v>0</v>
      </c>
      <c r="D208">
        <f>装备!F213</f>
        <v>0</v>
      </c>
      <c r="E208">
        <f>装备!G213</f>
        <v>0</v>
      </c>
      <c r="F208">
        <f>装备!H213</f>
        <v>0</v>
      </c>
      <c r="G208">
        <f>IF(装备!I213="",0,"'"&amp;装备!I213&amp;"'")</f>
        <v>0</v>
      </c>
      <c r="H208">
        <f>IF(装备!R213="",0,"'"&amp;装备!R213&amp;"'")</f>
        <v>0</v>
      </c>
      <c r="I208">
        <f>IF(装备!S213="",0,"'"&amp;装备!S213&amp;"'")</f>
        <v>0</v>
      </c>
      <c r="J208">
        <f>IF(装备!C213="",0,""""&amp;装备!C213&amp;"""")</f>
        <v>0</v>
      </c>
      <c r="K208" t="str">
        <f>IF(装备!T213="","""""",""""&amp;装备!T213&amp;"""")</f>
        <v>""</v>
      </c>
      <c r="L208">
        <f>IF(装备!U213="",0,""""&amp;装备!U213&amp;"""")</f>
        <v>0</v>
      </c>
      <c r="M208" t="str">
        <f t="shared" si="7"/>
        <v/>
      </c>
      <c r="N208" t="str">
        <f t="shared" si="6"/>
        <v>call InitTypeIdStrings(0,0,0,"")</v>
      </c>
    </row>
    <row r="209" spans="1:14">
      <c r="A209">
        <f>IF(装备!B214="",0,"'"&amp;装备!B214&amp;"'")</f>
        <v>0</v>
      </c>
      <c r="B209">
        <f>装备!D215</f>
        <v>0</v>
      </c>
      <c r="C209">
        <f>装备!E214</f>
        <v>0</v>
      </c>
      <c r="D209">
        <f>装备!F214</f>
        <v>0</v>
      </c>
      <c r="E209">
        <f>装备!G214</f>
        <v>0</v>
      </c>
      <c r="F209">
        <f>装备!H214</f>
        <v>0</v>
      </c>
      <c r="G209">
        <f>IF(装备!I214="",0,"'"&amp;装备!I214&amp;"'")</f>
        <v>0</v>
      </c>
      <c r="H209">
        <f>IF(装备!R214="",0,"'"&amp;装备!R214&amp;"'")</f>
        <v>0</v>
      </c>
      <c r="I209">
        <f>IF(装备!S214="",0,"'"&amp;装备!S214&amp;"'")</f>
        <v>0</v>
      </c>
      <c r="J209">
        <f>IF(装备!C214="",0,""""&amp;装备!C214&amp;"""")</f>
        <v>0</v>
      </c>
      <c r="K209" t="str">
        <f>IF(装备!T214="","""""",""""&amp;装备!T214&amp;"""")</f>
        <v>""</v>
      </c>
      <c r="L209">
        <f>IF(装备!U214="",0,""""&amp;装备!U214&amp;"""")</f>
        <v>0</v>
      </c>
      <c r="M209" t="str">
        <f t="shared" si="7"/>
        <v/>
      </c>
      <c r="N209" t="str">
        <f t="shared" si="6"/>
        <v>call InitTypeIdStrings(0,0,0,"")</v>
      </c>
    </row>
    <row r="210" spans="1:14">
      <c r="A210">
        <f>IF(装备!B215="",0,"'"&amp;装备!B215&amp;"'")</f>
        <v>0</v>
      </c>
      <c r="B210">
        <f>装备!D216</f>
        <v>0</v>
      </c>
      <c r="C210">
        <f>装备!E215</f>
        <v>0</v>
      </c>
      <c r="D210">
        <f>装备!F215</f>
        <v>0</v>
      </c>
      <c r="E210">
        <f>装备!G215</f>
        <v>0</v>
      </c>
      <c r="F210">
        <f>装备!H215</f>
        <v>0</v>
      </c>
      <c r="G210">
        <f>IF(装备!I215="",0,"'"&amp;装备!I215&amp;"'")</f>
        <v>0</v>
      </c>
      <c r="H210">
        <f>IF(装备!R215="",0,"'"&amp;装备!R215&amp;"'")</f>
        <v>0</v>
      </c>
      <c r="I210">
        <f>IF(装备!S215="",0,"'"&amp;装备!S215&amp;"'")</f>
        <v>0</v>
      </c>
      <c r="J210">
        <f>IF(装备!C215="",0,""""&amp;装备!C215&amp;"""")</f>
        <v>0</v>
      </c>
      <c r="K210" t="str">
        <f>IF(装备!T215="","""""",""""&amp;装备!T215&amp;"""")</f>
        <v>""</v>
      </c>
      <c r="L210">
        <f>IF(装备!U215="",0,""""&amp;装备!U215&amp;"""")</f>
        <v>0</v>
      </c>
      <c r="M210" t="str">
        <f t="shared" si="7"/>
        <v/>
      </c>
      <c r="N210" t="str">
        <f t="shared" si="6"/>
        <v>call InitTypeIdStrings(0,0,0,"")</v>
      </c>
    </row>
    <row r="211" spans="1:14">
      <c r="A211">
        <f>IF(装备!B216="",0,"'"&amp;装备!B216&amp;"'")</f>
        <v>0</v>
      </c>
      <c r="B211">
        <f>装备!D217</f>
        <v>0</v>
      </c>
      <c r="C211">
        <f>装备!E216</f>
        <v>0</v>
      </c>
      <c r="D211">
        <f>装备!F216</f>
        <v>0</v>
      </c>
      <c r="E211">
        <f>装备!G216</f>
        <v>0</v>
      </c>
      <c r="F211">
        <f>装备!H216</f>
        <v>0</v>
      </c>
      <c r="G211">
        <f>IF(装备!I216="",0,"'"&amp;装备!I216&amp;"'")</f>
        <v>0</v>
      </c>
      <c r="H211">
        <f>IF(装备!R216="",0,"'"&amp;装备!R216&amp;"'")</f>
        <v>0</v>
      </c>
      <c r="I211">
        <f>IF(装备!S216="",0,"'"&amp;装备!S216&amp;"'")</f>
        <v>0</v>
      </c>
      <c r="J211">
        <f>IF(装备!C216="",0,""""&amp;装备!C216&amp;"""")</f>
        <v>0</v>
      </c>
      <c r="K211" t="str">
        <f>IF(装备!T216="","""""",""""&amp;装备!T216&amp;"""")</f>
        <v>""</v>
      </c>
      <c r="L211">
        <f>IF(装备!U216="",0,""""&amp;装备!U216&amp;"""")</f>
        <v>0</v>
      </c>
      <c r="M211" t="str">
        <f t="shared" si="7"/>
        <v/>
      </c>
      <c r="N211" t="str">
        <f t="shared" si="6"/>
        <v>call InitTypeIdStrings(0,0,0,"")</v>
      </c>
    </row>
    <row r="212" spans="1:14">
      <c r="A212">
        <f>IF(装备!B217="",0,"'"&amp;装备!B217&amp;"'")</f>
        <v>0</v>
      </c>
      <c r="B212">
        <f>装备!D218</f>
        <v>0</v>
      </c>
      <c r="C212">
        <f>装备!E217</f>
        <v>0</v>
      </c>
      <c r="D212">
        <f>装备!F217</f>
        <v>0</v>
      </c>
      <c r="E212">
        <f>装备!G217</f>
        <v>0</v>
      </c>
      <c r="F212">
        <f>装备!H217</f>
        <v>0</v>
      </c>
      <c r="G212">
        <f>IF(装备!I217="",0,"'"&amp;装备!I217&amp;"'")</f>
        <v>0</v>
      </c>
      <c r="H212">
        <f>IF(装备!R217="",0,"'"&amp;装备!R217&amp;"'")</f>
        <v>0</v>
      </c>
      <c r="I212">
        <f>IF(装备!S217="",0,"'"&amp;装备!S217&amp;"'")</f>
        <v>0</v>
      </c>
      <c r="J212">
        <f>IF(装备!C217="",0,""""&amp;装备!C217&amp;"""")</f>
        <v>0</v>
      </c>
      <c r="K212" t="str">
        <f>IF(装备!T217="","""""",""""&amp;装备!T217&amp;"""")</f>
        <v>""</v>
      </c>
      <c r="L212">
        <f>IF(装备!U217="",0,""""&amp;装备!U217&amp;"""")</f>
        <v>0</v>
      </c>
      <c r="M212" t="str">
        <f t="shared" si="7"/>
        <v/>
      </c>
      <c r="N212" t="str">
        <f t="shared" si="6"/>
        <v>call InitTypeIdStrings(0,0,0,"")</v>
      </c>
    </row>
    <row r="213" spans="1:14">
      <c r="A213">
        <f>IF(装备!B218="",0,"'"&amp;装备!B218&amp;"'")</f>
        <v>0</v>
      </c>
      <c r="B213">
        <f>装备!D219</f>
        <v>0</v>
      </c>
      <c r="C213">
        <f>装备!E218</f>
        <v>0</v>
      </c>
      <c r="D213">
        <f>装备!F218</f>
        <v>0</v>
      </c>
      <c r="E213">
        <f>装备!G218</f>
        <v>0</v>
      </c>
      <c r="F213">
        <f>装备!H218</f>
        <v>0</v>
      </c>
      <c r="G213">
        <f>IF(装备!I218="",0,"'"&amp;装备!I218&amp;"'")</f>
        <v>0</v>
      </c>
      <c r="H213">
        <f>IF(装备!R218="",0,"'"&amp;装备!R218&amp;"'")</f>
        <v>0</v>
      </c>
      <c r="I213">
        <f>IF(装备!S218="",0,"'"&amp;装备!S218&amp;"'")</f>
        <v>0</v>
      </c>
      <c r="J213">
        <f>IF(装备!C218="",0,""""&amp;装备!C218&amp;"""")</f>
        <v>0</v>
      </c>
      <c r="K213" t="str">
        <f>IF(装备!T218="","""""",""""&amp;装备!T218&amp;"""")</f>
        <v>""</v>
      </c>
      <c r="L213">
        <f>IF(装备!U218="",0,""""&amp;装备!U218&amp;"""")</f>
        <v>0</v>
      </c>
      <c r="M213" t="str">
        <f t="shared" si="7"/>
        <v/>
      </c>
      <c r="N213" t="str">
        <f t="shared" si="6"/>
        <v>call InitTypeIdStrings(0,0,0,"")</v>
      </c>
    </row>
    <row r="214" spans="1:14">
      <c r="A214">
        <f>IF(装备!B219="",0,"'"&amp;装备!B219&amp;"'")</f>
        <v>0</v>
      </c>
      <c r="B214">
        <f>装备!D220</f>
        <v>0</v>
      </c>
      <c r="C214">
        <f>装备!E219</f>
        <v>0</v>
      </c>
      <c r="D214">
        <f>装备!F219</f>
        <v>0</v>
      </c>
      <c r="E214">
        <f>装备!G219</f>
        <v>0</v>
      </c>
      <c r="F214">
        <f>装备!H219</f>
        <v>0</v>
      </c>
      <c r="G214">
        <f>IF(装备!I219="",0,"'"&amp;装备!I219&amp;"'")</f>
        <v>0</v>
      </c>
      <c r="H214">
        <f>IF(装备!R219="",0,"'"&amp;装备!R219&amp;"'")</f>
        <v>0</v>
      </c>
      <c r="I214">
        <f>IF(装备!S219="",0,"'"&amp;装备!S219&amp;"'")</f>
        <v>0</v>
      </c>
      <c r="J214">
        <f>IF(装备!C219="",0,""""&amp;装备!C219&amp;"""")</f>
        <v>0</v>
      </c>
      <c r="K214" t="str">
        <f>IF(装备!T219="","""""",""""&amp;装备!T219&amp;"""")</f>
        <v>""</v>
      </c>
      <c r="L214">
        <f>IF(装备!U219="",0,""""&amp;装备!U219&amp;"""")</f>
        <v>0</v>
      </c>
      <c r="M214" t="str">
        <f t="shared" si="7"/>
        <v/>
      </c>
      <c r="N214" t="str">
        <f t="shared" si="6"/>
        <v>call InitTypeIdStrings(0,0,0,"")</v>
      </c>
    </row>
    <row r="215" spans="1:14">
      <c r="A215">
        <f>IF(装备!B220="",0,"'"&amp;装备!B220&amp;"'")</f>
        <v>0</v>
      </c>
      <c r="B215">
        <f>装备!D221</f>
        <v>0</v>
      </c>
      <c r="C215">
        <f>装备!E220</f>
        <v>0</v>
      </c>
      <c r="D215">
        <f>装备!F220</f>
        <v>0</v>
      </c>
      <c r="E215">
        <f>装备!G220</f>
        <v>0</v>
      </c>
      <c r="F215">
        <f>装备!H220</f>
        <v>0</v>
      </c>
      <c r="G215">
        <f>IF(装备!I220="",0,"'"&amp;装备!I220&amp;"'")</f>
        <v>0</v>
      </c>
      <c r="H215">
        <f>IF(装备!R220="",0,"'"&amp;装备!R220&amp;"'")</f>
        <v>0</v>
      </c>
      <c r="I215">
        <f>IF(装备!S220="",0,"'"&amp;装备!S220&amp;"'")</f>
        <v>0</v>
      </c>
      <c r="J215">
        <f>IF(装备!C220="",0,""""&amp;装备!C220&amp;"""")</f>
        <v>0</v>
      </c>
      <c r="K215" t="str">
        <f>IF(装备!T220="","""""",""""&amp;装备!T220&amp;"""")</f>
        <v>""</v>
      </c>
      <c r="L215">
        <f>IF(装备!U220="",0,""""&amp;装备!U220&amp;"""")</f>
        <v>0</v>
      </c>
      <c r="M215" t="str">
        <f t="shared" si="7"/>
        <v/>
      </c>
      <c r="N215" t="str">
        <f t="shared" si="6"/>
        <v>call InitTypeIdStrings(0,0,0,"")</v>
      </c>
    </row>
    <row r="216" spans="1:14">
      <c r="A216">
        <f>IF(装备!B221="",0,"'"&amp;装备!B221&amp;"'")</f>
        <v>0</v>
      </c>
      <c r="B216">
        <f>装备!D222</f>
        <v>0</v>
      </c>
      <c r="C216">
        <f>装备!E221</f>
        <v>0</v>
      </c>
      <c r="D216">
        <f>装备!F221</f>
        <v>0</v>
      </c>
      <c r="E216">
        <f>装备!G221</f>
        <v>0</v>
      </c>
      <c r="F216">
        <f>装备!H221</f>
        <v>0</v>
      </c>
      <c r="G216">
        <f>IF(装备!I221="",0,"'"&amp;装备!I221&amp;"'")</f>
        <v>0</v>
      </c>
      <c r="H216">
        <f>IF(装备!R221="",0,"'"&amp;装备!R221&amp;"'")</f>
        <v>0</v>
      </c>
      <c r="I216">
        <f>IF(装备!S221="",0,"'"&amp;装备!S221&amp;"'")</f>
        <v>0</v>
      </c>
      <c r="J216">
        <f>IF(装备!C221="",0,""""&amp;装备!C221&amp;"""")</f>
        <v>0</v>
      </c>
      <c r="K216" t="str">
        <f>IF(装备!T221="","""""",""""&amp;装备!T221&amp;"""")</f>
        <v>""</v>
      </c>
      <c r="L216">
        <f>IF(装备!U221="",0,""""&amp;装备!U221&amp;"""")</f>
        <v>0</v>
      </c>
      <c r="M216" t="str">
        <f t="shared" si="7"/>
        <v/>
      </c>
      <c r="N216" t="str">
        <f t="shared" si="6"/>
        <v>call InitTypeIdStrings(0,0,0,"")</v>
      </c>
    </row>
    <row r="217" spans="1:14">
      <c r="A217">
        <f>IF(装备!B222="",0,"'"&amp;装备!B222&amp;"'")</f>
        <v>0</v>
      </c>
      <c r="B217">
        <f>装备!D223</f>
        <v>0</v>
      </c>
      <c r="C217">
        <f>装备!E222</f>
        <v>0</v>
      </c>
      <c r="D217">
        <f>装备!F222</f>
        <v>0</v>
      </c>
      <c r="E217">
        <f>装备!G222</f>
        <v>0</v>
      </c>
      <c r="F217">
        <f>装备!H222</f>
        <v>0</v>
      </c>
      <c r="G217">
        <f>IF(装备!I222="",0,"'"&amp;装备!I222&amp;"'")</f>
        <v>0</v>
      </c>
      <c r="H217">
        <f>IF(装备!R222="",0,"'"&amp;装备!R222&amp;"'")</f>
        <v>0</v>
      </c>
      <c r="I217">
        <f>IF(装备!S222="",0,"'"&amp;装备!S222&amp;"'")</f>
        <v>0</v>
      </c>
      <c r="J217">
        <f>IF(装备!C222="",0,""""&amp;装备!C222&amp;"""")</f>
        <v>0</v>
      </c>
      <c r="K217" t="str">
        <f>IF(装备!T222="","""""",""""&amp;装备!T222&amp;"""")</f>
        <v>""</v>
      </c>
      <c r="L217">
        <f>IF(装备!U222="",0,""""&amp;装备!U222&amp;"""")</f>
        <v>0</v>
      </c>
      <c r="M217" t="str">
        <f t="shared" si="7"/>
        <v/>
      </c>
      <c r="N217" t="str">
        <f t="shared" si="6"/>
        <v>call InitTypeIdStrings(0,0,0,"")</v>
      </c>
    </row>
    <row r="218" spans="1:14">
      <c r="A218">
        <f>IF(装备!B223="",0,"'"&amp;装备!B223&amp;"'")</f>
        <v>0</v>
      </c>
      <c r="B218">
        <f>装备!D224</f>
        <v>0</v>
      </c>
      <c r="C218">
        <f>装备!E223</f>
        <v>0</v>
      </c>
      <c r="D218">
        <f>装备!F223</f>
        <v>0</v>
      </c>
      <c r="E218">
        <f>装备!G223</f>
        <v>0</v>
      </c>
      <c r="F218">
        <f>装备!H223</f>
        <v>0</v>
      </c>
      <c r="G218">
        <f>IF(装备!I223="",0,"'"&amp;装备!I223&amp;"'")</f>
        <v>0</v>
      </c>
      <c r="H218">
        <f>IF(装备!R223="",0,"'"&amp;装备!R223&amp;"'")</f>
        <v>0</v>
      </c>
      <c r="I218">
        <f>IF(装备!S223="",0,"'"&amp;装备!S223&amp;"'")</f>
        <v>0</v>
      </c>
      <c r="J218">
        <f>IF(装备!C223="",0,""""&amp;装备!C223&amp;"""")</f>
        <v>0</v>
      </c>
      <c r="K218" t="str">
        <f>IF(装备!T223="","""""",""""&amp;装备!T223&amp;"""")</f>
        <v>""</v>
      </c>
      <c r="L218">
        <f>IF(装备!U223="",0,""""&amp;装备!U223&amp;"""")</f>
        <v>0</v>
      </c>
      <c r="M218" t="str">
        <f t="shared" si="7"/>
        <v/>
      </c>
      <c r="N218" t="str">
        <f t="shared" si="6"/>
        <v>call InitTypeIdStrings(0,0,0,"")</v>
      </c>
    </row>
    <row r="219" spans="1:14">
      <c r="A219">
        <f>IF(装备!B224="",0,"'"&amp;装备!B224&amp;"'")</f>
        <v>0</v>
      </c>
      <c r="B219">
        <f>装备!D225</f>
        <v>0</v>
      </c>
      <c r="C219">
        <f>装备!E224</f>
        <v>0</v>
      </c>
      <c r="D219">
        <f>装备!F224</f>
        <v>0</v>
      </c>
      <c r="E219">
        <f>装备!G224</f>
        <v>0</v>
      </c>
      <c r="F219">
        <f>装备!H224</f>
        <v>0</v>
      </c>
      <c r="G219">
        <f>IF(装备!I224="",0,"'"&amp;装备!I224&amp;"'")</f>
        <v>0</v>
      </c>
      <c r="H219">
        <f>IF(装备!R224="",0,"'"&amp;装备!R224&amp;"'")</f>
        <v>0</v>
      </c>
      <c r="I219">
        <f>IF(装备!S224="",0,"'"&amp;装备!S224&amp;"'")</f>
        <v>0</v>
      </c>
      <c r="J219">
        <f>IF(装备!C224="",0,""""&amp;装备!C224&amp;"""")</f>
        <v>0</v>
      </c>
      <c r="K219" t="str">
        <f>IF(装备!T224="","""""",""""&amp;装备!T224&amp;"""")</f>
        <v>""</v>
      </c>
      <c r="L219">
        <f>IF(装备!U224="",0,""""&amp;装备!U224&amp;"""")</f>
        <v>0</v>
      </c>
      <c r="M219" t="str">
        <f t="shared" si="7"/>
        <v/>
      </c>
      <c r="N219" t="str">
        <f t="shared" si="6"/>
        <v>call InitTypeIdStrings(0,0,0,"")</v>
      </c>
    </row>
    <row r="220" spans="1:14">
      <c r="A220">
        <f>IF(装备!B225="",0,"'"&amp;装备!B225&amp;"'")</f>
        <v>0</v>
      </c>
      <c r="B220">
        <f>装备!D226</f>
        <v>0</v>
      </c>
      <c r="C220">
        <f>装备!E225</f>
        <v>0</v>
      </c>
      <c r="D220">
        <f>装备!F225</f>
        <v>0</v>
      </c>
      <c r="E220">
        <f>装备!G225</f>
        <v>0</v>
      </c>
      <c r="F220">
        <f>装备!H225</f>
        <v>0</v>
      </c>
      <c r="G220">
        <f>IF(装备!I225="",0,"'"&amp;装备!I225&amp;"'")</f>
        <v>0</v>
      </c>
      <c r="H220">
        <f>IF(装备!R225="",0,"'"&amp;装备!R225&amp;"'")</f>
        <v>0</v>
      </c>
      <c r="I220">
        <f>IF(装备!S225="",0,"'"&amp;装备!S225&amp;"'")</f>
        <v>0</v>
      </c>
      <c r="J220">
        <f>IF(装备!C225="",0,""""&amp;装备!C225&amp;"""")</f>
        <v>0</v>
      </c>
      <c r="K220" t="str">
        <f>IF(装备!T225="","""""",""""&amp;装备!T225&amp;"""")</f>
        <v>""</v>
      </c>
      <c r="L220">
        <f>IF(装备!U225="",0,""""&amp;装备!U225&amp;"""")</f>
        <v>0</v>
      </c>
      <c r="M220" t="str">
        <f t="shared" si="7"/>
        <v/>
      </c>
      <c r="N220" t="str">
        <f t="shared" si="6"/>
        <v>call InitTypeIdStrings(0,0,0,"")</v>
      </c>
    </row>
    <row r="221" spans="1:14">
      <c r="A221">
        <f>IF(装备!B226="",0,"'"&amp;装备!B226&amp;"'")</f>
        <v>0</v>
      </c>
      <c r="B221">
        <f>装备!D227</f>
        <v>0</v>
      </c>
      <c r="C221">
        <f>装备!E226</f>
        <v>0</v>
      </c>
      <c r="D221">
        <f>装备!F226</f>
        <v>0</v>
      </c>
      <c r="E221">
        <f>装备!G226</f>
        <v>0</v>
      </c>
      <c r="F221">
        <f>装备!H226</f>
        <v>0</v>
      </c>
      <c r="G221">
        <f>IF(装备!I226="",0,"'"&amp;装备!I226&amp;"'")</f>
        <v>0</v>
      </c>
      <c r="H221">
        <f>IF(装备!R226="",0,"'"&amp;装备!R226&amp;"'")</f>
        <v>0</v>
      </c>
      <c r="I221">
        <f>IF(装备!S226="",0,"'"&amp;装备!S226&amp;"'")</f>
        <v>0</v>
      </c>
      <c r="J221">
        <f>IF(装备!C226="",0,""""&amp;装备!C226&amp;"""")</f>
        <v>0</v>
      </c>
      <c r="K221" t="str">
        <f>IF(装备!T226="","""""",""""&amp;装备!T226&amp;"""")</f>
        <v>""</v>
      </c>
      <c r="L221">
        <f>IF(装备!U226="",0,""""&amp;装备!U226&amp;"""")</f>
        <v>0</v>
      </c>
      <c r="M221" t="str">
        <f t="shared" si="7"/>
        <v/>
      </c>
      <c r="N221" t="str">
        <f t="shared" si="6"/>
        <v>call InitTypeIdStrings(0,0,0,"")</v>
      </c>
    </row>
    <row r="222" spans="1:14">
      <c r="A222">
        <f>IF(装备!B227="",0,"'"&amp;装备!B227&amp;"'")</f>
        <v>0</v>
      </c>
      <c r="B222">
        <f>装备!D228</f>
        <v>0</v>
      </c>
      <c r="C222">
        <f>装备!E227</f>
        <v>0</v>
      </c>
      <c r="D222">
        <f>装备!F227</f>
        <v>0</v>
      </c>
      <c r="E222">
        <f>装备!G227</f>
        <v>0</v>
      </c>
      <c r="F222">
        <f>装备!H227</f>
        <v>0</v>
      </c>
      <c r="G222">
        <f>IF(装备!I227="",0,"'"&amp;装备!I227&amp;"'")</f>
        <v>0</v>
      </c>
      <c r="H222">
        <f>IF(装备!R227="",0,"'"&amp;装备!R227&amp;"'")</f>
        <v>0</v>
      </c>
      <c r="I222">
        <f>IF(装备!S227="",0,"'"&amp;装备!S227&amp;"'")</f>
        <v>0</v>
      </c>
      <c r="J222">
        <f>IF(装备!C227="",0,""""&amp;装备!C227&amp;"""")</f>
        <v>0</v>
      </c>
      <c r="K222" t="str">
        <f>IF(装备!T227="","""""",""""&amp;装备!T227&amp;"""")</f>
        <v>""</v>
      </c>
      <c r="L222">
        <f>IF(装备!U227="",0,""""&amp;装备!U227&amp;"""")</f>
        <v>0</v>
      </c>
      <c r="M222" t="str">
        <f t="shared" si="7"/>
        <v/>
      </c>
      <c r="N222" t="str">
        <f t="shared" si="6"/>
        <v>call InitTypeIdStrings(0,0,0,"")</v>
      </c>
    </row>
    <row r="223" spans="1:14">
      <c r="A223">
        <f>IF(装备!B228="",0,"'"&amp;装备!B228&amp;"'")</f>
        <v>0</v>
      </c>
      <c r="B223">
        <f>装备!D229</f>
        <v>0</v>
      </c>
      <c r="C223">
        <f>装备!E228</f>
        <v>0</v>
      </c>
      <c r="D223">
        <f>装备!F228</f>
        <v>0</v>
      </c>
      <c r="E223">
        <f>装备!G228</f>
        <v>0</v>
      </c>
      <c r="F223">
        <f>装备!H228</f>
        <v>0</v>
      </c>
      <c r="G223">
        <f>IF(装备!I228="",0,"'"&amp;装备!I228&amp;"'")</f>
        <v>0</v>
      </c>
      <c r="H223">
        <f>IF(装备!R228="",0,"'"&amp;装备!R228&amp;"'")</f>
        <v>0</v>
      </c>
      <c r="I223">
        <f>IF(装备!S228="",0,"'"&amp;装备!S228&amp;"'")</f>
        <v>0</v>
      </c>
      <c r="J223">
        <f>IF(装备!C228="",0,""""&amp;装备!C228&amp;"""")</f>
        <v>0</v>
      </c>
      <c r="K223" t="str">
        <f>IF(装备!T228="","""""",""""&amp;装备!T228&amp;"""")</f>
        <v>""</v>
      </c>
      <c r="L223">
        <f>IF(装备!U228="",0,""""&amp;装备!U228&amp;"""")</f>
        <v>0</v>
      </c>
      <c r="M223" t="str">
        <f t="shared" si="7"/>
        <v/>
      </c>
      <c r="N223" t="str">
        <f t="shared" si="6"/>
        <v>call InitTypeIdStrings(0,0,0,"")</v>
      </c>
    </row>
    <row r="224" spans="1:14">
      <c r="A224">
        <f>IF(装备!B229="",0,"'"&amp;装备!B229&amp;"'")</f>
        <v>0</v>
      </c>
      <c r="B224">
        <f>装备!D230</f>
        <v>0</v>
      </c>
      <c r="C224">
        <f>装备!E229</f>
        <v>0</v>
      </c>
      <c r="D224">
        <f>装备!F229</f>
        <v>0</v>
      </c>
      <c r="E224">
        <f>装备!G229</f>
        <v>0</v>
      </c>
      <c r="F224">
        <f>装备!H229</f>
        <v>0</v>
      </c>
      <c r="G224">
        <f>IF(装备!I229="",0,"'"&amp;装备!I229&amp;"'")</f>
        <v>0</v>
      </c>
      <c r="H224">
        <f>IF(装备!R229="",0,"'"&amp;装备!R229&amp;"'")</f>
        <v>0</v>
      </c>
      <c r="I224">
        <f>IF(装备!S229="",0,"'"&amp;装备!S229&amp;"'")</f>
        <v>0</v>
      </c>
      <c r="J224">
        <f>IF(装备!C229="",0,""""&amp;装备!C229&amp;"""")</f>
        <v>0</v>
      </c>
      <c r="K224" t="str">
        <f>IF(装备!T229="","""""",""""&amp;装备!T229&amp;"""")</f>
        <v>""</v>
      </c>
      <c r="L224">
        <f>IF(装备!U229="",0,""""&amp;装备!U229&amp;"""")</f>
        <v>0</v>
      </c>
      <c r="M224" t="str">
        <f t="shared" si="7"/>
        <v/>
      </c>
      <c r="N224" t="str">
        <f t="shared" si="6"/>
        <v>call InitTypeIdStrings(0,0,0,"")</v>
      </c>
    </row>
    <row r="225" spans="1:14">
      <c r="A225">
        <f>IF(装备!B230="",0,"'"&amp;装备!B230&amp;"'")</f>
        <v>0</v>
      </c>
      <c r="B225">
        <f>装备!D231</f>
        <v>0</v>
      </c>
      <c r="C225">
        <f>装备!E230</f>
        <v>0</v>
      </c>
      <c r="D225">
        <f>装备!F230</f>
        <v>0</v>
      </c>
      <c r="E225">
        <f>装备!G230</f>
        <v>0</v>
      </c>
      <c r="F225">
        <f>装备!H230</f>
        <v>0</v>
      </c>
      <c r="G225">
        <f>IF(装备!I230="",0,"'"&amp;装备!I230&amp;"'")</f>
        <v>0</v>
      </c>
      <c r="H225">
        <f>IF(装备!R230="",0,"'"&amp;装备!R230&amp;"'")</f>
        <v>0</v>
      </c>
      <c r="I225">
        <f>IF(装备!S230="",0,"'"&amp;装备!S230&amp;"'")</f>
        <v>0</v>
      </c>
      <c r="J225">
        <f>IF(装备!C230="",0,""""&amp;装备!C230&amp;"""")</f>
        <v>0</v>
      </c>
      <c r="K225" t="str">
        <f>IF(装备!T230="","""""",""""&amp;装备!T230&amp;"""")</f>
        <v>""</v>
      </c>
      <c r="L225">
        <f>IF(装备!U230="",0,""""&amp;装备!U230&amp;"""")</f>
        <v>0</v>
      </c>
      <c r="M225" t="str">
        <f t="shared" si="7"/>
        <v/>
      </c>
      <c r="N225" t="str">
        <f t="shared" si="6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2019-12-24T02:30:19Z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